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/>
  </mc:AlternateContent>
  <xr:revisionPtr revIDLastSave="0" documentId="13_ncr:1_{828A90A9-66D0-40D9-9DEB-BAFD53D4E9D9}" xr6:coauthVersionLast="47" xr6:coauthVersionMax="47" xr10:uidLastSave="{00000000-0000-0000-0000-000000000000}"/>
  <bookViews>
    <workbookView xWindow="-110" yWindow="-110" windowWidth="25820" windowHeight="15500" xr2:uid="{DAE86D65-1952-4468-9AB3-E9F3B0167D05}"/>
  </bookViews>
  <sheets>
    <sheet name="secto_us" sheetId="4" r:id="rId1"/>
    <sheet name="secto_eu" sheetId="6" r:id="rId2"/>
    <sheet name="Signals_US" sheetId="3" r:id="rId3"/>
    <sheet name="Signals_EU" sheetId="5" r:id="rId4"/>
    <sheet name="Mapping" sheetId="2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6" l="1"/>
  <c r="T4" i="6"/>
  <c r="T5" i="6"/>
  <c r="T6" i="6"/>
  <c r="T7" i="6"/>
  <c r="T8" i="6"/>
  <c r="T9" i="6"/>
  <c r="T10" i="6"/>
  <c r="T11" i="6"/>
  <c r="T12" i="6"/>
  <c r="T13" i="6"/>
  <c r="T14" i="6"/>
  <c r="T24" i="6"/>
  <c r="T26" i="6"/>
  <c r="T27" i="6"/>
  <c r="T28" i="6"/>
  <c r="T29" i="6"/>
  <c r="T30" i="6"/>
  <c r="T32" i="6"/>
  <c r="T37" i="6"/>
  <c r="T40" i="6"/>
  <c r="T43" i="6"/>
  <c r="T44" i="6"/>
  <c r="T45" i="6"/>
  <c r="T46" i="6"/>
  <c r="T49" i="6"/>
  <c r="T50" i="6"/>
  <c r="T51" i="6"/>
  <c r="T52" i="6"/>
  <c r="T53" i="6"/>
  <c r="T54" i="6"/>
  <c r="T55" i="6"/>
  <c r="T57" i="6"/>
  <c r="T58" i="6"/>
  <c r="T59" i="6"/>
  <c r="T62" i="6"/>
  <c r="T64" i="6"/>
  <c r="T65" i="6"/>
  <c r="T67" i="6"/>
  <c r="T72" i="6"/>
  <c r="T73" i="6"/>
  <c r="T76" i="6"/>
  <c r="T81" i="6"/>
  <c r="T82" i="6"/>
  <c r="T83" i="6"/>
  <c r="T84" i="6"/>
  <c r="T85" i="6"/>
  <c r="T86" i="6"/>
  <c r="T88" i="6"/>
  <c r="T90" i="6"/>
  <c r="T91" i="6"/>
  <c r="T92" i="6"/>
  <c r="T93" i="6"/>
  <c r="T94" i="6"/>
  <c r="T95" i="6"/>
  <c r="T96" i="6"/>
  <c r="T97" i="6"/>
  <c r="T102" i="6"/>
  <c r="T103" i="6"/>
  <c r="T104" i="6"/>
  <c r="T105" i="6"/>
  <c r="T106" i="6"/>
  <c r="T107" i="6"/>
  <c r="T108" i="6"/>
  <c r="T109" i="6"/>
  <c r="T110" i="6"/>
  <c r="T114" i="6"/>
  <c r="T115" i="6"/>
  <c r="T118" i="6"/>
  <c r="T119" i="6"/>
  <c r="T120" i="6"/>
  <c r="T122" i="6"/>
  <c r="T123" i="6"/>
  <c r="T125" i="6"/>
  <c r="T126" i="6"/>
  <c r="T128" i="6"/>
  <c r="T129" i="6"/>
  <c r="T130" i="6"/>
  <c r="T131" i="6"/>
  <c r="T134" i="6"/>
  <c r="T135" i="6"/>
  <c r="T136" i="6"/>
  <c r="T137" i="6"/>
  <c r="T138" i="6"/>
  <c r="T140" i="6"/>
  <c r="T142" i="6"/>
  <c r="T143" i="6"/>
  <c r="T145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91" i="6"/>
  <c r="T196" i="6"/>
  <c r="T200" i="6"/>
  <c r="T201" i="6"/>
  <c r="T202" i="6"/>
  <c r="T203" i="6"/>
  <c r="T204" i="6"/>
  <c r="T206" i="6"/>
  <c r="T207" i="6"/>
  <c r="T212" i="6"/>
  <c r="T216" i="6"/>
  <c r="T218" i="6"/>
  <c r="T219" i="6"/>
  <c r="T220" i="6"/>
  <c r="T228" i="6"/>
  <c r="T229" i="6"/>
  <c r="T232" i="6"/>
  <c r="T233" i="6"/>
  <c r="T239" i="6"/>
  <c r="T240" i="6"/>
  <c r="T2" i="6"/>
  <c r="S3" i="6"/>
  <c r="S4" i="6"/>
  <c r="S5" i="6"/>
  <c r="S6" i="6"/>
  <c r="S7" i="6"/>
  <c r="S8" i="6"/>
  <c r="S9" i="6"/>
  <c r="S10" i="6"/>
  <c r="S11" i="6"/>
  <c r="S12" i="6"/>
  <c r="S14" i="6"/>
  <c r="S21" i="6"/>
  <c r="S25" i="6"/>
  <c r="S26" i="6"/>
  <c r="S27" i="6"/>
  <c r="S28" i="6"/>
  <c r="S29" i="6"/>
  <c r="S30" i="6"/>
  <c r="S31" i="6"/>
  <c r="S32" i="6"/>
  <c r="S33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" i="6"/>
  <c r="R3" i="6"/>
  <c r="R4" i="6"/>
  <c r="R5" i="6"/>
  <c r="R6" i="6"/>
  <c r="R7" i="6"/>
  <c r="R8" i="6"/>
  <c r="R9" i="6"/>
  <c r="R10" i="6"/>
  <c r="R11" i="6"/>
  <c r="R12" i="6"/>
  <c r="R18" i="6"/>
  <c r="R19" i="6"/>
  <c r="R20" i="6"/>
  <c r="R21" i="6"/>
  <c r="R22" i="6"/>
  <c r="R24" i="6"/>
  <c r="R25" i="6"/>
  <c r="R29" i="6"/>
  <c r="R33" i="6"/>
  <c r="R34" i="6"/>
  <c r="R35" i="6"/>
  <c r="R36" i="6"/>
  <c r="R37" i="6"/>
  <c r="R38" i="6"/>
  <c r="R39" i="6"/>
  <c r="R41" i="6"/>
  <c r="R44" i="6"/>
  <c r="R45" i="6"/>
  <c r="R46" i="6"/>
  <c r="R47" i="6"/>
  <c r="R48" i="6"/>
  <c r="R49" i="6"/>
  <c r="R50" i="6"/>
  <c r="R51" i="6"/>
  <c r="R52" i="6"/>
  <c r="R53" i="6"/>
  <c r="R55" i="6"/>
  <c r="R57" i="6"/>
  <c r="R58" i="6"/>
  <c r="R59" i="6"/>
  <c r="R60" i="6"/>
  <c r="R61" i="6"/>
  <c r="R62" i="6"/>
  <c r="R63" i="6"/>
  <c r="R64" i="6"/>
  <c r="R66" i="6"/>
  <c r="R69" i="6"/>
  <c r="R80" i="6"/>
  <c r="R82" i="6"/>
  <c r="R85" i="6"/>
  <c r="R87" i="6"/>
  <c r="R88" i="6"/>
  <c r="R91" i="6"/>
  <c r="R99" i="6"/>
  <c r="R100" i="6"/>
  <c r="R101" i="6"/>
  <c r="R102" i="6"/>
  <c r="R103" i="6"/>
  <c r="R108" i="6"/>
  <c r="R109" i="6"/>
  <c r="R110" i="6"/>
  <c r="R111" i="6"/>
  <c r="R112" i="6"/>
  <c r="R113" i="6"/>
  <c r="R114" i="6"/>
  <c r="R115" i="6"/>
  <c r="R116" i="6"/>
  <c r="R117" i="6"/>
  <c r="R120" i="6"/>
  <c r="R122" i="6"/>
  <c r="R123" i="6"/>
  <c r="R124" i="6"/>
  <c r="R125" i="6"/>
  <c r="R126" i="6"/>
  <c r="R127" i="6"/>
  <c r="R128" i="6"/>
  <c r="R129" i="6"/>
  <c r="R131" i="6"/>
  <c r="R132" i="6"/>
  <c r="R133" i="6"/>
  <c r="R134" i="6"/>
  <c r="R135" i="6"/>
  <c r="R137" i="6"/>
  <c r="R139" i="6"/>
  <c r="R147" i="6"/>
  <c r="R148" i="6"/>
  <c r="R149" i="6"/>
  <c r="R150" i="6"/>
  <c r="R151" i="6"/>
  <c r="R153" i="6"/>
  <c r="R154" i="6"/>
  <c r="R155" i="6"/>
  <c r="R156" i="6"/>
  <c r="R160" i="6"/>
  <c r="R161" i="6"/>
  <c r="R162" i="6"/>
  <c r="R170" i="6"/>
  <c r="R171" i="6"/>
  <c r="R172" i="6"/>
  <c r="R173" i="6"/>
  <c r="R174" i="6"/>
  <c r="R175" i="6"/>
  <c r="R177" i="6"/>
  <c r="R178" i="6"/>
  <c r="R180" i="6"/>
  <c r="R181" i="6"/>
  <c r="R182" i="6"/>
  <c r="R183" i="6"/>
  <c r="R184" i="6"/>
  <c r="R185" i="6"/>
  <c r="R191" i="6"/>
  <c r="R192" i="6"/>
  <c r="R193" i="6"/>
  <c r="R194" i="6"/>
  <c r="R199" i="6"/>
  <c r="R205" i="6"/>
  <c r="R206" i="6"/>
  <c r="R208" i="6"/>
  <c r="R211" i="6"/>
  <c r="R213" i="6"/>
  <c r="R214" i="6"/>
  <c r="R215" i="6"/>
  <c r="R216" i="6"/>
  <c r="R217" i="6"/>
  <c r="R221" i="6"/>
  <c r="R222" i="6"/>
  <c r="R223" i="6"/>
  <c r="R227" i="6"/>
  <c r="R230" i="6"/>
  <c r="R231" i="6"/>
  <c r="R232" i="6"/>
  <c r="R234" i="6"/>
  <c r="R235" i="6"/>
  <c r="R236" i="6"/>
  <c r="R237" i="6"/>
  <c r="R238" i="6"/>
  <c r="R239" i="6"/>
  <c r="R240" i="6"/>
  <c r="R2" i="6"/>
  <c r="Q3" i="6"/>
  <c r="Q4" i="6"/>
  <c r="Q5" i="6"/>
  <c r="Q6" i="6"/>
  <c r="Q7" i="6"/>
  <c r="Q8" i="6"/>
  <c r="Q9" i="6"/>
  <c r="Q10" i="6"/>
  <c r="Q11" i="6"/>
  <c r="Q12" i="6"/>
  <c r="Q13" i="6"/>
  <c r="Q16" i="6"/>
  <c r="Q19" i="6"/>
  <c r="Q20" i="6"/>
  <c r="Q22" i="6"/>
  <c r="Q23" i="6"/>
  <c r="Q26" i="6"/>
  <c r="Q28" i="6"/>
  <c r="Q29" i="6"/>
  <c r="Q30" i="6"/>
  <c r="Q33" i="6"/>
  <c r="Q34" i="6"/>
  <c r="Q35" i="6"/>
  <c r="Q61" i="6"/>
  <c r="Q62" i="6"/>
  <c r="Q63" i="6"/>
  <c r="Q64" i="6"/>
  <c r="Q65" i="6"/>
  <c r="Q68" i="6"/>
  <c r="Q69" i="6"/>
  <c r="Q70" i="6"/>
  <c r="Q71" i="6"/>
  <c r="Q72" i="6"/>
  <c r="Q73" i="6"/>
  <c r="Q75" i="6"/>
  <c r="Q76" i="6"/>
  <c r="Q77" i="6"/>
  <c r="Q78" i="6"/>
  <c r="Q79" i="6"/>
  <c r="Q80" i="6"/>
  <c r="Q84" i="6"/>
  <c r="Q89" i="6"/>
  <c r="Q92" i="6"/>
  <c r="Q93" i="6"/>
  <c r="Q94" i="6"/>
  <c r="Q102" i="6"/>
  <c r="Q103" i="6"/>
  <c r="Q104" i="6"/>
  <c r="Q105" i="6"/>
  <c r="Q106" i="6"/>
  <c r="Q107" i="6"/>
  <c r="Q108" i="6"/>
  <c r="Q109" i="6"/>
  <c r="Q110" i="6"/>
  <c r="Q111" i="6"/>
  <c r="Q112" i="6"/>
  <c r="Q117" i="6"/>
  <c r="Q123" i="6"/>
  <c r="Q124" i="6"/>
  <c r="Q125" i="6"/>
  <c r="Q126" i="6"/>
  <c r="Q127" i="6"/>
  <c r="Q128" i="6"/>
  <c r="Q129" i="6"/>
  <c r="Q130" i="6"/>
  <c r="Q131" i="6"/>
  <c r="Q132" i="6"/>
  <c r="Q133" i="6"/>
  <c r="Q135" i="6"/>
  <c r="Q139" i="6"/>
  <c r="Q140" i="6"/>
  <c r="Q141" i="6"/>
  <c r="Q144" i="6"/>
  <c r="Q146" i="6"/>
  <c r="Q147" i="6"/>
  <c r="Q148" i="6"/>
  <c r="Q149" i="6"/>
  <c r="Q152" i="6"/>
  <c r="Q153" i="6"/>
  <c r="Q154" i="6"/>
  <c r="Q155" i="6"/>
  <c r="Q157" i="6"/>
  <c r="Q158" i="6"/>
  <c r="Q159" i="6"/>
  <c r="Q169" i="6"/>
  <c r="Q171" i="6"/>
  <c r="Q172" i="6"/>
  <c r="Q179" i="6"/>
  <c r="Q180" i="6"/>
  <c r="Q181" i="6"/>
  <c r="Q182" i="6"/>
  <c r="Q184" i="6"/>
  <c r="Q187" i="6"/>
  <c r="Q188" i="6"/>
  <c r="Q189" i="6"/>
  <c r="Q194" i="6"/>
  <c r="Q195" i="6"/>
  <c r="Q202" i="6"/>
  <c r="Q206" i="6"/>
  <c r="Q208" i="6"/>
  <c r="Q209" i="6"/>
  <c r="Q210" i="6"/>
  <c r="Q211" i="6"/>
  <c r="Q218" i="6"/>
  <c r="Q219" i="6"/>
  <c r="Q222" i="6"/>
  <c r="Q223" i="6"/>
  <c r="Q224" i="6"/>
  <c r="Q225" i="6"/>
  <c r="Q226" i="6"/>
  <c r="Q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7" i="6"/>
  <c r="N51" i="6"/>
  <c r="N54" i="6"/>
  <c r="N55" i="6"/>
  <c r="N65" i="6"/>
  <c r="N76" i="6"/>
  <c r="N77" i="6"/>
  <c r="N89" i="6"/>
  <c r="N90" i="6"/>
  <c r="N91" i="6"/>
  <c r="N92" i="6"/>
  <c r="N93" i="6"/>
  <c r="N94" i="6"/>
  <c r="N101" i="6"/>
  <c r="N102" i="6"/>
  <c r="N103" i="6"/>
  <c r="N104" i="6"/>
  <c r="N105" i="6"/>
  <c r="N106" i="6"/>
  <c r="N107" i="6"/>
  <c r="N110" i="6"/>
  <c r="N111" i="6"/>
  <c r="N112" i="6"/>
  <c r="N113" i="6"/>
  <c r="N114" i="6"/>
  <c r="N115" i="6"/>
  <c r="N116" i="6"/>
  <c r="N121" i="6"/>
  <c r="N122" i="6"/>
  <c r="N123" i="6"/>
  <c r="N124" i="6"/>
  <c r="N126" i="6"/>
  <c r="N127" i="6"/>
  <c r="N128" i="6"/>
  <c r="N129" i="6"/>
  <c r="N130" i="6"/>
  <c r="N131" i="6"/>
  <c r="N132" i="6"/>
  <c r="N133" i="6"/>
  <c r="N134" i="6"/>
  <c r="N135" i="6"/>
  <c r="N136" i="6"/>
  <c r="N146" i="6"/>
  <c r="N149" i="6"/>
  <c r="N155" i="6"/>
  <c r="N156" i="6"/>
  <c r="N157" i="6"/>
  <c r="N158" i="6"/>
  <c r="N159" i="6"/>
  <c r="N160" i="6"/>
  <c r="N161" i="6"/>
  <c r="N162" i="6"/>
  <c r="N163" i="6"/>
  <c r="N170" i="6"/>
  <c r="N173" i="6"/>
  <c r="N174" i="6"/>
  <c r="N176" i="6"/>
  <c r="N177" i="6"/>
  <c r="N178" i="6"/>
  <c r="N180" i="6"/>
  <c r="N182" i="6"/>
  <c r="N186" i="6"/>
  <c r="N187" i="6"/>
  <c r="N188" i="6"/>
  <c r="N190" i="6"/>
  <c r="N195" i="6"/>
  <c r="N198" i="6"/>
  <c r="N200" i="6"/>
  <c r="N201" i="6"/>
  <c r="N202" i="6"/>
  <c r="N203" i="6"/>
  <c r="N204" i="6"/>
  <c r="N205" i="6"/>
  <c r="N217" i="6"/>
  <c r="N227" i="6"/>
  <c r="N229" i="6"/>
  <c r="N230" i="6"/>
  <c r="N238" i="6"/>
  <c r="N240" i="6"/>
  <c r="M3" i="6"/>
  <c r="M4" i="6"/>
  <c r="M5" i="6"/>
  <c r="M6" i="6"/>
  <c r="M7" i="6"/>
  <c r="M8" i="6"/>
  <c r="M9" i="6"/>
  <c r="M10" i="6"/>
  <c r="M11" i="6"/>
  <c r="M12" i="6"/>
  <c r="M13" i="6"/>
  <c r="M15" i="6"/>
  <c r="M16" i="6"/>
  <c r="M17" i="6"/>
  <c r="M25" i="6"/>
  <c r="M26" i="6"/>
  <c r="M27" i="6"/>
  <c r="M30" i="6"/>
  <c r="M31" i="6"/>
  <c r="M34" i="6"/>
  <c r="M39" i="6"/>
  <c r="M42" i="6"/>
  <c r="M43" i="6"/>
  <c r="M47" i="6"/>
  <c r="M51" i="6"/>
  <c r="M53" i="6"/>
  <c r="M56" i="6"/>
  <c r="M57" i="6"/>
  <c r="M59" i="6"/>
  <c r="M60" i="6"/>
  <c r="M63" i="6"/>
  <c r="M64" i="6"/>
  <c r="M65" i="6"/>
  <c r="M66" i="6"/>
  <c r="M67" i="6"/>
  <c r="M68" i="6"/>
  <c r="M69" i="6"/>
  <c r="M70" i="6"/>
  <c r="M71" i="6"/>
  <c r="M74" i="6"/>
  <c r="M76" i="6"/>
  <c r="M77" i="6"/>
  <c r="M78" i="6"/>
  <c r="M81" i="6"/>
  <c r="M83" i="6"/>
  <c r="M84" i="6"/>
  <c r="M87" i="6"/>
  <c r="M96" i="6"/>
  <c r="M105" i="6"/>
  <c r="M106" i="6"/>
  <c r="M111" i="6"/>
  <c r="M121" i="6"/>
  <c r="M131" i="6"/>
  <c r="M132" i="6"/>
  <c r="M133" i="6"/>
  <c r="M136" i="6"/>
  <c r="M137" i="6"/>
  <c r="M138" i="6"/>
  <c r="M139" i="6"/>
  <c r="M140" i="6"/>
  <c r="M141" i="6"/>
  <c r="M142" i="6"/>
  <c r="M143" i="6"/>
  <c r="M148" i="6"/>
  <c r="M150" i="6"/>
  <c r="M151" i="6"/>
  <c r="M154" i="6"/>
  <c r="M155" i="6"/>
  <c r="M156" i="6"/>
  <c r="M157" i="6"/>
  <c r="M158" i="6"/>
  <c r="M159" i="6"/>
  <c r="M163" i="6"/>
  <c r="M164" i="6"/>
  <c r="M165" i="6"/>
  <c r="M168" i="6"/>
  <c r="M169" i="6"/>
  <c r="M174" i="6"/>
  <c r="M175" i="6"/>
  <c r="M176" i="6"/>
  <c r="M177" i="6"/>
  <c r="M178" i="6"/>
  <c r="M179" i="6"/>
  <c r="M181" i="6"/>
  <c r="M183" i="6"/>
  <c r="M184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7" i="6"/>
  <c r="M228" i="6"/>
  <c r="M230" i="6"/>
  <c r="M234" i="6"/>
  <c r="M235" i="6"/>
  <c r="M237" i="6"/>
  <c r="M238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23" i="6"/>
  <c r="L24" i="6"/>
  <c r="L25" i="6"/>
  <c r="L26" i="6"/>
  <c r="L27" i="6"/>
  <c r="L28" i="6"/>
  <c r="L31" i="6"/>
  <c r="L32" i="6"/>
  <c r="L33" i="6"/>
  <c r="L35" i="6"/>
  <c r="L36" i="6"/>
  <c r="L37" i="6"/>
  <c r="L38" i="6"/>
  <c r="L39" i="6"/>
  <c r="L40" i="6"/>
  <c r="L41" i="6"/>
  <c r="L42" i="6"/>
  <c r="L45" i="6"/>
  <c r="L46" i="6"/>
  <c r="L47" i="6"/>
  <c r="L48" i="6"/>
  <c r="L49" i="6"/>
  <c r="L50" i="6"/>
  <c r="L51" i="6"/>
  <c r="L52" i="6"/>
  <c r="L53" i="6"/>
  <c r="L54" i="6"/>
  <c r="L55" i="6"/>
  <c r="L56" i="6"/>
  <c r="L58" i="6"/>
  <c r="L60" i="6"/>
  <c r="L61" i="6"/>
  <c r="L66" i="6"/>
  <c r="L69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5" i="6"/>
  <c r="L86" i="6"/>
  <c r="L87" i="6"/>
  <c r="L88" i="6"/>
  <c r="L89" i="6"/>
  <c r="L90" i="6"/>
  <c r="L95" i="6"/>
  <c r="L96" i="6"/>
  <c r="L97" i="6"/>
  <c r="L98" i="6"/>
  <c r="L99" i="6"/>
  <c r="L100" i="6"/>
  <c r="L107" i="6"/>
  <c r="L108" i="6"/>
  <c r="L110" i="6"/>
  <c r="L111" i="6"/>
  <c r="L112" i="6"/>
  <c r="L113" i="6"/>
  <c r="L114" i="6"/>
  <c r="L116" i="6"/>
  <c r="L117" i="6"/>
  <c r="L118" i="6"/>
  <c r="L119" i="6"/>
  <c r="L121" i="6"/>
  <c r="L123" i="6"/>
  <c r="L124" i="6"/>
  <c r="L125" i="6"/>
  <c r="L127" i="6"/>
  <c r="L130" i="6"/>
  <c r="L141" i="6"/>
  <c r="L142" i="6"/>
  <c r="L143" i="6"/>
  <c r="L144" i="6"/>
  <c r="L145" i="6"/>
  <c r="L147" i="6"/>
  <c r="L148" i="6"/>
  <c r="L149" i="6"/>
  <c r="L150" i="6"/>
  <c r="L151" i="6"/>
  <c r="L152" i="6"/>
  <c r="L153" i="6"/>
  <c r="L154" i="6"/>
  <c r="L155" i="6"/>
  <c r="L156" i="6"/>
  <c r="L162" i="6"/>
  <c r="L166" i="6"/>
  <c r="L171" i="6"/>
  <c r="L172" i="6"/>
  <c r="L179" i="6"/>
  <c r="L181" i="6"/>
  <c r="L183" i="6"/>
  <c r="L184" i="6"/>
  <c r="L185" i="6"/>
  <c r="L186" i="6"/>
  <c r="L187" i="6"/>
  <c r="L189" i="6"/>
  <c r="L190" i="6"/>
  <c r="L192" i="6"/>
  <c r="L193" i="6"/>
  <c r="L195" i="6"/>
  <c r="L196" i="6"/>
  <c r="L197" i="6"/>
  <c r="L198" i="6"/>
  <c r="L199" i="6"/>
  <c r="L200" i="6"/>
  <c r="L201" i="6"/>
  <c r="L202" i="6"/>
  <c r="L203" i="6"/>
  <c r="L204" i="6"/>
  <c r="L205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1" i="6"/>
  <c r="L232" i="6"/>
  <c r="L233" i="6"/>
  <c r="L235" i="6"/>
  <c r="L236" i="6"/>
  <c r="L237" i="6"/>
  <c r="L239" i="6"/>
  <c r="L240" i="6"/>
  <c r="L2" i="6"/>
  <c r="K3" i="6"/>
  <c r="K4" i="6"/>
  <c r="K5" i="6"/>
  <c r="K6" i="6"/>
  <c r="K7" i="6"/>
  <c r="K8" i="6"/>
  <c r="K9" i="6"/>
  <c r="K10" i="6"/>
  <c r="K11" i="6"/>
  <c r="K12" i="6"/>
  <c r="K34" i="6"/>
  <c r="K35" i="6"/>
  <c r="K39" i="6"/>
  <c r="K40" i="6"/>
  <c r="K41" i="6"/>
  <c r="K42" i="6"/>
  <c r="K48" i="6"/>
  <c r="K56" i="6"/>
  <c r="K61" i="6"/>
  <c r="K62" i="6"/>
  <c r="K63" i="6"/>
  <c r="K66" i="6"/>
  <c r="K67" i="6"/>
  <c r="K68" i="6"/>
  <c r="K70" i="6"/>
  <c r="K71" i="6"/>
  <c r="K72" i="6"/>
  <c r="K78" i="6"/>
  <c r="K79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3" i="6"/>
  <c r="K114" i="6"/>
  <c r="K124" i="6"/>
  <c r="K125" i="6"/>
  <c r="K126" i="6"/>
  <c r="K127" i="6"/>
  <c r="K128" i="6"/>
  <c r="K129" i="6"/>
  <c r="K130" i="6"/>
  <c r="K131" i="6"/>
  <c r="K132" i="6"/>
  <c r="K137" i="6"/>
  <c r="K138" i="6"/>
  <c r="K139" i="6"/>
  <c r="K140" i="6"/>
  <c r="K144" i="6"/>
  <c r="K145" i="6"/>
  <c r="K146" i="6"/>
  <c r="K149" i="6"/>
  <c r="K150" i="6"/>
  <c r="K151" i="6"/>
  <c r="K152" i="6"/>
  <c r="K153" i="6"/>
  <c r="K154" i="6"/>
  <c r="K160" i="6"/>
  <c r="K161" i="6"/>
  <c r="K162" i="6"/>
  <c r="K163" i="6"/>
  <c r="K164" i="6"/>
  <c r="K165" i="6"/>
  <c r="K166" i="6"/>
  <c r="K167" i="6"/>
  <c r="K168" i="6"/>
  <c r="K169" i="6"/>
  <c r="K177" i="6"/>
  <c r="K179" i="6"/>
  <c r="K180" i="6"/>
  <c r="K181" i="6"/>
  <c r="K184" i="6"/>
  <c r="K186" i="6"/>
  <c r="K187" i="6"/>
  <c r="K188" i="6"/>
  <c r="K189" i="6"/>
  <c r="K190" i="6"/>
  <c r="K191" i="6"/>
  <c r="K192" i="6"/>
  <c r="K193" i="6"/>
  <c r="K194" i="6"/>
  <c r="K195" i="6"/>
  <c r="K197" i="6"/>
  <c r="K199" i="6"/>
  <c r="K200" i="6"/>
  <c r="K201" i="6"/>
  <c r="K202" i="6"/>
  <c r="K207" i="6"/>
  <c r="K208" i="6"/>
  <c r="K210" i="6"/>
  <c r="K224" i="6"/>
  <c r="K234" i="6"/>
  <c r="K235" i="6"/>
  <c r="K236" i="6"/>
  <c r="K237" i="6"/>
  <c r="K238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7" i="6"/>
  <c r="J28" i="6"/>
  <c r="J29" i="6"/>
  <c r="J30" i="6"/>
  <c r="J31" i="6"/>
  <c r="J32" i="6"/>
  <c r="J34" i="6"/>
  <c r="J35" i="6"/>
  <c r="J36" i="6"/>
  <c r="J38" i="6"/>
  <c r="J39" i="6"/>
  <c r="J40" i="6"/>
  <c r="J41" i="6"/>
  <c r="J42" i="6"/>
  <c r="J43" i="6"/>
  <c r="J44" i="6"/>
  <c r="J46" i="6"/>
  <c r="J47" i="6"/>
  <c r="J48" i="6"/>
  <c r="J49" i="6"/>
  <c r="J50" i="6"/>
  <c r="J51" i="6"/>
  <c r="J52" i="6"/>
  <c r="J53" i="6"/>
  <c r="J54" i="6"/>
  <c r="J55" i="6"/>
  <c r="J57" i="6"/>
  <c r="J58" i="6"/>
  <c r="J59" i="6"/>
  <c r="J60" i="6"/>
  <c r="J61" i="6"/>
  <c r="J64" i="6"/>
  <c r="J65" i="6"/>
  <c r="J66" i="6"/>
  <c r="J67" i="6"/>
  <c r="J68" i="6"/>
  <c r="J70" i="6"/>
  <c r="J74" i="6"/>
  <c r="J81" i="6"/>
  <c r="J82" i="6"/>
  <c r="J86" i="6"/>
  <c r="J87" i="6"/>
  <c r="J90" i="6"/>
  <c r="J94" i="6"/>
  <c r="J95" i="6"/>
  <c r="J96" i="6"/>
  <c r="J97" i="6"/>
  <c r="J98" i="6"/>
  <c r="J101" i="6"/>
  <c r="J102" i="6"/>
  <c r="J103" i="6"/>
  <c r="J104" i="6"/>
  <c r="J107" i="6"/>
  <c r="J111" i="6"/>
  <c r="J113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4" i="6"/>
  <c r="J136" i="6"/>
  <c r="J137" i="6"/>
  <c r="J138" i="6"/>
  <c r="J145" i="6"/>
  <c r="J147" i="6"/>
  <c r="J148" i="6"/>
  <c r="J152" i="6"/>
  <c r="J153" i="6"/>
  <c r="J156" i="6"/>
  <c r="J157" i="6"/>
  <c r="J158" i="6"/>
  <c r="J160" i="6"/>
  <c r="J167" i="6"/>
  <c r="J170" i="6"/>
  <c r="J171" i="6"/>
  <c r="J172" i="6"/>
  <c r="J173" i="6"/>
  <c r="J175" i="6"/>
  <c r="J176" i="6"/>
  <c r="J177" i="6"/>
  <c r="J178" i="6"/>
  <c r="J179" i="6"/>
  <c r="J183" i="6"/>
  <c r="J185" i="6"/>
  <c r="J187" i="6"/>
  <c r="J188" i="6"/>
  <c r="J189" i="6"/>
  <c r="J190" i="6"/>
  <c r="J194" i="6"/>
  <c r="J195" i="6"/>
  <c r="J196" i="6"/>
  <c r="J197" i="6"/>
  <c r="J198" i="6"/>
  <c r="J199" i="6"/>
  <c r="J200" i="6"/>
  <c r="J201" i="6"/>
  <c r="J203" i="6"/>
  <c r="J204" i="6"/>
  <c r="J206" i="6"/>
  <c r="J209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4" i="6"/>
  <c r="J225" i="6"/>
  <c r="J226" i="6"/>
  <c r="J227" i="6"/>
  <c r="J228" i="6"/>
  <c r="J229" i="6"/>
  <c r="J230" i="6"/>
  <c r="J231" i="6"/>
  <c r="J232" i="6"/>
  <c r="J233" i="6"/>
  <c r="J236" i="6"/>
  <c r="J237" i="6"/>
  <c r="J238" i="6"/>
  <c r="J239" i="6"/>
  <c r="J240" i="6"/>
  <c r="J2" i="6"/>
  <c r="I3" i="6"/>
  <c r="I4" i="6"/>
  <c r="I5" i="6"/>
  <c r="I6" i="6"/>
  <c r="I7" i="6"/>
  <c r="I8" i="6"/>
  <c r="I9" i="6"/>
  <c r="I10" i="6"/>
  <c r="I11" i="6"/>
  <c r="I12" i="6"/>
  <c r="I15" i="6"/>
  <c r="I17" i="6"/>
  <c r="I18" i="6"/>
  <c r="I19" i="6"/>
  <c r="I20" i="6"/>
  <c r="I21" i="6"/>
  <c r="I22" i="6"/>
  <c r="I23" i="6"/>
  <c r="I33" i="6"/>
  <c r="I34" i="6"/>
  <c r="I36" i="6"/>
  <c r="I37" i="6"/>
  <c r="I38" i="6"/>
  <c r="I40" i="6"/>
  <c r="I42" i="6"/>
  <c r="I43" i="6"/>
  <c r="I44" i="6"/>
  <c r="I45" i="6"/>
  <c r="I46" i="6"/>
  <c r="I47" i="6"/>
  <c r="I48" i="6"/>
  <c r="I49" i="6"/>
  <c r="I50" i="6"/>
  <c r="I52" i="6"/>
  <c r="I54" i="6"/>
  <c r="I56" i="6"/>
  <c r="I57" i="6"/>
  <c r="I58" i="6"/>
  <c r="I59" i="6"/>
  <c r="I61" i="6"/>
  <c r="I62" i="6"/>
  <c r="I63" i="6"/>
  <c r="I64" i="6"/>
  <c r="I66" i="6"/>
  <c r="I67" i="6"/>
  <c r="I68" i="6"/>
  <c r="I69" i="6"/>
  <c r="I70" i="6"/>
  <c r="I71" i="6"/>
  <c r="I72" i="6"/>
  <c r="I73" i="6"/>
  <c r="I74" i="6"/>
  <c r="I75" i="6"/>
  <c r="I77" i="6"/>
  <c r="I78" i="6"/>
  <c r="I79" i="6"/>
  <c r="I81" i="6"/>
  <c r="I82" i="6"/>
  <c r="I83" i="6"/>
  <c r="I84" i="6"/>
  <c r="I85" i="6"/>
  <c r="I86" i="6"/>
  <c r="I88" i="6"/>
  <c r="I89" i="6"/>
  <c r="I91" i="6"/>
  <c r="I92" i="6"/>
  <c r="I93" i="6"/>
  <c r="I94" i="6"/>
  <c r="I95" i="6"/>
  <c r="I98" i="6"/>
  <c r="I100" i="6"/>
  <c r="I109" i="6"/>
  <c r="I112" i="6"/>
  <c r="I115" i="6"/>
  <c r="I116" i="6"/>
  <c r="I117" i="6"/>
  <c r="I118" i="6"/>
  <c r="I120" i="6"/>
  <c r="I121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7" i="6"/>
  <c r="I152" i="6"/>
  <c r="I153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2" i="6"/>
  <c r="I183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5" i="6"/>
  <c r="I207" i="6"/>
  <c r="I208" i="6"/>
  <c r="I209" i="6"/>
  <c r="I210" i="6"/>
  <c r="I211" i="6"/>
  <c r="I212" i="6"/>
  <c r="I213" i="6"/>
  <c r="I214" i="6"/>
  <c r="I215" i="6"/>
  <c r="I217" i="6"/>
  <c r="I220" i="6"/>
  <c r="I221" i="6"/>
  <c r="I223" i="6"/>
  <c r="I225" i="6"/>
  <c r="I226" i="6"/>
  <c r="I227" i="6"/>
  <c r="I228" i="6"/>
  <c r="I229" i="6"/>
  <c r="I230" i="6"/>
  <c r="I231" i="6"/>
  <c r="I233" i="6"/>
  <c r="I234" i="6"/>
  <c r="I235" i="6"/>
  <c r="I236" i="6"/>
  <c r="I237" i="6"/>
  <c r="I238" i="6"/>
  <c r="I239" i="6"/>
  <c r="I2" i="6"/>
  <c r="H13" i="6"/>
  <c r="H14" i="6"/>
  <c r="H15" i="6"/>
  <c r="H16" i="6"/>
  <c r="H17" i="6"/>
  <c r="H18" i="6"/>
  <c r="H19" i="6"/>
  <c r="H20" i="6"/>
  <c r="H21" i="6"/>
  <c r="H22" i="6"/>
  <c r="H23" i="6"/>
  <c r="H24" i="6"/>
  <c r="H26" i="6"/>
  <c r="H28" i="6"/>
  <c r="H29" i="6"/>
  <c r="H30" i="6"/>
  <c r="H31" i="6"/>
  <c r="H32" i="6"/>
  <c r="H33" i="6"/>
  <c r="H35" i="6"/>
  <c r="H36" i="6"/>
  <c r="H37" i="6"/>
  <c r="H38" i="6"/>
  <c r="H41" i="6"/>
  <c r="H42" i="6"/>
  <c r="H43" i="6"/>
  <c r="H53" i="6"/>
  <c r="H54" i="6"/>
  <c r="H55" i="6"/>
  <c r="H56" i="6"/>
  <c r="H57" i="6"/>
  <c r="H63" i="6"/>
  <c r="H71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7" i="6"/>
  <c r="H99" i="6"/>
  <c r="H100" i="6"/>
  <c r="H101" i="6"/>
  <c r="H104" i="6"/>
  <c r="H105" i="6"/>
  <c r="H108" i="6"/>
  <c r="H109" i="6"/>
  <c r="H113" i="6"/>
  <c r="H119" i="6"/>
  <c r="H12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7" i="6"/>
  <c r="H159" i="6"/>
  <c r="H160" i="6"/>
  <c r="H161" i="6"/>
  <c r="H162" i="6"/>
  <c r="H163" i="6"/>
  <c r="H164" i="6"/>
  <c r="H165" i="6"/>
  <c r="H166" i="6"/>
  <c r="H167" i="6"/>
  <c r="H168" i="6"/>
  <c r="H169" i="6"/>
  <c r="H174" i="6"/>
  <c r="H175" i="6"/>
  <c r="H176" i="6"/>
  <c r="H178" i="6"/>
  <c r="H182" i="6"/>
  <c r="H185" i="6"/>
  <c r="H186" i="6"/>
  <c r="H188" i="6"/>
  <c r="H191" i="6"/>
  <c r="H192" i="6"/>
  <c r="H193" i="6"/>
  <c r="H196" i="6"/>
  <c r="H197" i="6"/>
  <c r="H198" i="6"/>
  <c r="H199" i="6"/>
  <c r="H206" i="6"/>
  <c r="H207" i="6"/>
  <c r="H208" i="6"/>
  <c r="H209" i="6"/>
  <c r="H210" i="6"/>
  <c r="H212" i="6"/>
  <c r="H216" i="6"/>
  <c r="H218" i="6"/>
  <c r="H219" i="6"/>
  <c r="H220" i="6"/>
  <c r="H221" i="6"/>
  <c r="H222" i="6"/>
  <c r="H223" i="6"/>
  <c r="H224" i="6"/>
  <c r="H225" i="6"/>
  <c r="H226" i="6"/>
  <c r="G3" i="6"/>
  <c r="G4" i="6"/>
  <c r="G5" i="6"/>
  <c r="G6" i="6"/>
  <c r="G7" i="6"/>
  <c r="G8" i="6"/>
  <c r="G9" i="6"/>
  <c r="G10" i="6"/>
  <c r="G11" i="6"/>
  <c r="G12" i="6"/>
  <c r="G34" i="6"/>
  <c r="G35" i="6"/>
  <c r="G39" i="6"/>
  <c r="G40" i="6"/>
  <c r="G41" i="6"/>
  <c r="G42" i="6"/>
  <c r="G48" i="6"/>
  <c r="G56" i="6"/>
  <c r="G61" i="6"/>
  <c r="G62" i="6"/>
  <c r="G63" i="6"/>
  <c r="G66" i="6"/>
  <c r="G67" i="6"/>
  <c r="G68" i="6"/>
  <c r="G70" i="6"/>
  <c r="G71" i="6"/>
  <c r="G72" i="6"/>
  <c r="G78" i="6"/>
  <c r="G79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3" i="6"/>
  <c r="G114" i="6"/>
  <c r="G124" i="6"/>
  <c r="G125" i="6"/>
  <c r="G126" i="6"/>
  <c r="G127" i="6"/>
  <c r="G128" i="6"/>
  <c r="G129" i="6"/>
  <c r="G130" i="6"/>
  <c r="G131" i="6"/>
  <c r="G132" i="6"/>
  <c r="G137" i="6"/>
  <c r="G138" i="6"/>
  <c r="G139" i="6"/>
  <c r="G140" i="6"/>
  <c r="G144" i="6"/>
  <c r="G145" i="6"/>
  <c r="G146" i="6"/>
  <c r="G149" i="6"/>
  <c r="G150" i="6"/>
  <c r="G151" i="6"/>
  <c r="G152" i="6"/>
  <c r="G153" i="6"/>
  <c r="G154" i="6"/>
  <c r="G160" i="6"/>
  <c r="G161" i="6"/>
  <c r="G162" i="6"/>
  <c r="G163" i="6"/>
  <c r="G164" i="6"/>
  <c r="G165" i="6"/>
  <c r="G166" i="6"/>
  <c r="G167" i="6"/>
  <c r="G168" i="6"/>
  <c r="G169" i="6"/>
  <c r="G177" i="6"/>
  <c r="G179" i="6"/>
  <c r="G180" i="6"/>
  <c r="G181" i="6"/>
  <c r="G184" i="6"/>
  <c r="G186" i="6"/>
  <c r="G187" i="6"/>
  <c r="G188" i="6"/>
  <c r="G189" i="6"/>
  <c r="G190" i="6"/>
  <c r="G191" i="6"/>
  <c r="G192" i="6"/>
  <c r="G193" i="6"/>
  <c r="G194" i="6"/>
  <c r="G195" i="6"/>
  <c r="G197" i="6"/>
  <c r="G199" i="6"/>
  <c r="G200" i="6"/>
  <c r="G201" i="6"/>
  <c r="G202" i="6"/>
  <c r="G207" i="6"/>
  <c r="G208" i="6"/>
  <c r="G210" i="6"/>
  <c r="G224" i="6"/>
  <c r="G234" i="6"/>
  <c r="G235" i="6"/>
  <c r="G236" i="6"/>
  <c r="G237" i="6"/>
  <c r="G238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7" i="6"/>
  <c r="F28" i="6"/>
  <c r="F29" i="6"/>
  <c r="F30" i="6"/>
  <c r="F31" i="6"/>
  <c r="F32" i="6"/>
  <c r="F34" i="6"/>
  <c r="F35" i="6"/>
  <c r="F36" i="6"/>
  <c r="F38" i="6"/>
  <c r="F39" i="6"/>
  <c r="F40" i="6"/>
  <c r="F41" i="6"/>
  <c r="F42" i="6"/>
  <c r="F43" i="6"/>
  <c r="F44" i="6"/>
  <c r="F46" i="6"/>
  <c r="F47" i="6"/>
  <c r="F48" i="6"/>
  <c r="F49" i="6"/>
  <c r="F50" i="6"/>
  <c r="F51" i="6"/>
  <c r="F52" i="6"/>
  <c r="F53" i="6"/>
  <c r="F54" i="6"/>
  <c r="F55" i="6"/>
  <c r="F57" i="6"/>
  <c r="F58" i="6"/>
  <c r="F59" i="6"/>
  <c r="F60" i="6"/>
  <c r="F61" i="6"/>
  <c r="F64" i="6"/>
  <c r="F65" i="6"/>
  <c r="F66" i="6"/>
  <c r="F67" i="6"/>
  <c r="F68" i="6"/>
  <c r="F70" i="6"/>
  <c r="F74" i="6"/>
  <c r="F81" i="6"/>
  <c r="F82" i="6"/>
  <c r="F86" i="6"/>
  <c r="F87" i="6"/>
  <c r="F90" i="6"/>
  <c r="F94" i="6"/>
  <c r="F95" i="6"/>
  <c r="F96" i="6"/>
  <c r="F97" i="6"/>
  <c r="F98" i="6"/>
  <c r="F101" i="6"/>
  <c r="F102" i="6"/>
  <c r="F103" i="6"/>
  <c r="F104" i="6"/>
  <c r="F107" i="6"/>
  <c r="F111" i="6"/>
  <c r="F113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4" i="6"/>
  <c r="F136" i="6"/>
  <c r="F137" i="6"/>
  <c r="F138" i="6"/>
  <c r="F145" i="6"/>
  <c r="F147" i="6"/>
  <c r="F148" i="6"/>
  <c r="F152" i="6"/>
  <c r="F153" i="6"/>
  <c r="F156" i="6"/>
  <c r="F157" i="6"/>
  <c r="F158" i="6"/>
  <c r="F160" i="6"/>
  <c r="F167" i="6"/>
  <c r="F170" i="6"/>
  <c r="F171" i="6"/>
  <c r="F172" i="6"/>
  <c r="F173" i="6"/>
  <c r="F175" i="6"/>
  <c r="F176" i="6"/>
  <c r="F177" i="6"/>
  <c r="F178" i="6"/>
  <c r="F179" i="6"/>
  <c r="F183" i="6"/>
  <c r="F185" i="6"/>
  <c r="F187" i="6"/>
  <c r="F188" i="6"/>
  <c r="F189" i="6"/>
  <c r="F190" i="6"/>
  <c r="F194" i="6"/>
  <c r="F195" i="6"/>
  <c r="F196" i="6"/>
  <c r="F197" i="6"/>
  <c r="F198" i="6"/>
  <c r="F199" i="6"/>
  <c r="F200" i="6"/>
  <c r="F201" i="6"/>
  <c r="F203" i="6"/>
  <c r="F204" i="6"/>
  <c r="F206" i="6"/>
  <c r="F209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4" i="6"/>
  <c r="F225" i="6"/>
  <c r="F226" i="6"/>
  <c r="F227" i="6"/>
  <c r="F228" i="6"/>
  <c r="F229" i="6"/>
  <c r="F230" i="6"/>
  <c r="F231" i="6"/>
  <c r="F232" i="6"/>
  <c r="F233" i="6"/>
  <c r="F236" i="6"/>
  <c r="F237" i="6"/>
  <c r="F238" i="6"/>
  <c r="F239" i="6"/>
  <c r="F240" i="6"/>
  <c r="F2" i="6"/>
  <c r="E14" i="6"/>
  <c r="E32" i="6"/>
  <c r="E35" i="6"/>
  <c r="E36" i="6"/>
  <c r="E44" i="6"/>
  <c r="E45" i="6"/>
  <c r="E46" i="6"/>
  <c r="E47" i="6"/>
  <c r="E48" i="6"/>
  <c r="E49" i="6"/>
  <c r="E50" i="6"/>
  <c r="E51" i="6"/>
  <c r="E52" i="6"/>
  <c r="E53" i="6"/>
  <c r="E56" i="6"/>
  <c r="E58" i="6"/>
  <c r="E59" i="6"/>
  <c r="E60" i="6"/>
  <c r="E62" i="6"/>
  <c r="E75" i="6"/>
  <c r="E79" i="6"/>
  <c r="E80" i="6"/>
  <c r="E95" i="6"/>
  <c r="E96" i="6"/>
  <c r="E97" i="6"/>
  <c r="E98" i="6"/>
  <c r="E99" i="6"/>
  <c r="E106" i="6"/>
  <c r="E117" i="6"/>
  <c r="E118" i="6"/>
  <c r="E119" i="6"/>
  <c r="E122" i="6"/>
  <c r="E142" i="6"/>
  <c r="E143" i="6"/>
  <c r="E144" i="6"/>
  <c r="E146" i="6"/>
  <c r="E150" i="6"/>
  <c r="E151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81" i="6"/>
  <c r="E182" i="6"/>
  <c r="E183" i="6"/>
  <c r="E184" i="6"/>
  <c r="E185" i="6"/>
  <c r="E186" i="6"/>
  <c r="E197" i="6"/>
  <c r="E207" i="6"/>
  <c r="E226" i="6"/>
  <c r="E231" i="6"/>
  <c r="E232" i="6"/>
  <c r="E233" i="6"/>
  <c r="E234" i="6"/>
  <c r="E236" i="6"/>
  <c r="E239" i="6"/>
  <c r="E240" i="6"/>
  <c r="D14" i="6"/>
  <c r="D32" i="6"/>
  <c r="D35" i="6"/>
  <c r="D36" i="6"/>
  <c r="D44" i="6"/>
  <c r="D45" i="6"/>
  <c r="D46" i="6"/>
  <c r="D47" i="6"/>
  <c r="D48" i="6"/>
  <c r="D49" i="6"/>
  <c r="D50" i="6"/>
  <c r="D51" i="6"/>
  <c r="D52" i="6"/>
  <c r="D53" i="6"/>
  <c r="D56" i="6"/>
  <c r="D58" i="6"/>
  <c r="D59" i="6"/>
  <c r="D60" i="6"/>
  <c r="D62" i="6"/>
  <c r="D75" i="6"/>
  <c r="D79" i="6"/>
  <c r="D80" i="6"/>
  <c r="D95" i="6"/>
  <c r="D96" i="6"/>
  <c r="D97" i="6"/>
  <c r="D98" i="6"/>
  <c r="D99" i="6"/>
  <c r="D106" i="6"/>
  <c r="D117" i="6"/>
  <c r="D118" i="6"/>
  <c r="D119" i="6"/>
  <c r="D122" i="6"/>
  <c r="D142" i="6"/>
  <c r="D143" i="6"/>
  <c r="D144" i="6"/>
  <c r="D146" i="6"/>
  <c r="D150" i="6"/>
  <c r="D151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81" i="6"/>
  <c r="D182" i="6"/>
  <c r="D183" i="6"/>
  <c r="D184" i="6"/>
  <c r="D185" i="6"/>
  <c r="D186" i="6"/>
  <c r="D197" i="6"/>
  <c r="D207" i="6"/>
  <c r="D226" i="6"/>
  <c r="D231" i="6"/>
  <c r="D232" i="6"/>
  <c r="D233" i="6"/>
  <c r="D234" i="6"/>
  <c r="D236" i="6"/>
  <c r="D239" i="6"/>
  <c r="D240" i="6"/>
  <c r="C3" i="6"/>
  <c r="C4" i="6"/>
  <c r="C5" i="6"/>
  <c r="C6" i="6"/>
  <c r="C7" i="6"/>
  <c r="C8" i="6"/>
  <c r="C9" i="6"/>
  <c r="C10" i="6"/>
  <c r="C11" i="6"/>
  <c r="C12" i="6"/>
  <c r="C34" i="6"/>
  <c r="C35" i="6"/>
  <c r="C39" i="6"/>
  <c r="C40" i="6"/>
  <c r="C41" i="6"/>
  <c r="C42" i="6"/>
  <c r="C48" i="6"/>
  <c r="C56" i="6"/>
  <c r="C61" i="6"/>
  <c r="C62" i="6"/>
  <c r="C63" i="6"/>
  <c r="C66" i="6"/>
  <c r="C67" i="6"/>
  <c r="C68" i="6"/>
  <c r="C70" i="6"/>
  <c r="C71" i="6"/>
  <c r="C72" i="6"/>
  <c r="C78" i="6"/>
  <c r="C79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3" i="6"/>
  <c r="C114" i="6"/>
  <c r="C124" i="6"/>
  <c r="C125" i="6"/>
  <c r="C126" i="6"/>
  <c r="C127" i="6"/>
  <c r="C128" i="6"/>
  <c r="C129" i="6"/>
  <c r="C130" i="6"/>
  <c r="C131" i="6"/>
  <c r="C132" i="6"/>
  <c r="C137" i="6"/>
  <c r="C138" i="6"/>
  <c r="C139" i="6"/>
  <c r="C140" i="6"/>
  <c r="C144" i="6"/>
  <c r="C145" i="6"/>
  <c r="C146" i="6"/>
  <c r="C149" i="6"/>
  <c r="C150" i="6"/>
  <c r="C151" i="6"/>
  <c r="C152" i="6"/>
  <c r="C153" i="6"/>
  <c r="C154" i="6"/>
  <c r="C160" i="6"/>
  <c r="C161" i="6"/>
  <c r="C162" i="6"/>
  <c r="C163" i="6"/>
  <c r="C164" i="6"/>
  <c r="C165" i="6"/>
  <c r="C166" i="6"/>
  <c r="C167" i="6"/>
  <c r="C168" i="6"/>
  <c r="C169" i="6"/>
  <c r="C177" i="6"/>
  <c r="C179" i="6"/>
  <c r="C180" i="6"/>
  <c r="C181" i="6"/>
  <c r="C184" i="6"/>
  <c r="C186" i="6"/>
  <c r="C187" i="6"/>
  <c r="C188" i="6"/>
  <c r="C189" i="6"/>
  <c r="C190" i="6"/>
  <c r="C191" i="6"/>
  <c r="C192" i="6"/>
  <c r="C193" i="6"/>
  <c r="C194" i="6"/>
  <c r="C195" i="6"/>
  <c r="C197" i="6"/>
  <c r="C199" i="6"/>
  <c r="C200" i="6"/>
  <c r="C201" i="6"/>
  <c r="C202" i="6"/>
  <c r="C207" i="6"/>
  <c r="C208" i="6"/>
  <c r="C210" i="6"/>
  <c r="C224" i="6"/>
  <c r="C234" i="6"/>
  <c r="C235" i="6"/>
  <c r="C236" i="6"/>
  <c r="C237" i="6"/>
  <c r="C238" i="6"/>
  <c r="C2" i="6"/>
  <c r="B3" i="6"/>
  <c r="B4" i="6"/>
  <c r="B5" i="6"/>
  <c r="B6" i="6"/>
  <c r="B7" i="6"/>
  <c r="B8" i="6"/>
  <c r="B9" i="6"/>
  <c r="B10" i="6"/>
  <c r="B11" i="6"/>
  <c r="B12" i="6"/>
  <c r="B15" i="6"/>
  <c r="B16" i="6"/>
  <c r="B17" i="6"/>
  <c r="B18" i="6"/>
  <c r="B19" i="6"/>
  <c r="B20" i="6"/>
  <c r="B21" i="6"/>
  <c r="B22" i="6"/>
  <c r="B23" i="6"/>
  <c r="B24" i="6"/>
  <c r="B25" i="6"/>
  <c r="B27" i="6"/>
  <c r="B31" i="6"/>
  <c r="B34" i="6"/>
  <c r="B36" i="6"/>
  <c r="B38" i="6"/>
  <c r="B39" i="6"/>
  <c r="B40" i="6"/>
  <c r="B41" i="6"/>
  <c r="B43" i="6"/>
  <c r="B44" i="6"/>
  <c r="B45" i="6"/>
  <c r="B60" i="6"/>
  <c r="B61" i="6"/>
  <c r="B65" i="6"/>
  <c r="B67" i="6"/>
  <c r="B68" i="6"/>
  <c r="B69" i="6"/>
  <c r="B70" i="6"/>
  <c r="B72" i="6"/>
  <c r="B73" i="6"/>
  <c r="B74" i="6"/>
  <c r="B75" i="6"/>
  <c r="B80" i="6"/>
  <c r="B98" i="6"/>
  <c r="B99" i="6"/>
  <c r="B100" i="6"/>
  <c r="B101" i="6"/>
  <c r="B112" i="6"/>
  <c r="B114" i="6"/>
  <c r="B115" i="6"/>
  <c r="B116" i="6"/>
  <c r="B118" i="6"/>
  <c r="B119" i="6"/>
  <c r="B120" i="6"/>
  <c r="B121" i="6"/>
  <c r="B122" i="6"/>
  <c r="B132" i="6"/>
  <c r="B133" i="6"/>
  <c r="B134" i="6"/>
  <c r="B135" i="6"/>
  <c r="B136" i="6"/>
  <c r="B138" i="6"/>
  <c r="B139" i="6"/>
  <c r="B140" i="6"/>
  <c r="B141" i="6"/>
  <c r="B146" i="6"/>
  <c r="B158" i="6"/>
  <c r="B159" i="6"/>
  <c r="B161" i="6"/>
  <c r="B164" i="6"/>
  <c r="B165" i="6"/>
  <c r="B166" i="6"/>
  <c r="B167" i="6"/>
  <c r="B168" i="6"/>
  <c r="B170" i="6"/>
  <c r="B173" i="6"/>
  <c r="B180" i="6"/>
  <c r="B185" i="6"/>
  <c r="B186" i="6"/>
  <c r="B187" i="6"/>
  <c r="B188" i="6"/>
  <c r="B189" i="6"/>
  <c r="B190" i="6"/>
  <c r="B191" i="6"/>
  <c r="B192" i="6"/>
  <c r="B193" i="6"/>
  <c r="B194" i="6"/>
  <c r="B196" i="6"/>
  <c r="B198" i="6"/>
  <c r="B204" i="6"/>
  <c r="B205" i="6"/>
  <c r="B209" i="6"/>
  <c r="B210" i="6"/>
  <c r="B211" i="6"/>
  <c r="B212" i="6"/>
  <c r="B213" i="6"/>
  <c r="B214" i="6"/>
  <c r="B215" i="6"/>
  <c r="B224" i="6"/>
  <c r="B225" i="6"/>
  <c r="B228" i="6"/>
  <c r="B229" i="6"/>
  <c r="B230" i="6"/>
  <c r="B231" i="6"/>
  <c r="B232" i="6"/>
  <c r="B233" i="6"/>
  <c r="B234" i="6"/>
  <c r="B235" i="6"/>
  <c r="B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" i="6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7" i="5"/>
  <c r="S88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" i="5"/>
  <c r="P3" i="5"/>
  <c r="R3" i="5" s="1"/>
  <c r="P4" i="5"/>
  <c r="R4" i="5" s="1"/>
  <c r="P5" i="5"/>
  <c r="R5" i="5" s="1"/>
  <c r="P6" i="5"/>
  <c r="R6" i="5" s="1"/>
  <c r="P7" i="5"/>
  <c r="R7" i="5" s="1"/>
  <c r="P8" i="5"/>
  <c r="R8" i="5" s="1"/>
  <c r="P9" i="5"/>
  <c r="R9" i="5" s="1"/>
  <c r="P10" i="5"/>
  <c r="R10" i="5" s="1"/>
  <c r="P11" i="5"/>
  <c r="R11" i="5" s="1"/>
  <c r="P12" i="5"/>
  <c r="R12" i="5" s="1"/>
  <c r="P13" i="5"/>
  <c r="R13" i="5" s="1"/>
  <c r="P14" i="5"/>
  <c r="R14" i="5" s="1"/>
  <c r="P15" i="5"/>
  <c r="R15" i="5" s="1"/>
  <c r="P16" i="5"/>
  <c r="R16" i="5" s="1"/>
  <c r="P17" i="5"/>
  <c r="R17" i="5" s="1"/>
  <c r="P18" i="5"/>
  <c r="R18" i="5" s="1"/>
  <c r="P19" i="5"/>
  <c r="R19" i="5" s="1"/>
  <c r="P20" i="5"/>
  <c r="R20" i="5" s="1"/>
  <c r="P21" i="5"/>
  <c r="R21" i="5" s="1"/>
  <c r="P22" i="5"/>
  <c r="R22" i="5" s="1"/>
  <c r="P23" i="5"/>
  <c r="R23" i="5" s="1"/>
  <c r="P24" i="5"/>
  <c r="R24" i="5" s="1"/>
  <c r="P25" i="5"/>
  <c r="R25" i="5" s="1"/>
  <c r="P26" i="5"/>
  <c r="R26" i="5" s="1"/>
  <c r="P27" i="5"/>
  <c r="R27" i="5" s="1"/>
  <c r="P28" i="5"/>
  <c r="R28" i="5" s="1"/>
  <c r="P29" i="5"/>
  <c r="R29" i="5" s="1"/>
  <c r="P30" i="5"/>
  <c r="R30" i="5" s="1"/>
  <c r="P31" i="5"/>
  <c r="R31" i="5" s="1"/>
  <c r="P32" i="5"/>
  <c r="R32" i="5" s="1"/>
  <c r="P33" i="5"/>
  <c r="R33" i="5" s="1"/>
  <c r="P34" i="5"/>
  <c r="R34" i="5" s="1"/>
  <c r="P35" i="5"/>
  <c r="R35" i="5" s="1"/>
  <c r="P36" i="5"/>
  <c r="R36" i="5" s="1"/>
  <c r="P37" i="5"/>
  <c r="R37" i="5" s="1"/>
  <c r="P38" i="5"/>
  <c r="R38" i="5" s="1"/>
  <c r="P39" i="5"/>
  <c r="R39" i="5" s="1"/>
  <c r="P40" i="5"/>
  <c r="R40" i="5" s="1"/>
  <c r="P41" i="5"/>
  <c r="R41" i="5" s="1"/>
  <c r="P42" i="5"/>
  <c r="R42" i="5" s="1"/>
  <c r="P43" i="5"/>
  <c r="R43" i="5" s="1"/>
  <c r="P44" i="5"/>
  <c r="R44" i="5" s="1"/>
  <c r="P45" i="5"/>
  <c r="R45" i="5" s="1"/>
  <c r="P46" i="5"/>
  <c r="R46" i="5" s="1"/>
  <c r="P47" i="5"/>
  <c r="R47" i="5" s="1"/>
  <c r="P48" i="5"/>
  <c r="R48" i="5" s="1"/>
  <c r="P49" i="5"/>
  <c r="R49" i="5" s="1"/>
  <c r="P50" i="5"/>
  <c r="R50" i="5" s="1"/>
  <c r="P51" i="5"/>
  <c r="R51" i="5" s="1"/>
  <c r="P52" i="5"/>
  <c r="R52" i="5" s="1"/>
  <c r="P53" i="5"/>
  <c r="R53" i="5" s="1"/>
  <c r="P54" i="5"/>
  <c r="R54" i="5" s="1"/>
  <c r="P55" i="5"/>
  <c r="R55" i="5" s="1"/>
  <c r="P56" i="5"/>
  <c r="R56" i="5" s="1"/>
  <c r="P57" i="5"/>
  <c r="R57" i="5" s="1"/>
  <c r="P58" i="5"/>
  <c r="R58" i="5" s="1"/>
  <c r="P59" i="5"/>
  <c r="R59" i="5" s="1"/>
  <c r="P60" i="5"/>
  <c r="R60" i="5" s="1"/>
  <c r="P61" i="5"/>
  <c r="R61" i="5" s="1"/>
  <c r="P62" i="5"/>
  <c r="R62" i="5" s="1"/>
  <c r="P63" i="5"/>
  <c r="R63" i="5" s="1"/>
  <c r="P64" i="5"/>
  <c r="R64" i="5" s="1"/>
  <c r="P65" i="5"/>
  <c r="R65" i="5" s="1"/>
  <c r="P66" i="5"/>
  <c r="R66" i="5" s="1"/>
  <c r="P67" i="5"/>
  <c r="R67" i="5" s="1"/>
  <c r="P68" i="5"/>
  <c r="R68" i="5" s="1"/>
  <c r="P69" i="5"/>
  <c r="R69" i="5" s="1"/>
  <c r="P70" i="5"/>
  <c r="R70" i="5" s="1"/>
  <c r="P71" i="5"/>
  <c r="R71" i="5" s="1"/>
  <c r="P72" i="5"/>
  <c r="R72" i="5" s="1"/>
  <c r="P73" i="5"/>
  <c r="R73" i="5" s="1"/>
  <c r="P74" i="5"/>
  <c r="R74" i="5" s="1"/>
  <c r="P75" i="5"/>
  <c r="R75" i="5" s="1"/>
  <c r="P76" i="5"/>
  <c r="R76" i="5" s="1"/>
  <c r="P77" i="5"/>
  <c r="R77" i="5" s="1"/>
  <c r="P78" i="5"/>
  <c r="R78" i="5" s="1"/>
  <c r="P79" i="5"/>
  <c r="R79" i="5" s="1"/>
  <c r="P80" i="5"/>
  <c r="R80" i="5" s="1"/>
  <c r="P81" i="5"/>
  <c r="R81" i="5" s="1"/>
  <c r="P82" i="5"/>
  <c r="P83" i="5"/>
  <c r="P84" i="5"/>
  <c r="P85" i="5"/>
  <c r="P86" i="5"/>
  <c r="P87" i="5"/>
  <c r="R87" i="5" s="1"/>
  <c r="P88" i="5"/>
  <c r="R88" i="5" s="1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" i="5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8" i="4"/>
  <c r="T19" i="4"/>
  <c r="T20" i="4"/>
  <c r="T23" i="4"/>
  <c r="T24" i="4"/>
  <c r="T25" i="4"/>
  <c r="T27" i="4"/>
  <c r="T28" i="4"/>
  <c r="T30" i="4"/>
  <c r="T31" i="4"/>
  <c r="T35" i="4"/>
  <c r="T39" i="4"/>
  <c r="T40" i="4"/>
  <c r="T41" i="4"/>
  <c r="T43" i="4"/>
  <c r="T44" i="4"/>
  <c r="T45" i="4"/>
  <c r="T46" i="4"/>
  <c r="T47" i="4"/>
  <c r="T48" i="4"/>
  <c r="T49" i="4"/>
  <c r="T50" i="4"/>
  <c r="T51" i="4"/>
  <c r="T52" i="4"/>
  <c r="T53" i="4"/>
  <c r="T54" i="4"/>
  <c r="T56" i="4"/>
  <c r="T58" i="4"/>
  <c r="T59" i="4"/>
  <c r="T62" i="4"/>
  <c r="T64" i="4"/>
  <c r="T65" i="4"/>
  <c r="T68" i="4"/>
  <c r="T69" i="4"/>
  <c r="T70" i="4"/>
  <c r="T72" i="4"/>
  <c r="T86" i="4"/>
  <c r="T92" i="4"/>
  <c r="T94" i="4"/>
  <c r="T95" i="4"/>
  <c r="T97" i="4"/>
  <c r="T98" i="4"/>
  <c r="T105" i="4"/>
  <c r="T106" i="4"/>
  <c r="T107" i="4"/>
  <c r="T108" i="4"/>
  <c r="T109" i="4"/>
  <c r="T110" i="4"/>
  <c r="T111" i="4"/>
  <c r="T112" i="4"/>
  <c r="T113" i="4"/>
  <c r="T122" i="4"/>
  <c r="T124" i="4"/>
  <c r="T126" i="4"/>
  <c r="T129" i="4"/>
  <c r="T134" i="4"/>
  <c r="T135" i="4"/>
  <c r="T136" i="4"/>
  <c r="T140" i="4"/>
  <c r="T141" i="4"/>
  <c r="T151" i="4"/>
  <c r="T154" i="4"/>
  <c r="T157" i="4"/>
  <c r="T161" i="4"/>
  <c r="T163" i="4"/>
  <c r="T164" i="4"/>
  <c r="T165" i="4"/>
  <c r="T167" i="4"/>
  <c r="T170" i="4"/>
  <c r="T173" i="4"/>
  <c r="T182" i="4"/>
  <c r="T185" i="4"/>
  <c r="T190" i="4"/>
  <c r="T191" i="4"/>
  <c r="T193" i="4"/>
  <c r="T194" i="4"/>
  <c r="T197" i="4"/>
  <c r="T198" i="4"/>
  <c r="T199" i="4"/>
  <c r="T200" i="4"/>
  <c r="T202" i="4"/>
  <c r="T211" i="4"/>
  <c r="T215" i="4"/>
  <c r="T219" i="4"/>
  <c r="T222" i="4"/>
  <c r="T223" i="4"/>
  <c r="T224" i="4"/>
  <c r="T225" i="4"/>
  <c r="T227" i="4"/>
  <c r="T229" i="4"/>
  <c r="T230" i="4"/>
  <c r="T231" i="4"/>
  <c r="T235" i="4"/>
  <c r="T237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24" i="4"/>
  <c r="S25" i="4"/>
  <c r="S26" i="4"/>
  <c r="S27" i="4"/>
  <c r="S28" i="4"/>
  <c r="S29" i="4"/>
  <c r="S30" i="4"/>
  <c r="S31" i="4"/>
  <c r="S32" i="4"/>
  <c r="S33" i="4"/>
  <c r="S34" i="4"/>
  <c r="S35" i="4"/>
  <c r="S37" i="4"/>
  <c r="S38" i="4"/>
  <c r="S41" i="4"/>
  <c r="S42" i="4"/>
  <c r="S43" i="4"/>
  <c r="S47" i="4"/>
  <c r="S54" i="4"/>
  <c r="S55" i="4"/>
  <c r="S56" i="4"/>
  <c r="S57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9" i="4"/>
  <c r="R20" i="4"/>
  <c r="R21" i="4"/>
  <c r="R23" i="4"/>
  <c r="R26" i="4"/>
  <c r="R27" i="4"/>
  <c r="R28" i="4"/>
  <c r="R29" i="4"/>
  <c r="R31" i="4"/>
  <c r="R32" i="4"/>
  <c r="R33" i="4"/>
  <c r="R46" i="4"/>
  <c r="R47" i="4"/>
  <c r="R48" i="4"/>
  <c r="R49" i="4"/>
  <c r="R51" i="4"/>
  <c r="R52" i="4"/>
  <c r="R53" i="4"/>
  <c r="R54" i="4"/>
  <c r="R55" i="4"/>
  <c r="R56" i="4"/>
  <c r="R57" i="4"/>
  <c r="R59" i="4"/>
  <c r="R60" i="4"/>
  <c r="R62" i="4"/>
  <c r="R64" i="4"/>
  <c r="R65" i="4"/>
  <c r="R66" i="4"/>
  <c r="R67" i="4"/>
  <c r="R68" i="4"/>
  <c r="R69" i="4"/>
  <c r="R70" i="4"/>
  <c r="R74" i="4"/>
  <c r="R75" i="4"/>
  <c r="R76" i="4"/>
  <c r="R79" i="4"/>
  <c r="R80" i="4"/>
  <c r="R81" i="4"/>
  <c r="R87" i="4"/>
  <c r="R90" i="4"/>
  <c r="R91" i="4"/>
  <c r="R95" i="4"/>
  <c r="R99" i="4"/>
  <c r="R107" i="4"/>
  <c r="R112" i="4"/>
  <c r="R119" i="4"/>
  <c r="R121" i="4"/>
  <c r="R124" i="4"/>
  <c r="R136" i="4"/>
  <c r="R137" i="4"/>
  <c r="R139" i="4"/>
  <c r="R142" i="4"/>
  <c r="R143" i="4"/>
  <c r="R144" i="4"/>
  <c r="R145" i="4"/>
  <c r="R147" i="4"/>
  <c r="R148" i="4"/>
  <c r="R150" i="4"/>
  <c r="R152" i="4"/>
  <c r="R153" i="4"/>
  <c r="R155" i="4"/>
  <c r="R161" i="4"/>
  <c r="R162" i="4"/>
  <c r="R165" i="4"/>
  <c r="R166" i="4"/>
  <c r="R170" i="4"/>
  <c r="R172" i="4"/>
  <c r="R173" i="4"/>
  <c r="R174" i="4"/>
  <c r="R175" i="4"/>
  <c r="R176" i="4"/>
  <c r="R177" i="4"/>
  <c r="R178" i="4"/>
  <c r="R180" i="4"/>
  <c r="R185" i="4"/>
  <c r="R207" i="4"/>
  <c r="R217" i="4"/>
  <c r="R219" i="4"/>
  <c r="R227" i="4"/>
  <c r="R228" i="4"/>
  <c r="R230" i="4"/>
  <c r="R231" i="4"/>
  <c r="R232" i="4"/>
  <c r="R233" i="4"/>
  <c r="R235" i="4"/>
  <c r="R2" i="4"/>
  <c r="Q3" i="4"/>
  <c r="Q4" i="4"/>
  <c r="Q5" i="4"/>
  <c r="Q6" i="4"/>
  <c r="Q7" i="4"/>
  <c r="Q8" i="4"/>
  <c r="Q9" i="4"/>
  <c r="Q10" i="4"/>
  <c r="Q11" i="4"/>
  <c r="Q12" i="4"/>
  <c r="Q16" i="4"/>
  <c r="Q17" i="4"/>
  <c r="Q18" i="4"/>
  <c r="Q19" i="4"/>
  <c r="Q21" i="4"/>
  <c r="Q22" i="4"/>
  <c r="Q23" i="4"/>
  <c r="Q25" i="4"/>
  <c r="Q28" i="4"/>
  <c r="Q29" i="4"/>
  <c r="Q46" i="4"/>
  <c r="Q47" i="4"/>
  <c r="Q48" i="4"/>
  <c r="Q50" i="4"/>
  <c r="Q54" i="4"/>
  <c r="Q60" i="4"/>
  <c r="Q72" i="4"/>
  <c r="Q73" i="4"/>
  <c r="Q77" i="4"/>
  <c r="Q79" i="4"/>
  <c r="Q84" i="4"/>
  <c r="Q86" i="4"/>
  <c r="Q94" i="4"/>
  <c r="Q95" i="4"/>
  <c r="Q97" i="4"/>
  <c r="Q98" i="4"/>
  <c r="Q101" i="4"/>
  <c r="Q103" i="4"/>
  <c r="Q104" i="4"/>
  <c r="Q105" i="4"/>
  <c r="Q106" i="4"/>
  <c r="Q107" i="4"/>
  <c r="Q108" i="4"/>
  <c r="Q109" i="4"/>
  <c r="Q110" i="4"/>
  <c r="Q111" i="4"/>
  <c r="Q112" i="4"/>
  <c r="Q114" i="4"/>
  <c r="Q116" i="4"/>
  <c r="Q119" i="4"/>
  <c r="Q120" i="4"/>
  <c r="Q124" i="4"/>
  <c r="Q128" i="4"/>
  <c r="Q129" i="4"/>
  <c r="Q130" i="4"/>
  <c r="Q131" i="4"/>
  <c r="Q132" i="4"/>
  <c r="Q133" i="4"/>
  <c r="Q144" i="4"/>
  <c r="Q145" i="4"/>
  <c r="Q146" i="4"/>
  <c r="Q147" i="4"/>
  <c r="Q148" i="4"/>
  <c r="Q151" i="4"/>
  <c r="Q153" i="4"/>
  <c r="Q154" i="4"/>
  <c r="Q156" i="4"/>
  <c r="Q158" i="4"/>
  <c r="Q159" i="4"/>
  <c r="Q160" i="4"/>
  <c r="Q168" i="4"/>
  <c r="Q170" i="4"/>
  <c r="Q171" i="4"/>
  <c r="Q181" i="4"/>
  <c r="Q182" i="4"/>
  <c r="Q183" i="4"/>
  <c r="Q184" i="4"/>
  <c r="Q186" i="4"/>
  <c r="Q187" i="4"/>
  <c r="Q190" i="4"/>
  <c r="Q193" i="4"/>
  <c r="Q194" i="4"/>
  <c r="Q196" i="4"/>
  <c r="Q197" i="4"/>
  <c r="Q199" i="4"/>
  <c r="Q200" i="4"/>
  <c r="Q204" i="4"/>
  <c r="Q205" i="4"/>
  <c r="Q211" i="4"/>
  <c r="Q2" i="4"/>
  <c r="P18" i="4"/>
  <c r="P19" i="4"/>
  <c r="P20" i="4"/>
  <c r="P21" i="4"/>
  <c r="P22" i="4"/>
  <c r="P26" i="4"/>
  <c r="P30" i="4"/>
  <c r="P36" i="4"/>
  <c r="P37" i="4"/>
  <c r="P39" i="4"/>
  <c r="P40" i="4"/>
  <c r="P41" i="4"/>
  <c r="P42" i="4"/>
  <c r="P44" i="4"/>
  <c r="P45" i="4"/>
  <c r="P48" i="4"/>
  <c r="P50" i="4"/>
  <c r="P52" i="4"/>
  <c r="P53" i="4"/>
  <c r="P54" i="4"/>
  <c r="P55" i="4"/>
  <c r="P57" i="4"/>
  <c r="P58" i="4"/>
  <c r="P78" i="4"/>
  <c r="P80" i="4"/>
  <c r="P83" i="4"/>
  <c r="P85" i="4"/>
  <c r="P86" i="4"/>
  <c r="P87" i="4"/>
  <c r="P88" i="4"/>
  <c r="P89" i="4"/>
  <c r="P91" i="4"/>
  <c r="P93" i="4"/>
  <c r="P94" i="4"/>
  <c r="P96" i="4"/>
  <c r="P97" i="4"/>
  <c r="P99" i="4"/>
  <c r="P100" i="4"/>
  <c r="P101" i="4"/>
  <c r="P102" i="4"/>
  <c r="P110" i="4"/>
  <c r="P111" i="4"/>
  <c r="P114" i="4"/>
  <c r="P115" i="4"/>
  <c r="P116" i="4"/>
  <c r="P117" i="4"/>
  <c r="P118" i="4"/>
  <c r="P120" i="4"/>
  <c r="P121" i="4"/>
  <c r="P123" i="4"/>
  <c r="P125" i="4"/>
  <c r="P126" i="4"/>
  <c r="P127" i="4"/>
  <c r="P128" i="4"/>
  <c r="P129" i="4"/>
  <c r="P130" i="4"/>
  <c r="P131" i="4"/>
  <c r="P132" i="4"/>
  <c r="P133" i="4"/>
  <c r="P134" i="4"/>
  <c r="P136" i="4"/>
  <c r="P137" i="4"/>
  <c r="P138" i="4"/>
  <c r="P139" i="4"/>
  <c r="P140" i="4"/>
  <c r="P141" i="4"/>
  <c r="P146" i="4"/>
  <c r="P147" i="4"/>
  <c r="P148" i="4"/>
  <c r="P149" i="4"/>
  <c r="P150" i="4"/>
  <c r="P155" i="4"/>
  <c r="P156" i="4"/>
  <c r="P157" i="4"/>
  <c r="P158" i="4"/>
  <c r="P159" i="4"/>
  <c r="P163" i="4"/>
  <c r="P164" i="4"/>
  <c r="P167" i="4"/>
  <c r="P168" i="4"/>
  <c r="P169" i="4"/>
  <c r="P173" i="4"/>
  <c r="P178" i="4"/>
  <c r="P179" i="4"/>
  <c r="P180" i="4"/>
  <c r="P182" i="4"/>
  <c r="P183" i="4"/>
  <c r="P184" i="4"/>
  <c r="P185" i="4"/>
  <c r="P186" i="4"/>
  <c r="P187" i="4"/>
  <c r="P188" i="4"/>
  <c r="P191" i="4"/>
  <c r="P192" i="4"/>
  <c r="P193" i="4"/>
  <c r="P195" i="4"/>
  <c r="P196" i="4"/>
  <c r="P200" i="4"/>
  <c r="P211" i="4"/>
  <c r="P213" i="4"/>
  <c r="P216" i="4"/>
  <c r="P217" i="4"/>
  <c r="P218" i="4"/>
  <c r="P220" i="4"/>
  <c r="P221" i="4"/>
  <c r="P223" i="4"/>
  <c r="P225" i="4"/>
  <c r="P227" i="4"/>
  <c r="P228" i="4"/>
  <c r="P232" i="4"/>
  <c r="P235" i="4"/>
  <c r="P236" i="4"/>
  <c r="P237" i="4"/>
  <c r="P238" i="4"/>
  <c r="P240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" i="4"/>
  <c r="M3" i="4"/>
  <c r="M4" i="4"/>
  <c r="M5" i="4"/>
  <c r="M6" i="4"/>
  <c r="M7" i="4"/>
  <c r="M8" i="4"/>
  <c r="M9" i="4"/>
  <c r="M10" i="4"/>
  <c r="M11" i="4"/>
  <c r="M12" i="4"/>
  <c r="M23" i="4"/>
  <c r="M24" i="4"/>
  <c r="M25" i="4"/>
  <c r="M26" i="4"/>
  <c r="M27" i="4"/>
  <c r="M28" i="4"/>
  <c r="M29" i="4"/>
  <c r="M30" i="4"/>
  <c r="M31" i="4"/>
  <c r="M33" i="4"/>
  <c r="M35" i="4"/>
  <c r="M44" i="4"/>
  <c r="M47" i="4"/>
  <c r="M50" i="4"/>
  <c r="M51" i="4"/>
  <c r="M53" i="4"/>
  <c r="M58" i="4"/>
  <c r="M59" i="4"/>
  <c r="M60" i="4"/>
  <c r="M61" i="4"/>
  <c r="M63" i="4"/>
  <c r="M66" i="4"/>
  <c r="M73" i="4"/>
  <c r="M79" i="4"/>
  <c r="M80" i="4"/>
  <c r="M81" i="4"/>
  <c r="M82" i="4"/>
  <c r="M83" i="4"/>
  <c r="M84" i="4"/>
  <c r="M85" i="4"/>
  <c r="M86" i="4"/>
  <c r="M88" i="4"/>
  <c r="M89" i="4"/>
  <c r="M90" i="4"/>
  <c r="M91" i="4"/>
  <c r="M92" i="4"/>
  <c r="M93" i="4"/>
  <c r="M95" i="4"/>
  <c r="M96" i="4"/>
  <c r="M117" i="4"/>
  <c r="M121" i="4"/>
  <c r="M127" i="4"/>
  <c r="M132" i="4"/>
  <c r="M133" i="4"/>
  <c r="M135" i="4"/>
  <c r="M136" i="4"/>
  <c r="M137" i="4"/>
  <c r="M138" i="4"/>
  <c r="M139" i="4"/>
  <c r="M140" i="4"/>
  <c r="M141" i="4"/>
  <c r="M146" i="4"/>
  <c r="M159" i="4"/>
  <c r="M164" i="4"/>
  <c r="M166" i="4"/>
  <c r="M171" i="4"/>
  <c r="M174" i="4"/>
  <c r="M175" i="4"/>
  <c r="M176" i="4"/>
  <c r="M177" i="4"/>
  <c r="M179" i="4"/>
  <c r="M180" i="4"/>
  <c r="M184" i="4"/>
  <c r="M198" i="4"/>
  <c r="M199" i="4"/>
  <c r="M201" i="4"/>
  <c r="M202" i="4"/>
  <c r="M204" i="4"/>
  <c r="M206" i="4"/>
  <c r="M207" i="4"/>
  <c r="M208" i="4"/>
  <c r="M209" i="4"/>
  <c r="M210" i="4"/>
  <c r="M212" i="4"/>
  <c r="M214" i="4"/>
  <c r="M215" i="4"/>
  <c r="M219" i="4"/>
  <c r="M222" i="4"/>
  <c r="M224" i="4"/>
  <c r="M230" i="4"/>
  <c r="M233" i="4"/>
  <c r="M234" i="4"/>
  <c r="M236" i="4"/>
  <c r="M237" i="4"/>
  <c r="M239" i="4"/>
  <c r="M240" i="4"/>
  <c r="M2" i="4"/>
  <c r="L3" i="4"/>
  <c r="L4" i="4"/>
  <c r="L5" i="4"/>
  <c r="L6" i="4"/>
  <c r="L7" i="4"/>
  <c r="L8" i="4"/>
  <c r="L9" i="4"/>
  <c r="L10" i="4"/>
  <c r="L11" i="4"/>
  <c r="L12" i="4"/>
  <c r="L17" i="4"/>
  <c r="L18" i="4"/>
  <c r="L20" i="4"/>
  <c r="L22" i="4"/>
  <c r="L25" i="4"/>
  <c r="L26" i="4"/>
  <c r="L27" i="4"/>
  <c r="L28" i="4"/>
  <c r="L30" i="4"/>
  <c r="L31" i="4"/>
  <c r="L32" i="4"/>
  <c r="L33" i="4"/>
  <c r="L34" i="4"/>
  <c r="L35" i="4"/>
  <c r="L36" i="4"/>
  <c r="L39" i="4"/>
  <c r="L43" i="4"/>
  <c r="L49" i="4"/>
  <c r="L51" i="4"/>
  <c r="L52" i="4"/>
  <c r="L55" i="4"/>
  <c r="L56" i="4"/>
  <c r="L59" i="4"/>
  <c r="L60" i="4"/>
  <c r="L62" i="4"/>
  <c r="L63" i="4"/>
  <c r="L64" i="4"/>
  <c r="L71" i="4"/>
  <c r="L77" i="4"/>
  <c r="L87" i="4"/>
  <c r="L88" i="4"/>
  <c r="L89" i="4"/>
  <c r="L90" i="4"/>
  <c r="L91" i="4"/>
  <c r="L92" i="4"/>
  <c r="L93" i="4"/>
  <c r="L95" i="4"/>
  <c r="L96" i="4"/>
  <c r="L97" i="4"/>
  <c r="L98" i="4"/>
  <c r="L99" i="4"/>
  <c r="L102" i="4"/>
  <c r="L104" i="4"/>
  <c r="L105" i="4"/>
  <c r="L109" i="4"/>
  <c r="L110" i="4"/>
  <c r="L115" i="4"/>
  <c r="L116" i="4"/>
  <c r="L117" i="4"/>
  <c r="L118" i="4"/>
  <c r="L120" i="4"/>
  <c r="L122" i="4"/>
  <c r="L123" i="4"/>
  <c r="L125" i="4"/>
  <c r="L129" i="4"/>
  <c r="L130" i="4"/>
  <c r="L131" i="4"/>
  <c r="L132" i="4"/>
  <c r="L137" i="4"/>
  <c r="L139" i="4"/>
  <c r="L145" i="4"/>
  <c r="L149" i="4"/>
  <c r="L152" i="4"/>
  <c r="L153" i="4"/>
  <c r="L154" i="4"/>
  <c r="L156" i="4"/>
  <c r="L160" i="4"/>
  <c r="L162" i="4"/>
  <c r="L167" i="4"/>
  <c r="L168" i="4"/>
  <c r="L179" i="4"/>
  <c r="L188" i="4"/>
  <c r="L189" i="4"/>
  <c r="L201" i="4"/>
  <c r="L202" i="4"/>
  <c r="L203" i="4"/>
  <c r="L206" i="4"/>
  <c r="L207" i="4"/>
  <c r="L209" i="4"/>
  <c r="L210" i="4"/>
  <c r="L211" i="4"/>
  <c r="L212" i="4"/>
  <c r="L213" i="4"/>
  <c r="L214" i="4"/>
  <c r="L215" i="4"/>
  <c r="L216" i="4"/>
  <c r="L217" i="4"/>
  <c r="L219" i="4"/>
  <c r="L220" i="4"/>
  <c r="L221" i="4"/>
  <c r="L222" i="4"/>
  <c r="L223" i="4"/>
  <c r="L226" i="4"/>
  <c r="L228" i="4"/>
  <c r="L229" i="4"/>
  <c r="L230" i="4"/>
  <c r="L231" i="4"/>
  <c r="L233" i="4"/>
  <c r="L234" i="4"/>
  <c r="L235" i="4"/>
  <c r="L239" i="4"/>
  <c r="L240" i="4"/>
  <c r="L2" i="4"/>
  <c r="K3" i="4"/>
  <c r="K4" i="4"/>
  <c r="K5" i="4"/>
  <c r="K6" i="4"/>
  <c r="K7" i="4"/>
  <c r="K8" i="4"/>
  <c r="K9" i="4"/>
  <c r="K10" i="4"/>
  <c r="K11" i="4"/>
  <c r="K12" i="4"/>
  <c r="K34" i="4"/>
  <c r="K36" i="4"/>
  <c r="K37" i="4"/>
  <c r="K38" i="4"/>
  <c r="K39" i="4"/>
  <c r="K40" i="4"/>
  <c r="K42" i="4"/>
  <c r="K43" i="4"/>
  <c r="K44" i="4"/>
  <c r="K45" i="4"/>
  <c r="K46" i="4"/>
  <c r="K67" i="4"/>
  <c r="K71" i="4"/>
  <c r="K72" i="4"/>
  <c r="K73" i="4"/>
  <c r="K74" i="4"/>
  <c r="K75" i="4"/>
  <c r="K76" i="4"/>
  <c r="K78" i="4"/>
  <c r="K82" i="4"/>
  <c r="K83" i="4"/>
  <c r="K84" i="4"/>
  <c r="K88" i="4"/>
  <c r="K89" i="4"/>
  <c r="K90" i="4"/>
  <c r="K91" i="4"/>
  <c r="K92" i="4"/>
  <c r="K93" i="4"/>
  <c r="K94" i="4"/>
  <c r="K96" i="4"/>
  <c r="K100" i="4"/>
  <c r="K101" i="4"/>
  <c r="K102" i="4"/>
  <c r="K103" i="4"/>
  <c r="K104" i="4"/>
  <c r="K105" i="4"/>
  <c r="K106" i="4"/>
  <c r="K112" i="4"/>
  <c r="K113" i="4"/>
  <c r="K114" i="4"/>
  <c r="K115" i="4"/>
  <c r="K119" i="4"/>
  <c r="K122" i="4"/>
  <c r="K123" i="4"/>
  <c r="K125" i="4"/>
  <c r="K126" i="4"/>
  <c r="K127" i="4"/>
  <c r="K128" i="4"/>
  <c r="K129" i="4"/>
  <c r="K130" i="4"/>
  <c r="K131" i="4"/>
  <c r="K132" i="4"/>
  <c r="K134" i="4"/>
  <c r="K135" i="4"/>
  <c r="K137" i="4"/>
  <c r="K142" i="4"/>
  <c r="K143" i="4"/>
  <c r="K144" i="4"/>
  <c r="K145" i="4"/>
  <c r="K146" i="4"/>
  <c r="K149" i="4"/>
  <c r="K150" i="4"/>
  <c r="K151" i="4"/>
  <c r="K152" i="4"/>
  <c r="K153" i="4"/>
  <c r="K154" i="4"/>
  <c r="K155" i="4"/>
  <c r="K160" i="4"/>
  <c r="K165" i="4"/>
  <c r="K166" i="4"/>
  <c r="K169" i="4"/>
  <c r="K172" i="4"/>
  <c r="K175" i="4"/>
  <c r="K176" i="4"/>
  <c r="K178" i="4"/>
  <c r="K179" i="4"/>
  <c r="K182" i="4"/>
  <c r="K188" i="4"/>
  <c r="K189" i="4"/>
  <c r="K190" i="4"/>
  <c r="K191" i="4"/>
  <c r="K193" i="4"/>
  <c r="K194" i="4"/>
  <c r="K195" i="4"/>
  <c r="K196" i="4"/>
  <c r="K197" i="4"/>
  <c r="K198" i="4"/>
  <c r="K200" i="4"/>
  <c r="K201" i="4"/>
  <c r="K203" i="4"/>
  <c r="K213" i="4"/>
  <c r="K218" i="4"/>
  <c r="K219" i="4"/>
  <c r="K220" i="4"/>
  <c r="K221" i="4"/>
  <c r="K222" i="4"/>
  <c r="K223" i="4"/>
  <c r="K224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20" i="4"/>
  <c r="J21" i="4"/>
  <c r="J22" i="4"/>
  <c r="J23" i="4"/>
  <c r="J24" i="4"/>
  <c r="J25" i="4"/>
  <c r="J26" i="4"/>
  <c r="J27" i="4"/>
  <c r="J29" i="4"/>
  <c r="J32" i="4"/>
  <c r="J34" i="4"/>
  <c r="J36" i="4"/>
  <c r="J37" i="4"/>
  <c r="J38" i="4"/>
  <c r="J39" i="4"/>
  <c r="J40" i="4"/>
  <c r="J41" i="4"/>
  <c r="J42" i="4"/>
  <c r="J43" i="4"/>
  <c r="J48" i="4"/>
  <c r="J49" i="4"/>
  <c r="J51" i="4"/>
  <c r="J52" i="4"/>
  <c r="J53" i="4"/>
  <c r="J54" i="4"/>
  <c r="J56" i="4"/>
  <c r="J58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97" i="4"/>
  <c r="J98" i="4"/>
  <c r="J99" i="4"/>
  <c r="J103" i="4"/>
  <c r="J108" i="4"/>
  <c r="J109" i="4"/>
  <c r="J113" i="4"/>
  <c r="J115" i="4"/>
  <c r="J116" i="4"/>
  <c r="J118" i="4"/>
  <c r="J119" i="4"/>
  <c r="J122" i="4"/>
  <c r="J123" i="4"/>
  <c r="J125" i="4"/>
  <c r="J126" i="4"/>
  <c r="J128" i="4"/>
  <c r="J134" i="4"/>
  <c r="J135" i="4"/>
  <c r="J142" i="4"/>
  <c r="J143" i="4"/>
  <c r="J144" i="4"/>
  <c r="J145" i="4"/>
  <c r="J149" i="4"/>
  <c r="J150" i="4"/>
  <c r="J151" i="4"/>
  <c r="J152" i="4"/>
  <c r="J153" i="4"/>
  <c r="J154" i="4"/>
  <c r="J155" i="4"/>
  <c r="J156" i="4"/>
  <c r="J157" i="4"/>
  <c r="J158" i="4"/>
  <c r="J159" i="4"/>
  <c r="J161" i="4"/>
  <c r="J162" i="4"/>
  <c r="J163" i="4"/>
  <c r="J167" i="4"/>
  <c r="J168" i="4"/>
  <c r="J169" i="4"/>
  <c r="J170" i="4"/>
  <c r="J171" i="4"/>
  <c r="J172" i="4"/>
  <c r="J173" i="4"/>
  <c r="J174" i="4"/>
  <c r="J177" i="4"/>
  <c r="J178" i="4"/>
  <c r="J181" i="4"/>
  <c r="J183" i="4"/>
  <c r="J184" i="4"/>
  <c r="J185" i="4"/>
  <c r="J186" i="4"/>
  <c r="J187" i="4"/>
  <c r="J188" i="4"/>
  <c r="J189" i="4"/>
  <c r="J190" i="4"/>
  <c r="J191" i="4"/>
  <c r="J192" i="4"/>
  <c r="J194" i="4"/>
  <c r="J195" i="4"/>
  <c r="J196" i="4"/>
  <c r="J197" i="4"/>
  <c r="J198" i="4"/>
  <c r="J202" i="4"/>
  <c r="J203" i="4"/>
  <c r="J205" i="4"/>
  <c r="J206" i="4"/>
  <c r="J208" i="4"/>
  <c r="J212" i="4"/>
  <c r="J213" i="4"/>
  <c r="J214" i="4"/>
  <c r="J215" i="4"/>
  <c r="J216" i="4"/>
  <c r="J217" i="4"/>
  <c r="J218" i="4"/>
  <c r="J220" i="4"/>
  <c r="J221" i="4"/>
  <c r="J225" i="4"/>
  <c r="J226" i="4"/>
  <c r="J227" i="4"/>
  <c r="J228" i="4"/>
  <c r="J232" i="4"/>
  <c r="J233" i="4"/>
  <c r="J234" i="4"/>
  <c r="J236" i="4"/>
  <c r="J238" i="4"/>
  <c r="J239" i="4"/>
  <c r="J240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1" i="4"/>
  <c r="I22" i="4"/>
  <c r="I23" i="4"/>
  <c r="I33" i="4"/>
  <c r="I34" i="4"/>
  <c r="I35" i="4"/>
  <c r="I36" i="4"/>
  <c r="I37" i="4"/>
  <c r="I38" i="4"/>
  <c r="I39" i="4"/>
  <c r="I40" i="4"/>
  <c r="I42" i="4"/>
  <c r="I43" i="4"/>
  <c r="I45" i="4"/>
  <c r="I49" i="4"/>
  <c r="I53" i="4"/>
  <c r="I55" i="4"/>
  <c r="I56" i="4"/>
  <c r="I57" i="4"/>
  <c r="I60" i="4"/>
  <c r="I61" i="4"/>
  <c r="I62" i="4"/>
  <c r="I63" i="4"/>
  <c r="I64" i="4"/>
  <c r="I65" i="4"/>
  <c r="I66" i="4"/>
  <c r="I67" i="4"/>
  <c r="I68" i="4"/>
  <c r="I69" i="4"/>
  <c r="I70" i="4"/>
  <c r="I83" i="4"/>
  <c r="I84" i="4"/>
  <c r="I85" i="4"/>
  <c r="I88" i="4"/>
  <c r="I89" i="4"/>
  <c r="I92" i="4"/>
  <c r="I93" i="4"/>
  <c r="I100" i="4"/>
  <c r="I107" i="4"/>
  <c r="I108" i="4"/>
  <c r="I113" i="4"/>
  <c r="I114" i="4"/>
  <c r="I115" i="4"/>
  <c r="I117" i="4"/>
  <c r="I118" i="4"/>
  <c r="I120" i="4"/>
  <c r="I121" i="4"/>
  <c r="I122" i="4"/>
  <c r="I124" i="4"/>
  <c r="I125" i="4"/>
  <c r="I126" i="4"/>
  <c r="I127" i="4"/>
  <c r="I128" i="4"/>
  <c r="I130" i="4"/>
  <c r="I131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6" i="4"/>
  <c r="I158" i="4"/>
  <c r="I169" i="4"/>
  <c r="I171" i="4"/>
  <c r="I172" i="4"/>
  <c r="I174" i="4"/>
  <c r="I175" i="4"/>
  <c r="I176" i="4"/>
  <c r="I177" i="4"/>
  <c r="I178" i="4"/>
  <c r="I179" i="4"/>
  <c r="I181" i="4"/>
  <c r="I183" i="4"/>
  <c r="I184" i="4"/>
  <c r="I186" i="4"/>
  <c r="I187" i="4"/>
  <c r="I190" i="4"/>
  <c r="I192" i="4"/>
  <c r="I194" i="4"/>
  <c r="I195" i="4"/>
  <c r="I196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4" i="4"/>
  <c r="I216" i="4"/>
  <c r="I218" i="4"/>
  <c r="I220" i="4"/>
  <c r="I221" i="4"/>
  <c r="I222" i="4"/>
  <c r="I223" i="4"/>
  <c r="I224" i="4"/>
  <c r="I225" i="4"/>
  <c r="I226" i="4"/>
  <c r="I227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" i="4"/>
  <c r="H13" i="4"/>
  <c r="H14" i="4"/>
  <c r="H15" i="4"/>
  <c r="H16" i="4"/>
  <c r="H17" i="4"/>
  <c r="H19" i="4"/>
  <c r="H20" i="4"/>
  <c r="H21" i="4"/>
  <c r="H22" i="4"/>
  <c r="H24" i="4"/>
  <c r="H29" i="4"/>
  <c r="H30" i="4"/>
  <c r="H31" i="4"/>
  <c r="H32" i="4"/>
  <c r="H34" i="4"/>
  <c r="H35" i="4"/>
  <c r="H36" i="4"/>
  <c r="H37" i="4"/>
  <c r="H38" i="4"/>
  <c r="H39" i="4"/>
  <c r="H40" i="4"/>
  <c r="H41" i="4"/>
  <c r="H42" i="4"/>
  <c r="H44" i="4"/>
  <c r="H45" i="4"/>
  <c r="H46" i="4"/>
  <c r="H47" i="4"/>
  <c r="H49" i="4"/>
  <c r="H50" i="4"/>
  <c r="H51" i="4"/>
  <c r="H52" i="4"/>
  <c r="H55" i="4"/>
  <c r="H57" i="4"/>
  <c r="H58" i="4"/>
  <c r="H59" i="4"/>
  <c r="H60" i="4"/>
  <c r="H61" i="4"/>
  <c r="H63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1" i="4"/>
  <c r="H82" i="4"/>
  <c r="H84" i="4"/>
  <c r="H85" i="4"/>
  <c r="H86" i="4"/>
  <c r="H87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3" i="4"/>
  <c r="H114" i="4"/>
  <c r="H117" i="4"/>
  <c r="H118" i="4"/>
  <c r="H119" i="4"/>
  <c r="H123" i="4"/>
  <c r="H127" i="4"/>
  <c r="H133" i="4"/>
  <c r="H138" i="4"/>
  <c r="H147" i="4"/>
  <c r="H148" i="4"/>
  <c r="H155" i="4"/>
  <c r="H156" i="4"/>
  <c r="H157" i="4"/>
  <c r="H160" i="4"/>
  <c r="H161" i="4"/>
  <c r="H162" i="4"/>
  <c r="H163" i="4"/>
  <c r="H164" i="4"/>
  <c r="H165" i="4"/>
  <c r="H166" i="4"/>
  <c r="H168" i="4"/>
  <c r="H169" i="4"/>
  <c r="H170" i="4"/>
  <c r="H171" i="4"/>
  <c r="H172" i="4"/>
  <c r="H173" i="4"/>
  <c r="H174" i="4"/>
  <c r="H175" i="4"/>
  <c r="H176" i="4"/>
  <c r="H177" i="4"/>
  <c r="H180" i="4"/>
  <c r="H181" i="4"/>
  <c r="H183" i="4"/>
  <c r="H187" i="4"/>
  <c r="H188" i="4"/>
  <c r="H189" i="4"/>
  <c r="H191" i="4"/>
  <c r="H192" i="4"/>
  <c r="H193" i="4"/>
  <c r="H201" i="4"/>
  <c r="H203" i="4"/>
  <c r="H204" i="4"/>
  <c r="H205" i="4"/>
  <c r="H206" i="4"/>
  <c r="H207" i="4"/>
  <c r="H208" i="4"/>
  <c r="H209" i="4"/>
  <c r="H210" i="4"/>
  <c r="H212" i="4"/>
  <c r="H214" i="4"/>
  <c r="H216" i="4"/>
  <c r="H217" i="4"/>
  <c r="H226" i="4"/>
  <c r="H229" i="4"/>
  <c r="H231" i="4"/>
  <c r="H232" i="4"/>
  <c r="H234" i="4"/>
  <c r="H238" i="4"/>
  <c r="G3" i="4"/>
  <c r="G4" i="4"/>
  <c r="G5" i="4"/>
  <c r="G6" i="4"/>
  <c r="G7" i="4"/>
  <c r="G8" i="4"/>
  <c r="G9" i="4"/>
  <c r="G10" i="4"/>
  <c r="G11" i="4"/>
  <c r="G12" i="4"/>
  <c r="G34" i="4"/>
  <c r="G36" i="4"/>
  <c r="G37" i="4"/>
  <c r="G38" i="4"/>
  <c r="G39" i="4"/>
  <c r="G40" i="4"/>
  <c r="G42" i="4"/>
  <c r="G43" i="4"/>
  <c r="G44" i="4"/>
  <c r="G45" i="4"/>
  <c r="G46" i="4"/>
  <c r="G67" i="4"/>
  <c r="G71" i="4"/>
  <c r="G72" i="4"/>
  <c r="G73" i="4"/>
  <c r="G74" i="4"/>
  <c r="G75" i="4"/>
  <c r="G76" i="4"/>
  <c r="G78" i="4"/>
  <c r="G82" i="4"/>
  <c r="G83" i="4"/>
  <c r="G84" i="4"/>
  <c r="G88" i="4"/>
  <c r="G89" i="4"/>
  <c r="G90" i="4"/>
  <c r="G91" i="4"/>
  <c r="G92" i="4"/>
  <c r="G93" i="4"/>
  <c r="G94" i="4"/>
  <c r="G96" i="4"/>
  <c r="G100" i="4"/>
  <c r="G101" i="4"/>
  <c r="G102" i="4"/>
  <c r="G103" i="4"/>
  <c r="G104" i="4"/>
  <c r="G105" i="4"/>
  <c r="G106" i="4"/>
  <c r="G112" i="4"/>
  <c r="G113" i="4"/>
  <c r="G114" i="4"/>
  <c r="G115" i="4"/>
  <c r="G119" i="4"/>
  <c r="G122" i="4"/>
  <c r="G123" i="4"/>
  <c r="G125" i="4"/>
  <c r="G126" i="4"/>
  <c r="G127" i="4"/>
  <c r="G128" i="4"/>
  <c r="G129" i="4"/>
  <c r="G130" i="4"/>
  <c r="G131" i="4"/>
  <c r="G132" i="4"/>
  <c r="G134" i="4"/>
  <c r="G135" i="4"/>
  <c r="G137" i="4"/>
  <c r="G142" i="4"/>
  <c r="G143" i="4"/>
  <c r="G144" i="4"/>
  <c r="G145" i="4"/>
  <c r="G146" i="4"/>
  <c r="G149" i="4"/>
  <c r="G150" i="4"/>
  <c r="G151" i="4"/>
  <c r="G152" i="4"/>
  <c r="G153" i="4"/>
  <c r="G154" i="4"/>
  <c r="G155" i="4"/>
  <c r="G160" i="4"/>
  <c r="G165" i="4"/>
  <c r="G166" i="4"/>
  <c r="G169" i="4"/>
  <c r="G172" i="4"/>
  <c r="G175" i="4"/>
  <c r="G176" i="4"/>
  <c r="G178" i="4"/>
  <c r="G179" i="4"/>
  <c r="G182" i="4"/>
  <c r="G188" i="4"/>
  <c r="G189" i="4"/>
  <c r="G190" i="4"/>
  <c r="G191" i="4"/>
  <c r="G193" i="4"/>
  <c r="G194" i="4"/>
  <c r="G195" i="4"/>
  <c r="G196" i="4"/>
  <c r="G197" i="4"/>
  <c r="G198" i="4"/>
  <c r="G200" i="4"/>
  <c r="G201" i="4"/>
  <c r="G203" i="4"/>
  <c r="G213" i="4"/>
  <c r="G218" i="4"/>
  <c r="G219" i="4"/>
  <c r="G220" i="4"/>
  <c r="G221" i="4"/>
  <c r="G222" i="4"/>
  <c r="G223" i="4"/>
  <c r="G224" i="4"/>
  <c r="G2" i="4"/>
  <c r="F24" i="4"/>
  <c r="F32" i="4"/>
  <c r="F33" i="4"/>
  <c r="F38" i="4"/>
  <c r="F41" i="4"/>
  <c r="F44" i="4"/>
  <c r="F45" i="4"/>
  <c r="F46" i="4"/>
  <c r="F48" i="4"/>
  <c r="F50" i="4"/>
  <c r="F57" i="4"/>
  <c r="F58" i="4"/>
  <c r="F59" i="4"/>
  <c r="F61" i="4"/>
  <c r="F71" i="4"/>
  <c r="F74" i="4"/>
  <c r="F75" i="4"/>
  <c r="F76" i="4"/>
  <c r="F77" i="4"/>
  <c r="F78" i="4"/>
  <c r="F80" i="4"/>
  <c r="F81" i="4"/>
  <c r="F82" i="4"/>
  <c r="F85" i="4"/>
  <c r="F87" i="4"/>
  <c r="F90" i="4"/>
  <c r="F94" i="4"/>
  <c r="F96" i="4"/>
  <c r="F98" i="4"/>
  <c r="F99" i="4"/>
  <c r="F100" i="4"/>
  <c r="F101" i="4"/>
  <c r="F102" i="4"/>
  <c r="F103" i="4"/>
  <c r="F104" i="4"/>
  <c r="F106" i="4"/>
  <c r="F111" i="4"/>
  <c r="F112" i="4"/>
  <c r="F116" i="4"/>
  <c r="F120" i="4"/>
  <c r="F121" i="4"/>
  <c r="F124" i="4"/>
  <c r="F138" i="4"/>
  <c r="F139" i="4"/>
  <c r="F140" i="4"/>
  <c r="F141" i="4"/>
  <c r="F142" i="4"/>
  <c r="F143" i="4"/>
  <c r="F147" i="4"/>
  <c r="F148" i="4"/>
  <c r="F149" i="4"/>
  <c r="F150" i="4"/>
  <c r="F151" i="4"/>
  <c r="F152" i="4"/>
  <c r="F157" i="4"/>
  <c r="F158" i="4"/>
  <c r="F159" i="4"/>
  <c r="F160" i="4"/>
  <c r="F161" i="4"/>
  <c r="F162" i="4"/>
  <c r="F163" i="4"/>
  <c r="F164" i="4"/>
  <c r="F165" i="4"/>
  <c r="F166" i="4"/>
  <c r="F167" i="4"/>
  <c r="F180" i="4"/>
  <c r="F181" i="4"/>
  <c r="F182" i="4"/>
  <c r="F185" i="4"/>
  <c r="F186" i="4"/>
  <c r="F189" i="4"/>
  <c r="F192" i="4"/>
  <c r="F195" i="4"/>
  <c r="F197" i="4"/>
  <c r="F199" i="4"/>
  <c r="F204" i="4"/>
  <c r="F205" i="4"/>
  <c r="F208" i="4"/>
  <c r="F209" i="4"/>
  <c r="F210" i="4"/>
  <c r="F212" i="4"/>
  <c r="F213" i="4"/>
  <c r="F215" i="4"/>
  <c r="F218" i="4"/>
  <c r="F224" i="4"/>
  <c r="F225" i="4"/>
  <c r="F226" i="4"/>
  <c r="F228" i="4"/>
  <c r="F229" i="4"/>
  <c r="F236" i="4"/>
  <c r="F237" i="4"/>
  <c r="F238" i="4"/>
  <c r="F239" i="4"/>
  <c r="E24" i="4"/>
  <c r="E32" i="4"/>
  <c r="E33" i="4"/>
  <c r="E38" i="4"/>
  <c r="E41" i="4"/>
  <c r="E44" i="4"/>
  <c r="E45" i="4"/>
  <c r="E46" i="4"/>
  <c r="E48" i="4"/>
  <c r="E50" i="4"/>
  <c r="E57" i="4"/>
  <c r="E58" i="4"/>
  <c r="E59" i="4"/>
  <c r="E61" i="4"/>
  <c r="E71" i="4"/>
  <c r="E74" i="4"/>
  <c r="E75" i="4"/>
  <c r="E76" i="4"/>
  <c r="E77" i="4"/>
  <c r="E78" i="4"/>
  <c r="E80" i="4"/>
  <c r="E81" i="4"/>
  <c r="E82" i="4"/>
  <c r="E85" i="4"/>
  <c r="E87" i="4"/>
  <c r="E90" i="4"/>
  <c r="E94" i="4"/>
  <c r="E96" i="4"/>
  <c r="E98" i="4"/>
  <c r="E99" i="4"/>
  <c r="E100" i="4"/>
  <c r="E101" i="4"/>
  <c r="E102" i="4"/>
  <c r="E103" i="4"/>
  <c r="E104" i="4"/>
  <c r="E106" i="4"/>
  <c r="E111" i="4"/>
  <c r="E112" i="4"/>
  <c r="E116" i="4"/>
  <c r="E120" i="4"/>
  <c r="E121" i="4"/>
  <c r="E124" i="4"/>
  <c r="E138" i="4"/>
  <c r="E139" i="4"/>
  <c r="E140" i="4"/>
  <c r="E141" i="4"/>
  <c r="E142" i="4"/>
  <c r="E143" i="4"/>
  <c r="E147" i="4"/>
  <c r="E148" i="4"/>
  <c r="E149" i="4"/>
  <c r="E150" i="4"/>
  <c r="E151" i="4"/>
  <c r="E152" i="4"/>
  <c r="E157" i="4"/>
  <c r="E158" i="4"/>
  <c r="E159" i="4"/>
  <c r="E160" i="4"/>
  <c r="E161" i="4"/>
  <c r="E162" i="4"/>
  <c r="E163" i="4"/>
  <c r="E164" i="4"/>
  <c r="E165" i="4"/>
  <c r="E166" i="4"/>
  <c r="E167" i="4"/>
  <c r="E180" i="4"/>
  <c r="E181" i="4"/>
  <c r="E182" i="4"/>
  <c r="E185" i="4"/>
  <c r="E186" i="4"/>
  <c r="E189" i="4"/>
  <c r="E192" i="4"/>
  <c r="E195" i="4"/>
  <c r="E197" i="4"/>
  <c r="E199" i="4"/>
  <c r="E204" i="4"/>
  <c r="E205" i="4"/>
  <c r="E208" i="4"/>
  <c r="E209" i="4"/>
  <c r="E210" i="4"/>
  <c r="E212" i="4"/>
  <c r="E213" i="4"/>
  <c r="E215" i="4"/>
  <c r="E218" i="4"/>
  <c r="E224" i="4"/>
  <c r="E225" i="4"/>
  <c r="E226" i="4"/>
  <c r="E228" i="4"/>
  <c r="E229" i="4"/>
  <c r="E236" i="4"/>
  <c r="E237" i="4"/>
  <c r="E238" i="4"/>
  <c r="E239" i="4"/>
  <c r="D24" i="4"/>
  <c r="D32" i="4"/>
  <c r="D33" i="4"/>
  <c r="D38" i="4"/>
  <c r="D41" i="4"/>
  <c r="D44" i="4"/>
  <c r="D45" i="4"/>
  <c r="D46" i="4"/>
  <c r="D48" i="4"/>
  <c r="D50" i="4"/>
  <c r="D57" i="4"/>
  <c r="D58" i="4"/>
  <c r="D59" i="4"/>
  <c r="D61" i="4"/>
  <c r="D71" i="4"/>
  <c r="D74" i="4"/>
  <c r="D75" i="4"/>
  <c r="D76" i="4"/>
  <c r="D77" i="4"/>
  <c r="D78" i="4"/>
  <c r="D80" i="4"/>
  <c r="D81" i="4"/>
  <c r="D82" i="4"/>
  <c r="D85" i="4"/>
  <c r="D87" i="4"/>
  <c r="D90" i="4"/>
  <c r="D94" i="4"/>
  <c r="D96" i="4"/>
  <c r="D98" i="4"/>
  <c r="D99" i="4"/>
  <c r="D100" i="4"/>
  <c r="D101" i="4"/>
  <c r="D102" i="4"/>
  <c r="D103" i="4"/>
  <c r="D104" i="4"/>
  <c r="D106" i="4"/>
  <c r="D111" i="4"/>
  <c r="D112" i="4"/>
  <c r="D116" i="4"/>
  <c r="D120" i="4"/>
  <c r="D121" i="4"/>
  <c r="D124" i="4"/>
  <c r="D138" i="4"/>
  <c r="D139" i="4"/>
  <c r="D140" i="4"/>
  <c r="D141" i="4"/>
  <c r="D142" i="4"/>
  <c r="D143" i="4"/>
  <c r="D147" i="4"/>
  <c r="D148" i="4"/>
  <c r="D149" i="4"/>
  <c r="D150" i="4"/>
  <c r="D151" i="4"/>
  <c r="D152" i="4"/>
  <c r="D157" i="4"/>
  <c r="D158" i="4"/>
  <c r="D159" i="4"/>
  <c r="D160" i="4"/>
  <c r="D161" i="4"/>
  <c r="D162" i="4"/>
  <c r="D163" i="4"/>
  <c r="D164" i="4"/>
  <c r="D165" i="4"/>
  <c r="D166" i="4"/>
  <c r="D167" i="4"/>
  <c r="D180" i="4"/>
  <c r="D181" i="4"/>
  <c r="D182" i="4"/>
  <c r="D185" i="4"/>
  <c r="D186" i="4"/>
  <c r="D189" i="4"/>
  <c r="D192" i="4"/>
  <c r="D195" i="4"/>
  <c r="D197" i="4"/>
  <c r="D199" i="4"/>
  <c r="D204" i="4"/>
  <c r="D205" i="4"/>
  <c r="D208" i="4"/>
  <c r="D209" i="4"/>
  <c r="D210" i="4"/>
  <c r="D212" i="4"/>
  <c r="D213" i="4"/>
  <c r="D215" i="4"/>
  <c r="D218" i="4"/>
  <c r="D224" i="4"/>
  <c r="D225" i="4"/>
  <c r="D226" i="4"/>
  <c r="D228" i="4"/>
  <c r="D229" i="4"/>
  <c r="D236" i="4"/>
  <c r="D237" i="4"/>
  <c r="D238" i="4"/>
  <c r="D239" i="4"/>
  <c r="C3" i="4"/>
  <c r="C4" i="4"/>
  <c r="C5" i="4"/>
  <c r="C6" i="4"/>
  <c r="C7" i="4"/>
  <c r="C8" i="4"/>
  <c r="C9" i="4"/>
  <c r="C10" i="4"/>
  <c r="C11" i="4"/>
  <c r="C12" i="4"/>
  <c r="C34" i="4"/>
  <c r="C36" i="4"/>
  <c r="C37" i="4"/>
  <c r="C38" i="4"/>
  <c r="C39" i="4"/>
  <c r="C40" i="4"/>
  <c r="C42" i="4"/>
  <c r="C43" i="4"/>
  <c r="C44" i="4"/>
  <c r="C45" i="4"/>
  <c r="C46" i="4"/>
  <c r="C67" i="4"/>
  <c r="C71" i="4"/>
  <c r="C72" i="4"/>
  <c r="C73" i="4"/>
  <c r="C74" i="4"/>
  <c r="C75" i="4"/>
  <c r="C76" i="4"/>
  <c r="C78" i="4"/>
  <c r="C82" i="4"/>
  <c r="C83" i="4"/>
  <c r="C84" i="4"/>
  <c r="C88" i="4"/>
  <c r="C89" i="4"/>
  <c r="C90" i="4"/>
  <c r="C91" i="4"/>
  <c r="C92" i="4"/>
  <c r="C93" i="4"/>
  <c r="C94" i="4"/>
  <c r="C96" i="4"/>
  <c r="C100" i="4"/>
  <c r="C101" i="4"/>
  <c r="C102" i="4"/>
  <c r="C103" i="4"/>
  <c r="C104" i="4"/>
  <c r="C105" i="4"/>
  <c r="C106" i="4"/>
  <c r="C112" i="4"/>
  <c r="C113" i="4"/>
  <c r="C114" i="4"/>
  <c r="C115" i="4"/>
  <c r="C119" i="4"/>
  <c r="C122" i="4"/>
  <c r="C123" i="4"/>
  <c r="C125" i="4"/>
  <c r="C126" i="4"/>
  <c r="C127" i="4"/>
  <c r="C128" i="4"/>
  <c r="C129" i="4"/>
  <c r="C130" i="4"/>
  <c r="C131" i="4"/>
  <c r="C132" i="4"/>
  <c r="C134" i="4"/>
  <c r="C135" i="4"/>
  <c r="C137" i="4"/>
  <c r="C142" i="4"/>
  <c r="C143" i="4"/>
  <c r="C144" i="4"/>
  <c r="C145" i="4"/>
  <c r="C146" i="4"/>
  <c r="C149" i="4"/>
  <c r="C150" i="4"/>
  <c r="C151" i="4"/>
  <c r="C152" i="4"/>
  <c r="C153" i="4"/>
  <c r="C154" i="4"/>
  <c r="C155" i="4"/>
  <c r="C160" i="4"/>
  <c r="C165" i="4"/>
  <c r="C166" i="4"/>
  <c r="C169" i="4"/>
  <c r="C172" i="4"/>
  <c r="C175" i="4"/>
  <c r="C176" i="4"/>
  <c r="C178" i="4"/>
  <c r="C179" i="4"/>
  <c r="C182" i="4"/>
  <c r="C188" i="4"/>
  <c r="C189" i="4"/>
  <c r="C190" i="4"/>
  <c r="C191" i="4"/>
  <c r="C193" i="4"/>
  <c r="C194" i="4"/>
  <c r="C195" i="4"/>
  <c r="C196" i="4"/>
  <c r="C197" i="4"/>
  <c r="C198" i="4"/>
  <c r="C200" i="4"/>
  <c r="C201" i="4"/>
  <c r="C203" i="4"/>
  <c r="C213" i="4"/>
  <c r="C218" i="4"/>
  <c r="C219" i="4"/>
  <c r="C220" i="4"/>
  <c r="C221" i="4"/>
  <c r="C222" i="4"/>
  <c r="C223" i="4"/>
  <c r="C224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" i="3"/>
  <c r="C13" i="6" l="1"/>
  <c r="K13" i="6"/>
  <c r="S13" i="6"/>
  <c r="I13" i="6"/>
  <c r="G13" i="6"/>
  <c r="K14" i="6"/>
  <c r="I14" i="6"/>
  <c r="G14" i="6"/>
  <c r="C14" i="6"/>
  <c r="Q14" i="6"/>
  <c r="Q15" i="6"/>
  <c r="S15" i="6"/>
  <c r="K15" i="6"/>
  <c r="G15" i="6"/>
  <c r="C15" i="6"/>
  <c r="I16" i="6"/>
  <c r="G16" i="6"/>
  <c r="K16" i="6"/>
  <c r="S16" i="6"/>
  <c r="C16" i="6"/>
  <c r="G17" i="6"/>
  <c r="K17" i="6"/>
  <c r="C17" i="6"/>
  <c r="S17" i="6"/>
  <c r="Q17" i="6"/>
  <c r="K18" i="6"/>
  <c r="C18" i="6"/>
  <c r="G18" i="6"/>
  <c r="Q18" i="6"/>
  <c r="S18" i="6"/>
  <c r="K19" i="6"/>
  <c r="L19" i="6"/>
  <c r="C19" i="6"/>
  <c r="G19" i="6"/>
  <c r="S19" i="6"/>
  <c r="L20" i="6"/>
  <c r="K20" i="6"/>
  <c r="C20" i="6"/>
  <c r="G20" i="6"/>
  <c r="S20" i="6"/>
  <c r="Q21" i="6"/>
  <c r="K21" i="6"/>
  <c r="C21" i="6"/>
  <c r="G21" i="6"/>
  <c r="L21" i="6"/>
  <c r="L22" i="6"/>
  <c r="C22" i="6"/>
  <c r="S22" i="6"/>
  <c r="K22" i="6"/>
  <c r="G22" i="6"/>
  <c r="K23" i="6"/>
  <c r="S23" i="6"/>
  <c r="G23" i="6"/>
  <c r="C23" i="6"/>
  <c r="R23" i="6"/>
  <c r="K24" i="6"/>
  <c r="Q24" i="6"/>
  <c r="G24" i="6"/>
  <c r="C24" i="6"/>
  <c r="S24" i="6"/>
  <c r="Q25" i="6"/>
  <c r="D25" i="6"/>
  <c r="G25" i="6"/>
  <c r="E25" i="6"/>
  <c r="C25" i="6"/>
  <c r="K25" i="6"/>
  <c r="E26" i="6"/>
  <c r="K26" i="6"/>
  <c r="C26" i="6"/>
  <c r="F26" i="6"/>
  <c r="G26" i="6"/>
  <c r="J26" i="6"/>
  <c r="D26" i="6"/>
  <c r="K27" i="6"/>
  <c r="G27" i="6"/>
  <c r="C27" i="6"/>
  <c r="Q27" i="6"/>
  <c r="D27" i="6"/>
  <c r="E27" i="6"/>
  <c r="B28" i="6"/>
  <c r="E28" i="6"/>
  <c r="G28" i="6"/>
  <c r="D28" i="6"/>
  <c r="C28" i="6"/>
  <c r="K28" i="6"/>
  <c r="K29" i="6"/>
  <c r="G29" i="6"/>
  <c r="E29" i="6"/>
  <c r="D29" i="6"/>
  <c r="C29" i="6"/>
  <c r="B29" i="6"/>
  <c r="C30" i="6"/>
  <c r="E30" i="6"/>
  <c r="B30" i="6"/>
  <c r="D30" i="6"/>
  <c r="G30" i="6"/>
  <c r="K30" i="6"/>
  <c r="C31" i="6"/>
  <c r="T31" i="6"/>
  <c r="K31" i="6"/>
  <c r="D31" i="6"/>
  <c r="E31" i="6"/>
  <c r="G31" i="6"/>
  <c r="C32" i="6"/>
  <c r="K32" i="6"/>
  <c r="R32" i="6"/>
  <c r="G32" i="6"/>
  <c r="M32" i="6"/>
  <c r="T33" i="6"/>
  <c r="J33" i="6"/>
  <c r="B33" i="6"/>
  <c r="U33" i="6" s="1"/>
  <c r="F33" i="6"/>
  <c r="T34" i="6"/>
  <c r="L34" i="6"/>
  <c r="S34" i="6"/>
  <c r="T35" i="6"/>
  <c r="S35" i="6"/>
  <c r="M35" i="6"/>
  <c r="S36" i="6"/>
  <c r="M36" i="6"/>
  <c r="T36" i="6"/>
  <c r="B37" i="6"/>
  <c r="U37" i="6" s="1"/>
  <c r="M37" i="6"/>
  <c r="Q37" i="6"/>
  <c r="T38" i="6"/>
  <c r="Q38" i="6"/>
  <c r="M38" i="6"/>
  <c r="T39" i="6"/>
  <c r="I39" i="6"/>
  <c r="Q39" i="6"/>
  <c r="Q40" i="6"/>
  <c r="M40" i="6"/>
  <c r="R40" i="6"/>
  <c r="T41" i="6"/>
  <c r="M41" i="6"/>
  <c r="Q41" i="6"/>
  <c r="T42" i="6"/>
  <c r="B42" i="6"/>
  <c r="U42" i="6" s="1"/>
  <c r="R42" i="6"/>
  <c r="Q43" i="6"/>
  <c r="R43" i="6"/>
  <c r="K43" i="6"/>
  <c r="C43" i="6"/>
  <c r="U43" i="6" s="1"/>
  <c r="G43" i="6"/>
  <c r="M44" i="6"/>
  <c r="K44" i="6"/>
  <c r="Q44" i="6"/>
  <c r="G44" i="6"/>
  <c r="C44" i="6"/>
  <c r="U44" i="6" s="1"/>
  <c r="M45" i="6"/>
  <c r="C45" i="6"/>
  <c r="G45" i="6"/>
  <c r="Q45" i="6"/>
  <c r="K45" i="6"/>
  <c r="K46" i="6"/>
  <c r="Q46" i="6"/>
  <c r="C46" i="6"/>
  <c r="M46" i="6"/>
  <c r="G46" i="6"/>
  <c r="G47" i="6"/>
  <c r="Q47" i="6"/>
  <c r="C47" i="6"/>
  <c r="K47" i="6"/>
  <c r="T47" i="6"/>
  <c r="T48" i="6"/>
  <c r="Q48" i="6"/>
  <c r="M48" i="6"/>
  <c r="K49" i="6"/>
  <c r="G49" i="6"/>
  <c r="Q49" i="6"/>
  <c r="C49" i="6"/>
  <c r="M49" i="6"/>
  <c r="G50" i="6"/>
  <c r="K50" i="6"/>
  <c r="Q50" i="6"/>
  <c r="C50" i="6"/>
  <c r="M50" i="6"/>
  <c r="G51" i="6"/>
  <c r="C51" i="6"/>
  <c r="K51" i="6"/>
  <c r="I51" i="6"/>
  <c r="Q51" i="6"/>
  <c r="K52" i="6"/>
  <c r="M52" i="6"/>
  <c r="Q52" i="6"/>
  <c r="G52" i="6"/>
  <c r="C52" i="6"/>
  <c r="G53" i="6"/>
  <c r="C53" i="6"/>
  <c r="I53" i="6"/>
  <c r="K53" i="6"/>
  <c r="C54" i="6"/>
  <c r="K54" i="6"/>
  <c r="G54" i="6"/>
  <c r="Q54" i="6"/>
  <c r="R54" i="6"/>
  <c r="Q55" i="6"/>
  <c r="C55" i="6"/>
  <c r="K55" i="6"/>
  <c r="I55" i="6"/>
  <c r="G55" i="6"/>
  <c r="T56" i="6"/>
  <c r="R56" i="6"/>
  <c r="Q56" i="6"/>
  <c r="C57" i="6"/>
  <c r="K57" i="6"/>
  <c r="Q57" i="6"/>
  <c r="G57" i="6"/>
  <c r="L57" i="6"/>
  <c r="C58" i="6"/>
  <c r="K58" i="6"/>
  <c r="Q58" i="6"/>
  <c r="G58" i="6"/>
  <c r="M58" i="6"/>
  <c r="G59" i="6"/>
  <c r="L59" i="6"/>
  <c r="Q59" i="6"/>
  <c r="C59" i="6"/>
  <c r="K59" i="6"/>
  <c r="T60" i="6"/>
  <c r="G60" i="6"/>
  <c r="Q60" i="6"/>
  <c r="K60" i="6"/>
  <c r="C60" i="6"/>
  <c r="U60" i="6" s="1"/>
  <c r="T61" i="6"/>
  <c r="M61" i="6"/>
  <c r="F62" i="6"/>
  <c r="B62" i="6"/>
  <c r="U62" i="6" s="1"/>
  <c r="J62" i="6"/>
  <c r="M62" i="6"/>
  <c r="D63" i="6"/>
  <c r="E63" i="6"/>
  <c r="J63" i="6"/>
  <c r="F63" i="6"/>
  <c r="B63" i="6"/>
  <c r="U63" i="6" s="1"/>
  <c r="D64" i="6"/>
  <c r="E64" i="6"/>
  <c r="G64" i="6"/>
  <c r="K64" i="6"/>
  <c r="C64" i="6"/>
  <c r="B64" i="6"/>
  <c r="U64" i="6" s="1"/>
  <c r="E65" i="6"/>
  <c r="R65" i="6"/>
  <c r="G65" i="6"/>
  <c r="K65" i="6"/>
  <c r="C65" i="6"/>
  <c r="U65" i="6" s="1"/>
  <c r="D65" i="6"/>
  <c r="T66" i="6"/>
  <c r="E66" i="6"/>
  <c r="Q66" i="6"/>
  <c r="D66" i="6"/>
  <c r="Q67" i="6"/>
  <c r="R67" i="6"/>
  <c r="E67" i="6"/>
  <c r="D67" i="6"/>
  <c r="U67" i="6" s="1"/>
  <c r="E68" i="6"/>
  <c r="T68" i="6"/>
  <c r="R68" i="6"/>
  <c r="D68" i="6"/>
  <c r="U68" i="6" s="1"/>
  <c r="K69" i="6"/>
  <c r="G69" i="6"/>
  <c r="C69" i="6"/>
  <c r="T69" i="6"/>
  <c r="E69" i="6"/>
  <c r="D69" i="6"/>
  <c r="R70" i="6"/>
  <c r="E70" i="6"/>
  <c r="T70" i="6"/>
  <c r="D70" i="6"/>
  <c r="U70" i="6" s="1"/>
  <c r="E71" i="6"/>
  <c r="T71" i="6"/>
  <c r="R71" i="6"/>
  <c r="D71" i="6"/>
  <c r="D72" i="6"/>
  <c r="E72" i="6"/>
  <c r="M72" i="6"/>
  <c r="R72" i="6"/>
  <c r="R73" i="6"/>
  <c r="M73" i="6"/>
  <c r="E73" i="6"/>
  <c r="D73" i="6"/>
  <c r="R74" i="6"/>
  <c r="T74" i="6"/>
  <c r="D74" i="6"/>
  <c r="E74" i="6"/>
  <c r="R75" i="6"/>
  <c r="M75" i="6"/>
  <c r="T75" i="6"/>
  <c r="E76" i="6"/>
  <c r="R76" i="6"/>
  <c r="I76" i="6"/>
  <c r="D76" i="6"/>
  <c r="D77" i="6"/>
  <c r="E77" i="6"/>
  <c r="R77" i="6"/>
  <c r="T77" i="6"/>
  <c r="T78" i="6"/>
  <c r="D78" i="6"/>
  <c r="R78" i="6"/>
  <c r="E78" i="6"/>
  <c r="T79" i="6"/>
  <c r="R79" i="6"/>
  <c r="M79" i="6"/>
  <c r="T80" i="6"/>
  <c r="M80" i="6"/>
  <c r="I80" i="6"/>
  <c r="E81" i="6"/>
  <c r="R81" i="6"/>
  <c r="D81" i="6"/>
  <c r="Q81" i="6"/>
  <c r="E87" i="6"/>
  <c r="Q87" i="6"/>
  <c r="D87" i="6"/>
  <c r="I87" i="6"/>
  <c r="M88" i="6"/>
  <c r="D88" i="6"/>
  <c r="E88" i="6"/>
  <c r="Q88" i="6"/>
  <c r="H3" i="6"/>
  <c r="E3" i="6"/>
  <c r="N3" i="6"/>
  <c r="D3" i="6"/>
  <c r="U3" i="6" s="1"/>
  <c r="H4" i="6"/>
  <c r="D4" i="6"/>
  <c r="N4" i="6"/>
  <c r="E4" i="6"/>
  <c r="D5" i="6"/>
  <c r="E5" i="6"/>
  <c r="H5" i="6"/>
  <c r="N5" i="6"/>
  <c r="H6" i="6"/>
  <c r="D6" i="6"/>
  <c r="N6" i="6"/>
  <c r="E6" i="6"/>
  <c r="H7" i="6"/>
  <c r="D7" i="6"/>
  <c r="U7" i="6" s="1"/>
  <c r="E7" i="6"/>
  <c r="N7" i="6"/>
  <c r="D8" i="6"/>
  <c r="U8" i="6" s="1"/>
  <c r="H8" i="6"/>
  <c r="E8" i="6"/>
  <c r="N8" i="6"/>
  <c r="H9" i="6"/>
  <c r="E9" i="6"/>
  <c r="N9" i="6"/>
  <c r="D9" i="6"/>
  <c r="U9" i="6" s="1"/>
  <c r="D10" i="6"/>
  <c r="E10" i="6"/>
  <c r="H10" i="6"/>
  <c r="N10" i="6"/>
  <c r="H11" i="6"/>
  <c r="D11" i="6"/>
  <c r="E11" i="6"/>
  <c r="N11" i="6"/>
  <c r="H12" i="6"/>
  <c r="N12" i="6"/>
  <c r="D12" i="6"/>
  <c r="E12" i="6"/>
  <c r="B13" i="6"/>
  <c r="D13" i="6"/>
  <c r="E13" i="6"/>
  <c r="R13" i="6"/>
  <c r="B14" i="6"/>
  <c r="U14" i="6" s="1"/>
  <c r="M14" i="6"/>
  <c r="R14" i="6"/>
  <c r="D15" i="6"/>
  <c r="R15" i="6"/>
  <c r="E15" i="6"/>
  <c r="T15" i="6"/>
  <c r="E16" i="6"/>
  <c r="D16" i="6"/>
  <c r="R16" i="6"/>
  <c r="T16" i="6"/>
  <c r="E17" i="6"/>
  <c r="D17" i="6"/>
  <c r="R17" i="6"/>
  <c r="T17" i="6"/>
  <c r="D18" i="6"/>
  <c r="M18" i="6"/>
  <c r="E18" i="6"/>
  <c r="T18" i="6"/>
  <c r="M19" i="6"/>
  <c r="E19" i="6"/>
  <c r="D19" i="6"/>
  <c r="T19" i="6"/>
  <c r="E20" i="6"/>
  <c r="M20" i="6"/>
  <c r="D20" i="6"/>
  <c r="T20" i="6"/>
  <c r="E21" i="6"/>
  <c r="M21" i="6"/>
  <c r="D21" i="6"/>
  <c r="T21" i="6"/>
  <c r="D22" i="6"/>
  <c r="M22" i="6"/>
  <c r="E22" i="6"/>
  <c r="T22" i="6"/>
  <c r="D23" i="6"/>
  <c r="M23" i="6"/>
  <c r="E23" i="6"/>
  <c r="T23" i="6"/>
  <c r="I24" i="6"/>
  <c r="M24" i="6"/>
  <c r="D24" i="6"/>
  <c r="E24" i="6"/>
  <c r="H25" i="6"/>
  <c r="I25" i="6"/>
  <c r="T25" i="6"/>
  <c r="B26" i="6"/>
  <c r="I26" i="6"/>
  <c r="R26" i="6"/>
  <c r="H27" i="6"/>
  <c r="I27" i="6"/>
  <c r="R27" i="6"/>
  <c r="I28" i="6"/>
  <c r="M28" i="6"/>
  <c r="R28" i="6"/>
  <c r="I29" i="6"/>
  <c r="L29" i="6"/>
  <c r="M29" i="6"/>
  <c r="I30" i="6"/>
  <c r="L30" i="6"/>
  <c r="R30" i="6"/>
  <c r="I31" i="6"/>
  <c r="Q31" i="6"/>
  <c r="R31" i="6"/>
  <c r="B32" i="6"/>
  <c r="I32" i="6"/>
  <c r="Q32" i="6"/>
  <c r="C33" i="6"/>
  <c r="E33" i="6"/>
  <c r="G33" i="6"/>
  <c r="D33" i="6"/>
  <c r="M33" i="6"/>
  <c r="K33" i="6"/>
  <c r="D34" i="6"/>
  <c r="H34" i="6"/>
  <c r="N34" i="6"/>
  <c r="E34" i="6"/>
  <c r="B35" i="6"/>
  <c r="I35" i="6"/>
  <c r="N35" i="6"/>
  <c r="C36" i="6"/>
  <c r="G36" i="6"/>
  <c r="K36" i="6"/>
  <c r="N36" i="6"/>
  <c r="Q36" i="6"/>
  <c r="C37" i="6"/>
  <c r="F37" i="6"/>
  <c r="J37" i="6"/>
  <c r="D37" i="6"/>
  <c r="G37" i="6"/>
  <c r="E37" i="6"/>
  <c r="K37" i="6"/>
  <c r="C38" i="6"/>
  <c r="K38" i="6"/>
  <c r="N38" i="6"/>
  <c r="E38" i="6"/>
  <c r="D38" i="6"/>
  <c r="G38" i="6"/>
  <c r="H39" i="6"/>
  <c r="E39" i="6"/>
  <c r="N39" i="6"/>
  <c r="D39" i="6"/>
  <c r="D40" i="6"/>
  <c r="H40" i="6"/>
  <c r="N40" i="6"/>
  <c r="E40" i="6"/>
  <c r="D41" i="6"/>
  <c r="I41" i="6"/>
  <c r="E41" i="6"/>
  <c r="N41" i="6"/>
  <c r="E42" i="6"/>
  <c r="N42" i="6"/>
  <c r="Q42" i="6"/>
  <c r="D42" i="6"/>
  <c r="N43" i="6"/>
  <c r="L43" i="6"/>
  <c r="D43" i="6"/>
  <c r="E43" i="6"/>
  <c r="H44" i="6"/>
  <c r="L44" i="6"/>
  <c r="N44" i="6"/>
  <c r="H45" i="6"/>
  <c r="J45" i="6"/>
  <c r="N45" i="6"/>
  <c r="F45" i="6"/>
  <c r="B46" i="6"/>
  <c r="H46" i="6"/>
  <c r="N46" i="6"/>
  <c r="B47" i="6"/>
  <c r="H47" i="6"/>
  <c r="N47" i="6"/>
  <c r="B48" i="6"/>
  <c r="H48" i="6"/>
  <c r="N48" i="6"/>
  <c r="B49" i="6"/>
  <c r="H49" i="6"/>
  <c r="N49" i="6"/>
  <c r="B50" i="6"/>
  <c r="H50" i="6"/>
  <c r="N50" i="6"/>
  <c r="B51" i="6"/>
  <c r="H51" i="6"/>
  <c r="S51" i="6"/>
  <c r="B52" i="6"/>
  <c r="H52" i="6"/>
  <c r="N52" i="6"/>
  <c r="B53" i="6"/>
  <c r="N53" i="6"/>
  <c r="Q53" i="6"/>
  <c r="B54" i="6"/>
  <c r="D54" i="6"/>
  <c r="E54" i="6"/>
  <c r="M54" i="6"/>
  <c r="B55" i="6"/>
  <c r="D55" i="6"/>
  <c r="E55" i="6"/>
  <c r="M55" i="6"/>
  <c r="B56" i="6"/>
  <c r="F56" i="6"/>
  <c r="J56" i="6"/>
  <c r="N56" i="6"/>
  <c r="B57" i="6"/>
  <c r="D57" i="6"/>
  <c r="E57" i="6"/>
  <c r="N57" i="6"/>
  <c r="B58" i="6"/>
  <c r="H58" i="6"/>
  <c r="N58" i="6"/>
  <c r="B59" i="6"/>
  <c r="H59" i="6"/>
  <c r="N59" i="6"/>
  <c r="H60" i="6"/>
  <c r="I60" i="6"/>
  <c r="N60" i="6"/>
  <c r="D61" i="6"/>
  <c r="H61" i="6"/>
  <c r="E61" i="6"/>
  <c r="N61" i="6"/>
  <c r="H62" i="6"/>
  <c r="L62" i="6"/>
  <c r="N62" i="6"/>
  <c r="L63" i="6"/>
  <c r="N63" i="6"/>
  <c r="T63" i="6"/>
  <c r="H64" i="6"/>
  <c r="N64" i="6"/>
  <c r="L64" i="6"/>
  <c r="H65" i="6"/>
  <c r="I65" i="6"/>
  <c r="L65" i="6"/>
  <c r="B66" i="6"/>
  <c r="H66" i="6"/>
  <c r="N66" i="6"/>
  <c r="H67" i="6"/>
  <c r="L67" i="6"/>
  <c r="N67" i="6"/>
  <c r="H68" i="6"/>
  <c r="N68" i="6"/>
  <c r="L68" i="6"/>
  <c r="H69" i="6"/>
  <c r="J69" i="6"/>
  <c r="F69" i="6"/>
  <c r="N69" i="6"/>
  <c r="H70" i="6"/>
  <c r="N70" i="6"/>
  <c r="L70" i="6"/>
  <c r="B71" i="6"/>
  <c r="J71" i="6"/>
  <c r="N71" i="6"/>
  <c r="F71" i="6"/>
  <c r="H72" i="6"/>
  <c r="F72" i="6"/>
  <c r="J72" i="6"/>
  <c r="N72" i="6"/>
  <c r="C73" i="6"/>
  <c r="J73" i="6"/>
  <c r="F73" i="6"/>
  <c r="K73" i="6"/>
  <c r="N73" i="6"/>
  <c r="G73" i="6"/>
  <c r="C74" i="6"/>
  <c r="G74" i="6"/>
  <c r="K74" i="6"/>
  <c r="N74" i="6"/>
  <c r="Q74" i="6"/>
  <c r="C75" i="6"/>
  <c r="F75" i="6"/>
  <c r="G75" i="6"/>
  <c r="J75" i="6"/>
  <c r="N75" i="6"/>
  <c r="K75" i="6"/>
  <c r="B76" i="6"/>
  <c r="C76" i="6"/>
  <c r="F76" i="6"/>
  <c r="J76" i="6"/>
  <c r="K76" i="6"/>
  <c r="G76" i="6"/>
  <c r="B77" i="6"/>
  <c r="C77" i="6"/>
  <c r="J77" i="6"/>
  <c r="F77" i="6"/>
  <c r="K77" i="6"/>
  <c r="G77" i="6"/>
  <c r="B78" i="6"/>
  <c r="J78" i="6"/>
  <c r="F78" i="6"/>
  <c r="N78" i="6"/>
  <c r="B79" i="6"/>
  <c r="J79" i="6"/>
  <c r="N79" i="6"/>
  <c r="F79" i="6"/>
  <c r="C80" i="6"/>
  <c r="J80" i="6"/>
  <c r="F80" i="6"/>
  <c r="K80" i="6"/>
  <c r="N80" i="6"/>
  <c r="G80" i="6"/>
  <c r="B81" i="6"/>
  <c r="C81" i="6"/>
  <c r="G81" i="6"/>
  <c r="N81" i="6"/>
  <c r="K81" i="6"/>
  <c r="S82" i="5"/>
  <c r="R82" i="5"/>
  <c r="S83" i="5"/>
  <c r="R83" i="5"/>
  <c r="R84" i="5"/>
  <c r="S84" i="5"/>
  <c r="R85" i="5"/>
  <c r="S85" i="5"/>
  <c r="S86" i="5"/>
  <c r="R86" i="5"/>
  <c r="B87" i="6"/>
  <c r="N87" i="6"/>
  <c r="T87" i="6"/>
  <c r="B88" i="6"/>
  <c r="J88" i="6"/>
  <c r="N88" i="6"/>
  <c r="F88" i="6"/>
  <c r="S89" i="5"/>
  <c r="R89" i="5"/>
  <c r="S90" i="5"/>
  <c r="R90" i="5"/>
  <c r="R91" i="5"/>
  <c r="S91" i="5"/>
  <c r="R92" i="5"/>
  <c r="S92" i="5"/>
  <c r="S93" i="5"/>
  <c r="R93" i="5"/>
  <c r="S94" i="5"/>
  <c r="R94" i="5"/>
  <c r="S95" i="5"/>
  <c r="R95" i="5"/>
  <c r="R96" i="5"/>
  <c r="S96" i="5"/>
  <c r="S97" i="5"/>
  <c r="R97" i="5"/>
  <c r="S98" i="5"/>
  <c r="R98" i="5"/>
  <c r="S99" i="5"/>
  <c r="R99" i="5"/>
  <c r="R100" i="5"/>
  <c r="S100" i="5"/>
  <c r="S101" i="5"/>
  <c r="R101" i="5"/>
  <c r="S102" i="5"/>
  <c r="R102" i="5"/>
  <c r="R103" i="5"/>
  <c r="S103" i="5"/>
  <c r="S104" i="5"/>
  <c r="R104" i="5"/>
  <c r="S105" i="5"/>
  <c r="R105" i="5"/>
  <c r="S106" i="5"/>
  <c r="R106" i="5"/>
  <c r="S107" i="5"/>
  <c r="R107" i="5"/>
  <c r="S108" i="5"/>
  <c r="R108" i="5"/>
  <c r="R109" i="5"/>
  <c r="S109" i="5"/>
  <c r="R110" i="5"/>
  <c r="S110" i="5"/>
  <c r="R111" i="5"/>
  <c r="S111" i="5"/>
  <c r="R112" i="5"/>
  <c r="S112" i="5"/>
  <c r="S113" i="5"/>
  <c r="R113" i="5"/>
  <c r="R114" i="5"/>
  <c r="S114" i="5"/>
  <c r="S115" i="5"/>
  <c r="R115" i="5"/>
  <c r="R116" i="5"/>
  <c r="S116" i="5"/>
  <c r="R117" i="5"/>
  <c r="S117" i="5"/>
  <c r="S118" i="5"/>
  <c r="R118" i="5"/>
  <c r="S119" i="5"/>
  <c r="R119" i="5"/>
  <c r="S120" i="5"/>
  <c r="R120" i="5"/>
  <c r="S121" i="5"/>
  <c r="R121" i="5"/>
  <c r="S122" i="5"/>
  <c r="R122" i="5"/>
  <c r="S123" i="5"/>
  <c r="R123" i="5"/>
  <c r="S124" i="5"/>
  <c r="R124" i="5"/>
  <c r="S125" i="5"/>
  <c r="R125" i="5"/>
  <c r="S126" i="5"/>
  <c r="R126" i="5"/>
  <c r="S127" i="5"/>
  <c r="R127" i="5"/>
  <c r="S128" i="5"/>
  <c r="R128" i="5"/>
  <c r="S129" i="5"/>
  <c r="R129" i="5"/>
  <c r="R130" i="5"/>
  <c r="S130" i="5"/>
  <c r="S131" i="5"/>
  <c r="R131" i="5"/>
  <c r="R132" i="5"/>
  <c r="S132" i="5"/>
  <c r="S133" i="5"/>
  <c r="R133" i="5"/>
  <c r="S134" i="5"/>
  <c r="R134" i="5"/>
  <c r="R135" i="5"/>
  <c r="S135" i="5"/>
  <c r="R136" i="5"/>
  <c r="S136" i="5"/>
  <c r="R137" i="5"/>
  <c r="S137" i="5"/>
  <c r="R138" i="5"/>
  <c r="S138" i="5"/>
  <c r="R139" i="5"/>
  <c r="S139" i="5"/>
  <c r="R140" i="5"/>
  <c r="S140" i="5"/>
  <c r="R141" i="5"/>
  <c r="S141" i="5"/>
  <c r="S142" i="5"/>
  <c r="R142" i="5"/>
  <c r="S143" i="5"/>
  <c r="R143" i="5"/>
  <c r="S144" i="5"/>
  <c r="R144" i="5"/>
  <c r="S145" i="5"/>
  <c r="R145" i="5"/>
  <c r="S146" i="5"/>
  <c r="R146" i="5"/>
  <c r="S147" i="5"/>
  <c r="R147" i="5"/>
  <c r="R148" i="5"/>
  <c r="S148" i="5"/>
  <c r="R149" i="5"/>
  <c r="S149" i="5"/>
  <c r="S150" i="5"/>
  <c r="R150" i="5"/>
  <c r="S151" i="5"/>
  <c r="R151" i="5"/>
  <c r="S152" i="5"/>
  <c r="R152" i="5"/>
  <c r="R153" i="5"/>
  <c r="S153" i="5"/>
  <c r="R154" i="5"/>
  <c r="S154" i="5"/>
  <c r="S155" i="5"/>
  <c r="R155" i="5"/>
  <c r="R156" i="5"/>
  <c r="S156" i="5"/>
  <c r="S157" i="5"/>
  <c r="R157" i="5"/>
  <c r="S158" i="5"/>
  <c r="R158" i="5"/>
  <c r="S159" i="5"/>
  <c r="R159" i="5"/>
  <c r="S160" i="5"/>
  <c r="R160" i="5"/>
  <c r="R161" i="5"/>
  <c r="S161" i="5"/>
  <c r="R162" i="5"/>
  <c r="S162" i="5"/>
  <c r="S163" i="5"/>
  <c r="R163" i="5"/>
  <c r="R164" i="5"/>
  <c r="S164" i="5"/>
  <c r="S165" i="5"/>
  <c r="R165" i="5"/>
  <c r="S166" i="5"/>
  <c r="R166" i="5"/>
  <c r="S167" i="5"/>
  <c r="R167" i="5"/>
  <c r="R168" i="5"/>
  <c r="S168" i="5"/>
  <c r="S169" i="5"/>
  <c r="R169" i="5"/>
  <c r="S170" i="5"/>
  <c r="R170" i="5"/>
  <c r="S171" i="5"/>
  <c r="R171" i="5"/>
  <c r="S172" i="5"/>
  <c r="R172" i="5"/>
  <c r="S173" i="5"/>
  <c r="R173" i="5"/>
  <c r="S174" i="5"/>
  <c r="R174" i="5"/>
  <c r="R175" i="5"/>
  <c r="S175" i="5"/>
  <c r="R176" i="5"/>
  <c r="S176" i="5"/>
  <c r="S177" i="5"/>
  <c r="R177" i="5"/>
  <c r="S178" i="5"/>
  <c r="R178" i="5"/>
  <c r="R179" i="5"/>
  <c r="S179" i="5"/>
  <c r="R180" i="5"/>
  <c r="S180" i="5"/>
  <c r="R181" i="5"/>
  <c r="S181" i="5"/>
  <c r="S182" i="5"/>
  <c r="R182" i="5"/>
  <c r="R183" i="5"/>
  <c r="S183" i="5"/>
  <c r="R184" i="5"/>
  <c r="S184" i="5"/>
  <c r="S185" i="5"/>
  <c r="R185" i="5"/>
  <c r="S186" i="5"/>
  <c r="R186" i="5"/>
  <c r="S187" i="5"/>
  <c r="R187" i="5"/>
  <c r="S188" i="5"/>
  <c r="R188" i="5"/>
  <c r="S189" i="5"/>
  <c r="R189" i="5"/>
  <c r="S190" i="5"/>
  <c r="R190" i="5"/>
  <c r="S191" i="5"/>
  <c r="R191" i="5"/>
  <c r="S192" i="5"/>
  <c r="R192" i="5"/>
  <c r="S193" i="5"/>
  <c r="R193" i="5"/>
  <c r="S194" i="5"/>
  <c r="R194" i="5"/>
  <c r="S195" i="5"/>
  <c r="R195" i="5"/>
  <c r="R196" i="5"/>
  <c r="S196" i="5"/>
  <c r="R197" i="5"/>
  <c r="S197" i="5"/>
  <c r="S198" i="5"/>
  <c r="R198" i="5"/>
  <c r="R199" i="5"/>
  <c r="S199" i="5"/>
  <c r="R200" i="5"/>
  <c r="S200" i="5"/>
  <c r="R201" i="5"/>
  <c r="S201" i="5"/>
  <c r="S202" i="5"/>
  <c r="R202" i="5"/>
  <c r="R203" i="5"/>
  <c r="S203" i="5"/>
  <c r="R204" i="5"/>
  <c r="S204" i="5"/>
  <c r="R205" i="5"/>
  <c r="S205" i="5"/>
  <c r="S206" i="5"/>
  <c r="R206" i="5"/>
  <c r="S207" i="5"/>
  <c r="R207" i="5"/>
  <c r="S208" i="5"/>
  <c r="R208" i="5"/>
  <c r="S209" i="5"/>
  <c r="R209" i="5"/>
  <c r="R210" i="5"/>
  <c r="S210" i="5"/>
  <c r="S211" i="5"/>
  <c r="R211" i="5"/>
  <c r="R212" i="5"/>
  <c r="S212" i="5"/>
  <c r="R213" i="5"/>
  <c r="S213" i="5"/>
  <c r="R214" i="5"/>
  <c r="S214" i="5"/>
  <c r="R215" i="5"/>
  <c r="S215" i="5"/>
  <c r="R216" i="5"/>
  <c r="S216" i="5"/>
  <c r="S217" i="5"/>
  <c r="R217" i="5"/>
  <c r="R218" i="5"/>
  <c r="S218" i="5"/>
  <c r="S219" i="5"/>
  <c r="R219" i="5"/>
  <c r="S220" i="5"/>
  <c r="R220" i="5"/>
  <c r="S221" i="5"/>
  <c r="R221" i="5"/>
  <c r="S222" i="5"/>
  <c r="R222" i="5"/>
  <c r="S223" i="5"/>
  <c r="R223" i="5"/>
  <c r="R224" i="5"/>
  <c r="S224" i="5"/>
  <c r="R225" i="5"/>
  <c r="S225" i="5"/>
  <c r="R226" i="5"/>
  <c r="S226" i="5"/>
  <c r="R227" i="5"/>
  <c r="S227" i="5"/>
  <c r="R228" i="5"/>
  <c r="S228" i="5"/>
  <c r="R229" i="5"/>
  <c r="S229" i="5"/>
  <c r="R230" i="5"/>
  <c r="S230" i="5"/>
  <c r="S231" i="5"/>
  <c r="R231" i="5"/>
  <c r="S232" i="5"/>
  <c r="R232" i="5"/>
  <c r="S233" i="5"/>
  <c r="R233" i="5"/>
  <c r="S234" i="5"/>
  <c r="R234" i="5"/>
  <c r="S235" i="5"/>
  <c r="R235" i="5"/>
  <c r="S236" i="5"/>
  <c r="R236" i="5"/>
  <c r="S237" i="5"/>
  <c r="R237" i="5"/>
  <c r="S238" i="5"/>
  <c r="R238" i="5"/>
  <c r="S239" i="5"/>
  <c r="R239" i="5"/>
  <c r="S240" i="5"/>
  <c r="R240" i="5"/>
  <c r="S2" i="5"/>
  <c r="R2" i="5"/>
  <c r="Q3" i="3"/>
  <c r="R3" i="3"/>
  <c r="Q4" i="3"/>
  <c r="R4" i="3"/>
  <c r="R5" i="3"/>
  <c r="Q5" i="3"/>
  <c r="R6" i="3"/>
  <c r="Q6" i="3"/>
  <c r="R7" i="3"/>
  <c r="Q7" i="3"/>
  <c r="Q8" i="3"/>
  <c r="R8" i="3"/>
  <c r="Q9" i="3"/>
  <c r="R9" i="3"/>
  <c r="R10" i="3"/>
  <c r="Q10" i="3"/>
  <c r="Q11" i="3"/>
  <c r="R11" i="3"/>
  <c r="R12" i="3"/>
  <c r="Q12" i="3"/>
  <c r="R13" i="3"/>
  <c r="Q13" i="3"/>
  <c r="R14" i="3"/>
  <c r="Q14" i="3"/>
  <c r="Q15" i="3"/>
  <c r="R15" i="3"/>
  <c r="Q16" i="3"/>
  <c r="R16" i="3"/>
  <c r="R17" i="3"/>
  <c r="Q17" i="3"/>
  <c r="R18" i="3"/>
  <c r="Q18" i="3"/>
  <c r="R19" i="3"/>
  <c r="Q19" i="3"/>
  <c r="Q20" i="3"/>
  <c r="R20" i="3"/>
  <c r="R21" i="3"/>
  <c r="Q21" i="3"/>
  <c r="Q22" i="3"/>
  <c r="R22" i="3"/>
  <c r="Q23" i="3"/>
  <c r="R23" i="3"/>
  <c r="Q24" i="3"/>
  <c r="R24" i="3"/>
  <c r="R25" i="3"/>
  <c r="Q25" i="3"/>
  <c r="R26" i="3"/>
  <c r="Q26" i="3"/>
  <c r="R27" i="3"/>
  <c r="Q27" i="3"/>
  <c r="Q28" i="3"/>
  <c r="R28" i="3"/>
  <c r="R29" i="3"/>
  <c r="Q29" i="3"/>
  <c r="Q30" i="3"/>
  <c r="R30" i="3"/>
  <c r="Q31" i="3"/>
  <c r="R31" i="3"/>
  <c r="R32" i="3"/>
  <c r="Q32" i="3"/>
  <c r="Q33" i="3"/>
  <c r="R33" i="3"/>
  <c r="Q34" i="3"/>
  <c r="R34" i="3"/>
  <c r="R35" i="3"/>
  <c r="Q35" i="3"/>
  <c r="Q36" i="3"/>
  <c r="R36" i="3"/>
  <c r="Q37" i="3"/>
  <c r="R37" i="3"/>
  <c r="R38" i="3"/>
  <c r="Q38" i="3"/>
  <c r="Q39" i="3"/>
  <c r="R39" i="3"/>
  <c r="R40" i="3"/>
  <c r="Q40" i="3"/>
  <c r="R41" i="3"/>
  <c r="Q41" i="3"/>
  <c r="R42" i="3"/>
  <c r="Q42" i="3"/>
  <c r="Q43" i="3"/>
  <c r="R43" i="3"/>
  <c r="R44" i="3"/>
  <c r="Q44" i="3"/>
  <c r="R45" i="3"/>
  <c r="Q45" i="3"/>
  <c r="Q46" i="3"/>
  <c r="R46" i="3"/>
  <c r="R47" i="3"/>
  <c r="Q47" i="3"/>
  <c r="R48" i="3"/>
  <c r="Q48" i="3"/>
  <c r="Q49" i="3"/>
  <c r="R49" i="3"/>
  <c r="Q50" i="3"/>
  <c r="R50" i="3"/>
  <c r="R51" i="3"/>
  <c r="Q51" i="3"/>
  <c r="Q52" i="3"/>
  <c r="R52" i="3"/>
  <c r="Q53" i="3"/>
  <c r="R53" i="3"/>
  <c r="Q54" i="3"/>
  <c r="R54" i="3"/>
  <c r="R55" i="3"/>
  <c r="Q55" i="3"/>
  <c r="R56" i="3"/>
  <c r="Q56" i="3"/>
  <c r="Q57" i="3"/>
  <c r="R57" i="3"/>
  <c r="Q58" i="3"/>
  <c r="R58" i="3"/>
  <c r="R59" i="3"/>
  <c r="Q59" i="3"/>
  <c r="Q60" i="3"/>
  <c r="R60" i="3"/>
  <c r="Q61" i="3"/>
  <c r="R61" i="3"/>
  <c r="Q62" i="3"/>
  <c r="R62" i="3"/>
  <c r="Q63" i="3"/>
  <c r="R63" i="3"/>
  <c r="R64" i="3"/>
  <c r="Q64" i="3"/>
  <c r="R65" i="3"/>
  <c r="Q65" i="3"/>
  <c r="Q66" i="3"/>
  <c r="R66" i="3"/>
  <c r="Q67" i="3"/>
  <c r="R67" i="3"/>
  <c r="R68" i="3"/>
  <c r="Q68" i="3"/>
  <c r="Q69" i="3"/>
  <c r="R69" i="3"/>
  <c r="R70" i="3"/>
  <c r="Q70" i="3"/>
  <c r="R71" i="3"/>
  <c r="Q71" i="3"/>
  <c r="R72" i="3"/>
  <c r="Q72" i="3"/>
  <c r="R73" i="3"/>
  <c r="Q73" i="3"/>
  <c r="R74" i="3"/>
  <c r="Q74" i="3"/>
  <c r="Q75" i="3"/>
  <c r="R75" i="3"/>
  <c r="Q76" i="3"/>
  <c r="R76" i="3"/>
  <c r="R77" i="3"/>
  <c r="Q77" i="3"/>
  <c r="R78" i="3"/>
  <c r="Q78" i="3"/>
  <c r="Q79" i="3"/>
  <c r="R79" i="3"/>
  <c r="R80" i="3"/>
  <c r="Q80" i="3"/>
  <c r="Q81" i="3"/>
  <c r="R81" i="3"/>
  <c r="R82" i="3"/>
  <c r="Q82" i="3"/>
  <c r="Q83" i="3"/>
  <c r="R83" i="3"/>
  <c r="R84" i="3"/>
  <c r="Q84" i="3"/>
  <c r="Q85" i="3"/>
  <c r="R85" i="3"/>
  <c r="Q86" i="3"/>
  <c r="R86" i="3"/>
  <c r="R87" i="3"/>
  <c r="Q87" i="3"/>
  <c r="R88" i="3"/>
  <c r="Q88" i="3"/>
  <c r="R89" i="3"/>
  <c r="Q89" i="3"/>
  <c r="R90" i="3"/>
  <c r="Q90" i="3"/>
  <c r="R91" i="3"/>
  <c r="Q91" i="3"/>
  <c r="R92" i="3"/>
  <c r="Q92" i="3"/>
  <c r="R93" i="3"/>
  <c r="Q93" i="3"/>
  <c r="Q94" i="3"/>
  <c r="R94" i="3"/>
  <c r="R95" i="3"/>
  <c r="Q95" i="3"/>
  <c r="R96" i="3"/>
  <c r="Q96" i="3"/>
  <c r="R97" i="3"/>
  <c r="Q97" i="3"/>
  <c r="R98" i="3"/>
  <c r="Q98" i="3"/>
  <c r="R99" i="3"/>
  <c r="Q99" i="3"/>
  <c r="R100" i="3"/>
  <c r="Q100" i="3"/>
  <c r="R101" i="3"/>
  <c r="Q101" i="3"/>
  <c r="Q102" i="3"/>
  <c r="R102" i="3"/>
  <c r="R103" i="3"/>
  <c r="Q103" i="3"/>
  <c r="Q104" i="3"/>
  <c r="R104" i="3"/>
  <c r="R105" i="3"/>
  <c r="Q105" i="3"/>
  <c r="Q106" i="3"/>
  <c r="R106" i="3"/>
  <c r="R107" i="3"/>
  <c r="Q107" i="3"/>
  <c r="R108" i="3"/>
  <c r="Q108" i="3"/>
  <c r="R109" i="3"/>
  <c r="Q109" i="3"/>
  <c r="Q110" i="3"/>
  <c r="R110" i="3"/>
  <c r="R111" i="3"/>
  <c r="Q111" i="3"/>
  <c r="R112" i="3"/>
  <c r="Q112" i="3"/>
  <c r="Q113" i="3"/>
  <c r="R113" i="3"/>
  <c r="R114" i="3"/>
  <c r="Q114" i="3"/>
  <c r="R115" i="3"/>
  <c r="Q115" i="3"/>
  <c r="Q116" i="3"/>
  <c r="R116" i="3"/>
  <c r="R117" i="3"/>
  <c r="Q117" i="3"/>
  <c r="Q118" i="3"/>
  <c r="R118" i="3"/>
  <c r="Q119" i="3"/>
  <c r="R119" i="3"/>
  <c r="R120" i="3"/>
  <c r="Q120" i="3"/>
  <c r="Q121" i="3"/>
  <c r="R121" i="3"/>
  <c r="Q122" i="3"/>
  <c r="R122" i="3"/>
  <c r="Q123" i="3"/>
  <c r="R123" i="3"/>
  <c r="Q124" i="3"/>
  <c r="R124" i="3"/>
  <c r="Q125" i="3"/>
  <c r="R125" i="3"/>
  <c r="R126" i="3"/>
  <c r="Q126" i="3"/>
  <c r="R127" i="3"/>
  <c r="Q127" i="3"/>
  <c r="R128" i="3"/>
  <c r="Q128" i="3"/>
  <c r="Q129" i="3"/>
  <c r="R129" i="3"/>
  <c r="R130" i="3"/>
  <c r="Q130" i="3"/>
  <c r="R131" i="3"/>
  <c r="Q131" i="3"/>
  <c r="Q132" i="3"/>
  <c r="R132" i="3"/>
  <c r="R133" i="3"/>
  <c r="Q133" i="3"/>
  <c r="R134" i="3"/>
  <c r="Q134" i="3"/>
  <c r="Q135" i="3"/>
  <c r="R135" i="3"/>
  <c r="R136" i="3"/>
  <c r="Q136" i="3"/>
  <c r="Q137" i="3"/>
  <c r="R137" i="3"/>
  <c r="R138" i="3"/>
  <c r="Q138" i="3"/>
  <c r="Q139" i="3"/>
  <c r="R139" i="3"/>
  <c r="Q140" i="3"/>
  <c r="R140" i="3"/>
  <c r="Q141" i="3"/>
  <c r="R141" i="3"/>
  <c r="Q142" i="3"/>
  <c r="R142" i="3"/>
  <c r="R143" i="3"/>
  <c r="Q143" i="3"/>
  <c r="Q144" i="3"/>
  <c r="R144" i="3"/>
  <c r="R145" i="3"/>
  <c r="Q145" i="3"/>
  <c r="Q146" i="3"/>
  <c r="R146" i="3"/>
  <c r="R147" i="3"/>
  <c r="Q147" i="3"/>
  <c r="R148" i="3"/>
  <c r="Q148" i="3"/>
  <c r="R149" i="3"/>
  <c r="Q149" i="3"/>
  <c r="Q150" i="3"/>
  <c r="R150" i="3"/>
  <c r="R151" i="3"/>
  <c r="Q151" i="3"/>
  <c r="Q152" i="3"/>
  <c r="R152" i="3"/>
  <c r="Q153" i="3"/>
  <c r="R153" i="3"/>
  <c r="R154" i="3"/>
  <c r="Q154" i="3"/>
  <c r="Q155" i="3"/>
  <c r="R155" i="3"/>
  <c r="R156" i="3"/>
  <c r="Q156" i="3"/>
  <c r="Q157" i="3"/>
  <c r="R157" i="3"/>
  <c r="R158" i="3"/>
  <c r="Q158" i="3"/>
  <c r="R159" i="3"/>
  <c r="Q159" i="3"/>
  <c r="Q160" i="3"/>
  <c r="R160" i="3"/>
  <c r="Q161" i="3"/>
  <c r="R161" i="3"/>
  <c r="Q162" i="3"/>
  <c r="R162" i="3"/>
  <c r="Q163" i="3"/>
  <c r="R163" i="3"/>
  <c r="Q164" i="3"/>
  <c r="R164" i="3"/>
  <c r="Q165" i="3"/>
  <c r="R165" i="3"/>
  <c r="R166" i="3"/>
  <c r="Q166" i="3"/>
  <c r="Q167" i="3"/>
  <c r="R167" i="3"/>
  <c r="Q168" i="3"/>
  <c r="R168" i="3"/>
  <c r="R169" i="3"/>
  <c r="Q169" i="3"/>
  <c r="Q170" i="3"/>
  <c r="R170" i="3"/>
  <c r="R171" i="3"/>
  <c r="Q171" i="3"/>
  <c r="R172" i="3"/>
  <c r="Q172" i="3"/>
  <c r="Q173" i="3"/>
  <c r="R173" i="3"/>
  <c r="Q174" i="3"/>
  <c r="R174" i="3"/>
  <c r="R175" i="3"/>
  <c r="Q175" i="3"/>
  <c r="Q176" i="3"/>
  <c r="R176" i="3"/>
  <c r="R177" i="3"/>
  <c r="Q177" i="3"/>
  <c r="Q178" i="3"/>
  <c r="R178" i="3"/>
  <c r="R179" i="3"/>
  <c r="Q179" i="3"/>
  <c r="Q180" i="3"/>
  <c r="R180" i="3"/>
  <c r="R181" i="3"/>
  <c r="Q181" i="3"/>
  <c r="R182" i="3"/>
  <c r="Q182" i="3"/>
  <c r="Q183" i="3"/>
  <c r="R183" i="3"/>
  <c r="R184" i="3"/>
  <c r="Q184" i="3"/>
  <c r="R185" i="3"/>
  <c r="Q185" i="3"/>
  <c r="R186" i="3"/>
  <c r="Q186" i="3"/>
  <c r="Q187" i="3"/>
  <c r="R187" i="3"/>
  <c r="Q188" i="3"/>
  <c r="R188" i="3"/>
  <c r="R189" i="3"/>
  <c r="Q189" i="3"/>
  <c r="R190" i="3"/>
  <c r="Q190" i="3"/>
  <c r="R191" i="3"/>
  <c r="Q191" i="3"/>
  <c r="Q192" i="3"/>
  <c r="R192" i="3"/>
  <c r="Q193" i="3"/>
  <c r="R193" i="3"/>
  <c r="R194" i="3"/>
  <c r="Q194" i="3"/>
  <c r="R195" i="3"/>
  <c r="Q195" i="3"/>
  <c r="R196" i="3"/>
  <c r="Q196" i="3"/>
  <c r="Q197" i="3"/>
  <c r="R197" i="3"/>
  <c r="Q198" i="3"/>
  <c r="R198" i="3"/>
  <c r="R199" i="3"/>
  <c r="Q199" i="3"/>
  <c r="R200" i="3"/>
  <c r="Q200" i="3"/>
  <c r="R201" i="3"/>
  <c r="Q201" i="3"/>
  <c r="R202" i="3"/>
  <c r="Q202" i="3"/>
  <c r="R203" i="3"/>
  <c r="Q203" i="3"/>
  <c r="R204" i="3"/>
  <c r="Q204" i="3"/>
  <c r="R205" i="3"/>
  <c r="Q205" i="3"/>
  <c r="Q206" i="3"/>
  <c r="R206" i="3"/>
  <c r="R207" i="3"/>
  <c r="Q207" i="3"/>
  <c r="Q208" i="3"/>
  <c r="R208" i="3"/>
  <c r="Q209" i="3"/>
  <c r="R209" i="3"/>
  <c r="Q210" i="3"/>
  <c r="R210" i="3"/>
  <c r="R211" i="3"/>
  <c r="Q211" i="3"/>
  <c r="Q212" i="3"/>
  <c r="R212" i="3"/>
  <c r="R213" i="3"/>
  <c r="Q213" i="3"/>
  <c r="R214" i="3"/>
  <c r="Q214" i="3"/>
  <c r="Q215" i="3"/>
  <c r="R215" i="3"/>
  <c r="Q216" i="3"/>
  <c r="R216" i="3"/>
  <c r="Q217" i="3"/>
  <c r="R217" i="3"/>
  <c r="R218" i="3"/>
  <c r="Q218" i="3"/>
  <c r="R219" i="3"/>
  <c r="Q219" i="3"/>
  <c r="Q220" i="3"/>
  <c r="R220" i="3"/>
  <c r="R221" i="3"/>
  <c r="Q221" i="3"/>
  <c r="R222" i="3"/>
  <c r="Q222" i="3"/>
  <c r="Q223" i="3"/>
  <c r="R223" i="3"/>
  <c r="Q224" i="3"/>
  <c r="R224" i="3"/>
  <c r="R225" i="3"/>
  <c r="Q225" i="3"/>
  <c r="Q226" i="3"/>
  <c r="R226" i="3"/>
  <c r="R227" i="3"/>
  <c r="Q227" i="3"/>
  <c r="R228" i="3"/>
  <c r="Q228" i="3"/>
  <c r="Q229" i="3"/>
  <c r="R229" i="3"/>
  <c r="Q230" i="3"/>
  <c r="R230" i="3"/>
  <c r="Q231" i="3"/>
  <c r="R231" i="3"/>
  <c r="R232" i="3"/>
  <c r="Q232" i="3"/>
  <c r="Q233" i="3"/>
  <c r="R233" i="3"/>
  <c r="Q234" i="3"/>
  <c r="R234" i="3"/>
  <c r="R235" i="3"/>
  <c r="Q235" i="3"/>
  <c r="R236" i="3"/>
  <c r="Q236" i="3"/>
  <c r="R237" i="3"/>
  <c r="Q237" i="3"/>
  <c r="R238" i="3"/>
  <c r="Q238" i="3"/>
  <c r="Q239" i="3"/>
  <c r="R239" i="3"/>
  <c r="R240" i="3"/>
  <c r="Q240" i="3"/>
  <c r="R2" i="3"/>
  <c r="Q2" i="3"/>
  <c r="M82" i="6" l="1"/>
  <c r="Q82" i="6"/>
  <c r="D82" i="6"/>
  <c r="E82" i="6"/>
  <c r="B82" i="6"/>
  <c r="C82" i="6"/>
  <c r="K82" i="6"/>
  <c r="N82" i="6"/>
  <c r="G82" i="6"/>
  <c r="E83" i="6"/>
  <c r="Q83" i="6"/>
  <c r="R83" i="6"/>
  <c r="D83" i="6"/>
  <c r="B83" i="6"/>
  <c r="J83" i="6"/>
  <c r="N83" i="6"/>
  <c r="F83" i="6"/>
  <c r="B84" i="6"/>
  <c r="J84" i="6"/>
  <c r="F84" i="6"/>
  <c r="N84" i="6"/>
  <c r="L84" i="6"/>
  <c r="R84" i="6"/>
  <c r="E84" i="6"/>
  <c r="D84" i="6"/>
  <c r="B85" i="6"/>
  <c r="J85" i="6"/>
  <c r="F85" i="6"/>
  <c r="N85" i="6"/>
  <c r="E85" i="6"/>
  <c r="M85" i="6"/>
  <c r="Q85" i="6"/>
  <c r="D85" i="6"/>
  <c r="Q86" i="6"/>
  <c r="D86" i="6"/>
  <c r="E86" i="6"/>
  <c r="M86" i="6"/>
  <c r="B86" i="6"/>
  <c r="N86" i="6"/>
  <c r="R86" i="6"/>
  <c r="T89" i="6"/>
  <c r="D89" i="6"/>
  <c r="E89" i="6"/>
  <c r="M89" i="6"/>
  <c r="B89" i="6"/>
  <c r="J89" i="6"/>
  <c r="F89" i="6"/>
  <c r="R89" i="6"/>
  <c r="E90" i="6"/>
  <c r="M90" i="6"/>
  <c r="Q90" i="6"/>
  <c r="D90" i="6"/>
  <c r="B90" i="6"/>
  <c r="I90" i="6"/>
  <c r="R90" i="6"/>
  <c r="B91" i="6"/>
  <c r="J91" i="6"/>
  <c r="F91" i="6"/>
  <c r="L91" i="6"/>
  <c r="Q91" i="6"/>
  <c r="D91" i="6"/>
  <c r="M91" i="6"/>
  <c r="E91" i="6"/>
  <c r="B92" i="6"/>
  <c r="J92" i="6"/>
  <c r="R92" i="6"/>
  <c r="F92" i="6"/>
  <c r="L92" i="6"/>
  <c r="M92" i="6"/>
  <c r="D92" i="6"/>
  <c r="E92" i="6"/>
  <c r="D93" i="6"/>
  <c r="L93" i="6"/>
  <c r="E93" i="6"/>
  <c r="M93" i="6"/>
  <c r="B93" i="6"/>
  <c r="J93" i="6"/>
  <c r="F93" i="6"/>
  <c r="R93" i="6"/>
  <c r="D94" i="6"/>
  <c r="L94" i="6"/>
  <c r="M94" i="6"/>
  <c r="E94" i="6"/>
  <c r="B94" i="6"/>
  <c r="H94" i="6"/>
  <c r="R94" i="6"/>
  <c r="N95" i="6"/>
  <c r="H95" i="6"/>
  <c r="M95" i="6"/>
  <c r="B95" i="6"/>
  <c r="R95" i="6"/>
  <c r="Q95" i="6"/>
  <c r="B96" i="6"/>
  <c r="R96" i="6"/>
  <c r="Q96" i="6"/>
  <c r="N96" i="6"/>
  <c r="H96" i="6"/>
  <c r="I96" i="6"/>
  <c r="M97" i="6"/>
  <c r="N97" i="6"/>
  <c r="I97" i="6"/>
  <c r="B97" i="6"/>
  <c r="Q97" i="6"/>
  <c r="R97" i="6"/>
  <c r="H98" i="6"/>
  <c r="M98" i="6"/>
  <c r="N98" i="6"/>
  <c r="R98" i="6"/>
  <c r="Q98" i="6"/>
  <c r="T98" i="6"/>
  <c r="I99" i="6"/>
  <c r="M99" i="6"/>
  <c r="N99" i="6"/>
  <c r="J99" i="6"/>
  <c r="F99" i="6"/>
  <c r="Q99" i="6"/>
  <c r="T99" i="6"/>
  <c r="J100" i="6"/>
  <c r="F100" i="6"/>
  <c r="Q100" i="6"/>
  <c r="T100" i="6"/>
  <c r="E100" i="6"/>
  <c r="M100" i="6"/>
  <c r="N100" i="6"/>
  <c r="D100" i="6"/>
  <c r="U100" i="6" s="1"/>
  <c r="E101" i="6"/>
  <c r="D101" i="6"/>
  <c r="I101" i="6"/>
  <c r="M101" i="6"/>
  <c r="L101" i="6"/>
  <c r="Q101" i="6"/>
  <c r="T101" i="6"/>
  <c r="D102" i="6"/>
  <c r="E102" i="6"/>
  <c r="I102" i="6"/>
  <c r="M102" i="6"/>
  <c r="B102" i="6"/>
  <c r="U102" i="6" s="1"/>
  <c r="H102" i="6"/>
  <c r="L102" i="6"/>
  <c r="B103" i="6"/>
  <c r="H103" i="6"/>
  <c r="L103" i="6"/>
  <c r="I103" i="6"/>
  <c r="M103" i="6"/>
  <c r="E103" i="6"/>
  <c r="D103" i="6"/>
  <c r="E104" i="6"/>
  <c r="D104" i="6"/>
  <c r="I104" i="6"/>
  <c r="M104" i="6"/>
  <c r="B104" i="6"/>
  <c r="U104" i="6" s="1"/>
  <c r="L104" i="6"/>
  <c r="R104" i="6"/>
  <c r="D105" i="6"/>
  <c r="I105" i="6"/>
  <c r="J105" i="6"/>
  <c r="E105" i="6"/>
  <c r="F105" i="6"/>
  <c r="B105" i="6"/>
  <c r="U105" i="6" s="1"/>
  <c r="L105" i="6"/>
  <c r="R105" i="6"/>
  <c r="H106" i="6"/>
  <c r="I106" i="6"/>
  <c r="J106" i="6"/>
  <c r="F106" i="6"/>
  <c r="B106" i="6"/>
  <c r="U106" i="6" s="1"/>
  <c r="L106" i="6"/>
  <c r="R106" i="6"/>
  <c r="M107" i="6"/>
  <c r="E107" i="6"/>
  <c r="D107" i="6"/>
  <c r="I107" i="6"/>
  <c r="B107" i="6"/>
  <c r="U107" i="6" s="1"/>
  <c r="H107" i="6"/>
  <c r="R107" i="6"/>
  <c r="D108" i="6"/>
  <c r="E108" i="6"/>
  <c r="M108" i="6"/>
  <c r="N108" i="6"/>
  <c r="B108" i="6"/>
  <c r="I108" i="6"/>
  <c r="J108" i="6"/>
  <c r="F108" i="6"/>
  <c r="B109" i="6"/>
  <c r="J109" i="6"/>
  <c r="F109" i="6"/>
  <c r="L109" i="6"/>
  <c r="D109" i="6"/>
  <c r="E109" i="6"/>
  <c r="M109" i="6"/>
  <c r="N109" i="6"/>
  <c r="B110" i="6"/>
  <c r="H110" i="6"/>
  <c r="I110" i="6"/>
  <c r="E110" i="6"/>
  <c r="D110" i="6"/>
  <c r="F110" i="6"/>
  <c r="J110" i="6"/>
  <c r="M110" i="6"/>
  <c r="B111" i="6"/>
  <c r="U111" i="6" s="1"/>
  <c r="I111" i="6"/>
  <c r="T111" i="6"/>
  <c r="E111" i="6"/>
  <c r="G111" i="6"/>
  <c r="K111" i="6"/>
  <c r="C111" i="6"/>
  <c r="D111" i="6"/>
  <c r="H111" i="6"/>
  <c r="H112" i="6"/>
  <c r="J112" i="6"/>
  <c r="F112" i="6"/>
  <c r="T112" i="6"/>
  <c r="G112" i="6"/>
  <c r="K112" i="6"/>
  <c r="M112" i="6"/>
  <c r="E112" i="6"/>
  <c r="C112" i="6"/>
  <c r="D112" i="6"/>
  <c r="B113" i="6"/>
  <c r="D113" i="6"/>
  <c r="M113" i="6"/>
  <c r="E113" i="6"/>
  <c r="I113" i="6"/>
  <c r="Q113" i="6"/>
  <c r="T113" i="6"/>
  <c r="H114" i="6"/>
  <c r="I114" i="6"/>
  <c r="Q114" i="6"/>
  <c r="M114" i="6"/>
  <c r="F114" i="6"/>
  <c r="E114" i="6"/>
  <c r="D114" i="6"/>
  <c r="J114" i="6"/>
  <c r="C115" i="6"/>
  <c r="D115" i="6"/>
  <c r="M115" i="6"/>
  <c r="E115" i="6"/>
  <c r="K115" i="6"/>
  <c r="G115" i="6"/>
  <c r="H115" i="6"/>
  <c r="L115" i="6"/>
  <c r="Q115" i="6"/>
  <c r="H116" i="6"/>
  <c r="Q116" i="6"/>
  <c r="T116" i="6"/>
  <c r="E116" i="6"/>
  <c r="G116" i="6"/>
  <c r="M116" i="6"/>
  <c r="K116" i="6"/>
  <c r="C116" i="6"/>
  <c r="D116" i="6"/>
  <c r="H117" i="6"/>
  <c r="N117" i="6"/>
  <c r="T117" i="6"/>
  <c r="B117" i="6"/>
  <c r="C117" i="6"/>
  <c r="K117" i="6"/>
  <c r="M117" i="6"/>
  <c r="G117" i="6"/>
  <c r="K118" i="6"/>
  <c r="N118" i="6"/>
  <c r="G118" i="6"/>
  <c r="R118" i="6"/>
  <c r="C118" i="6"/>
  <c r="H118" i="6"/>
  <c r="M118" i="6"/>
  <c r="Q118" i="6"/>
  <c r="K119" i="6"/>
  <c r="N119" i="6"/>
  <c r="R119" i="6"/>
  <c r="G119" i="6"/>
  <c r="C119" i="6"/>
  <c r="I119" i="6"/>
  <c r="M119" i="6"/>
  <c r="Q119" i="6"/>
  <c r="L120" i="6"/>
  <c r="N120" i="6"/>
  <c r="K120" i="6"/>
  <c r="C120" i="6"/>
  <c r="G120" i="6"/>
  <c r="D120" i="6"/>
  <c r="M120" i="6"/>
  <c r="E120" i="6"/>
  <c r="Q120" i="6"/>
  <c r="R121" i="6"/>
  <c r="T121" i="6"/>
  <c r="C121" i="6"/>
  <c r="G121" i="6"/>
  <c r="K121" i="6"/>
  <c r="D121" i="6"/>
  <c r="H121" i="6"/>
  <c r="E121" i="6"/>
  <c r="Q121" i="6"/>
  <c r="M122" i="6"/>
  <c r="G122" i="6"/>
  <c r="C122" i="6"/>
  <c r="I122" i="6"/>
  <c r="K122" i="6"/>
  <c r="H122" i="6"/>
  <c r="L122" i="6"/>
  <c r="Q122" i="6"/>
  <c r="K123" i="6"/>
  <c r="C123" i="6"/>
  <c r="I123" i="6"/>
  <c r="G123" i="6"/>
  <c r="M123" i="6"/>
  <c r="B123" i="6"/>
  <c r="D123" i="6"/>
  <c r="H123" i="6"/>
  <c r="E123" i="6"/>
  <c r="M124" i="6"/>
  <c r="T124" i="6"/>
  <c r="I124" i="6"/>
  <c r="B124" i="6"/>
  <c r="D124" i="6"/>
  <c r="H124" i="6"/>
  <c r="E124" i="6"/>
  <c r="I125" i="6"/>
  <c r="M125" i="6"/>
  <c r="N125" i="6"/>
  <c r="B125" i="6"/>
  <c r="D125" i="6"/>
  <c r="E125" i="6"/>
  <c r="H125" i="6"/>
  <c r="I126" i="6"/>
  <c r="L126" i="6"/>
  <c r="M126" i="6"/>
  <c r="B126" i="6"/>
  <c r="D126" i="6"/>
  <c r="H126" i="6"/>
  <c r="E126" i="6"/>
  <c r="T127" i="6"/>
  <c r="I127" i="6"/>
  <c r="M127" i="6"/>
  <c r="B127" i="6"/>
  <c r="D127" i="6"/>
  <c r="H127" i="6"/>
  <c r="E127" i="6"/>
  <c r="I128" i="6"/>
  <c r="L128" i="6"/>
  <c r="M128" i="6"/>
  <c r="B128" i="6"/>
  <c r="D128" i="6"/>
  <c r="H128" i="6"/>
  <c r="E128" i="6"/>
  <c r="I129" i="6"/>
  <c r="L129" i="6"/>
  <c r="M129" i="6"/>
  <c r="B129" i="6"/>
  <c r="D129" i="6"/>
  <c r="H129" i="6"/>
  <c r="E129" i="6"/>
  <c r="B130" i="6"/>
  <c r="D130" i="6"/>
  <c r="H130" i="6"/>
  <c r="E130" i="6"/>
  <c r="R130" i="6"/>
  <c r="I130" i="6"/>
  <c r="M130" i="6"/>
  <c r="J131" i="6"/>
  <c r="F131" i="6"/>
  <c r="L131" i="6"/>
  <c r="I131" i="6"/>
  <c r="B131" i="6"/>
  <c r="D131" i="6"/>
  <c r="H131" i="6"/>
  <c r="E131" i="6"/>
  <c r="D132" i="6"/>
  <c r="E132" i="6"/>
  <c r="H132" i="6"/>
  <c r="T132" i="6"/>
  <c r="F132" i="6"/>
  <c r="I132" i="6"/>
  <c r="J132" i="6"/>
  <c r="L132" i="6"/>
  <c r="K133" i="6"/>
  <c r="F133" i="6"/>
  <c r="C133" i="6"/>
  <c r="G133" i="6"/>
  <c r="J133" i="6"/>
  <c r="L133" i="6"/>
  <c r="D133" i="6"/>
  <c r="H133" i="6"/>
  <c r="E133" i="6"/>
  <c r="T133" i="6"/>
  <c r="L134" i="6"/>
  <c r="K134" i="6"/>
  <c r="Q134" i="6"/>
  <c r="C134" i="6"/>
  <c r="G134" i="6"/>
  <c r="D134" i="6"/>
  <c r="H134" i="6"/>
  <c r="M134" i="6"/>
  <c r="E134" i="6"/>
  <c r="D135" i="6"/>
  <c r="H135" i="6"/>
  <c r="M135" i="6"/>
  <c r="E135" i="6"/>
  <c r="G135" i="6"/>
  <c r="K135" i="6"/>
  <c r="C135" i="6"/>
  <c r="U135" i="6" s="1"/>
  <c r="J135" i="6"/>
  <c r="L135" i="6"/>
  <c r="F135" i="6"/>
  <c r="D136" i="6"/>
  <c r="H136" i="6"/>
  <c r="E136" i="6"/>
  <c r="R136" i="6"/>
  <c r="G136" i="6"/>
  <c r="Q136" i="6"/>
  <c r="C136" i="6"/>
  <c r="U136" i="6" s="1"/>
  <c r="K136" i="6"/>
  <c r="L136" i="6"/>
  <c r="B137" i="6"/>
  <c r="D137" i="6"/>
  <c r="H137" i="6"/>
  <c r="E137" i="6"/>
  <c r="L137" i="6"/>
  <c r="N137" i="6"/>
  <c r="Q137" i="6"/>
  <c r="D138" i="6"/>
  <c r="H138" i="6"/>
  <c r="E138" i="6"/>
  <c r="R138" i="6"/>
  <c r="L138" i="6"/>
  <c r="N138" i="6"/>
  <c r="Q138" i="6"/>
  <c r="D139" i="6"/>
  <c r="H139" i="6"/>
  <c r="J139" i="6"/>
  <c r="F139" i="6"/>
  <c r="E139" i="6"/>
  <c r="L139" i="6"/>
  <c r="N139" i="6"/>
  <c r="T139" i="6"/>
  <c r="D140" i="6"/>
  <c r="H140" i="6"/>
  <c r="J140" i="6"/>
  <c r="E140" i="6"/>
  <c r="F140" i="6"/>
  <c r="R140" i="6"/>
  <c r="L140" i="6"/>
  <c r="N140" i="6"/>
  <c r="D141" i="6"/>
  <c r="J141" i="6"/>
  <c r="E141" i="6"/>
  <c r="N141" i="6"/>
  <c r="F141" i="6"/>
  <c r="R141" i="6"/>
  <c r="T141" i="6"/>
  <c r="C141" i="6"/>
  <c r="U141" i="6" s="1"/>
  <c r="G141" i="6"/>
  <c r="K141" i="6"/>
  <c r="G142" i="6"/>
  <c r="K142" i="6"/>
  <c r="R142" i="6"/>
  <c r="B142" i="6"/>
  <c r="C142" i="6"/>
  <c r="J142" i="6"/>
  <c r="N142" i="6"/>
  <c r="F142" i="6"/>
  <c r="Q142" i="6"/>
  <c r="G143" i="6"/>
  <c r="K143" i="6"/>
  <c r="R143" i="6"/>
  <c r="B143" i="6"/>
  <c r="C143" i="6"/>
  <c r="J143" i="6"/>
  <c r="F143" i="6"/>
  <c r="N143" i="6"/>
  <c r="Q143" i="6"/>
  <c r="R144" i="6"/>
  <c r="T144" i="6"/>
  <c r="B144" i="6"/>
  <c r="J144" i="6"/>
  <c r="M144" i="6"/>
  <c r="F144" i="6"/>
  <c r="N144" i="6"/>
  <c r="R145" i="6"/>
  <c r="Q145" i="6"/>
  <c r="B145" i="6"/>
  <c r="D145" i="6"/>
  <c r="E145" i="6"/>
  <c r="M145" i="6"/>
  <c r="N145" i="6"/>
  <c r="T146" i="6"/>
  <c r="J146" i="6"/>
  <c r="F146" i="6"/>
  <c r="U146" i="6" s="1"/>
  <c r="R146" i="6"/>
  <c r="I146" i="6"/>
  <c r="L146" i="6"/>
  <c r="M146" i="6"/>
  <c r="B147" i="6"/>
  <c r="C147" i="6"/>
  <c r="D147" i="6"/>
  <c r="K147" i="6"/>
  <c r="E147" i="6"/>
  <c r="G147" i="6"/>
  <c r="M147" i="6"/>
  <c r="N147" i="6"/>
  <c r="T147" i="6"/>
  <c r="I148" i="6"/>
  <c r="N148" i="6"/>
  <c r="T148" i="6"/>
  <c r="B148" i="6"/>
  <c r="C148" i="6"/>
  <c r="D148" i="6"/>
  <c r="E148" i="6"/>
  <c r="G148" i="6"/>
  <c r="K148" i="6"/>
  <c r="I149" i="6"/>
  <c r="M149" i="6"/>
  <c r="T149" i="6"/>
  <c r="J149" i="6"/>
  <c r="E149" i="6"/>
  <c r="F149" i="6"/>
  <c r="B149" i="6"/>
  <c r="U149" i="6" s="1"/>
  <c r="D149" i="6"/>
  <c r="F150" i="6"/>
  <c r="Q150" i="6"/>
  <c r="B150" i="6"/>
  <c r="U150" i="6" s="1"/>
  <c r="J150" i="6"/>
  <c r="I150" i="6"/>
  <c r="N150" i="6"/>
  <c r="T150" i="6"/>
  <c r="Q151" i="6"/>
  <c r="B151" i="6"/>
  <c r="J151" i="6"/>
  <c r="F151" i="6"/>
  <c r="I151" i="6"/>
  <c r="N151" i="6"/>
  <c r="T151" i="6"/>
  <c r="R152" i="6"/>
  <c r="B152" i="6"/>
  <c r="U152" i="6" s="1"/>
  <c r="D152" i="6"/>
  <c r="E152" i="6"/>
  <c r="M152" i="6"/>
  <c r="N152" i="6"/>
  <c r="T152" i="6"/>
  <c r="M153" i="6"/>
  <c r="N153" i="6"/>
  <c r="T153" i="6"/>
  <c r="E153" i="6"/>
  <c r="H153" i="6"/>
  <c r="B153" i="6"/>
  <c r="U153" i="6" s="1"/>
  <c r="D153" i="6"/>
  <c r="I154" i="6"/>
  <c r="N154" i="6"/>
  <c r="T154" i="6"/>
  <c r="B154" i="6"/>
  <c r="H154" i="6"/>
  <c r="J154" i="6"/>
  <c r="F154" i="6"/>
  <c r="G155" i="6"/>
  <c r="B155" i="6"/>
  <c r="C155" i="6"/>
  <c r="H155" i="6"/>
  <c r="K155" i="6"/>
  <c r="I155" i="6"/>
  <c r="J155" i="6"/>
  <c r="F155" i="6"/>
  <c r="T155" i="6"/>
  <c r="I156" i="6"/>
  <c r="Q156" i="6"/>
  <c r="T156" i="6"/>
  <c r="G156" i="6"/>
  <c r="B156" i="6"/>
  <c r="C156" i="6"/>
  <c r="H156" i="6"/>
  <c r="K156" i="6"/>
  <c r="K157" i="6"/>
  <c r="B157" i="6"/>
  <c r="C157" i="6"/>
  <c r="G157" i="6"/>
  <c r="L157" i="6"/>
  <c r="I157" i="6"/>
  <c r="R157" i="6"/>
  <c r="T157" i="6"/>
  <c r="C158" i="6"/>
  <c r="H158" i="6"/>
  <c r="G158" i="6"/>
  <c r="K158" i="6"/>
  <c r="L158" i="6"/>
  <c r="I158" i="6"/>
  <c r="R158" i="6"/>
  <c r="T158" i="6"/>
  <c r="G159" i="6"/>
  <c r="F159" i="6"/>
  <c r="K159" i="6"/>
  <c r="C159" i="6"/>
  <c r="J159" i="6"/>
  <c r="L159" i="6"/>
  <c r="I159" i="6"/>
  <c r="R159" i="6"/>
  <c r="T159" i="6"/>
  <c r="B160" i="6"/>
  <c r="L160" i="6"/>
  <c r="M160" i="6"/>
  <c r="I160" i="6"/>
  <c r="T160" i="6"/>
  <c r="Q160" i="6"/>
  <c r="I161" i="6"/>
  <c r="Q161" i="6"/>
  <c r="T161" i="6"/>
  <c r="J161" i="6"/>
  <c r="F161" i="6"/>
  <c r="L161" i="6"/>
  <c r="M161" i="6"/>
  <c r="I162" i="6"/>
  <c r="T162" i="6"/>
  <c r="Q162" i="6"/>
  <c r="J162" i="6"/>
  <c r="F162" i="6"/>
  <c r="M162" i="6"/>
  <c r="B162" i="6"/>
  <c r="U162" i="6" s="1"/>
  <c r="J163" i="6"/>
  <c r="L163" i="6"/>
  <c r="F163" i="6"/>
  <c r="B163" i="6"/>
  <c r="I163" i="6"/>
  <c r="Q163" i="6"/>
  <c r="R163" i="6"/>
  <c r="I164" i="6"/>
  <c r="R164" i="6"/>
  <c r="Q164" i="6"/>
  <c r="J164" i="6"/>
  <c r="L164" i="6"/>
  <c r="F164" i="6"/>
  <c r="N164" i="6"/>
  <c r="J165" i="6"/>
  <c r="L165" i="6"/>
  <c r="N165" i="6"/>
  <c r="F165" i="6"/>
  <c r="I165" i="6"/>
  <c r="R165" i="6"/>
  <c r="Q165" i="6"/>
  <c r="N166" i="6"/>
  <c r="F166" i="6"/>
  <c r="J166" i="6"/>
  <c r="M166" i="6"/>
  <c r="I166" i="6"/>
  <c r="Q166" i="6"/>
  <c r="R166" i="6"/>
  <c r="L167" i="6"/>
  <c r="M167" i="6"/>
  <c r="N167" i="6"/>
  <c r="I167" i="6"/>
  <c r="Q167" i="6"/>
  <c r="R167" i="6"/>
  <c r="D168" i="6"/>
  <c r="E168" i="6"/>
  <c r="Q168" i="6"/>
  <c r="R168" i="6"/>
  <c r="N168" i="6"/>
  <c r="F168" i="6"/>
  <c r="J168" i="6"/>
  <c r="L168" i="6"/>
  <c r="J169" i="6"/>
  <c r="L169" i="6"/>
  <c r="F169" i="6"/>
  <c r="N169" i="6"/>
  <c r="B169" i="6"/>
  <c r="D169" i="6"/>
  <c r="R169" i="6"/>
  <c r="E169" i="6"/>
  <c r="L170" i="6"/>
  <c r="M170" i="6"/>
  <c r="K170" i="6"/>
  <c r="G170" i="6"/>
  <c r="C170" i="6"/>
  <c r="D170" i="6"/>
  <c r="H170" i="6"/>
  <c r="E170" i="6"/>
  <c r="Q170" i="6"/>
  <c r="K171" i="6"/>
  <c r="M171" i="6"/>
  <c r="N171" i="6"/>
  <c r="C171" i="6"/>
  <c r="G171" i="6"/>
  <c r="B171" i="6"/>
  <c r="D171" i="6"/>
  <c r="H171" i="6"/>
  <c r="E171" i="6"/>
  <c r="K172" i="6"/>
  <c r="M172" i="6"/>
  <c r="N172" i="6"/>
  <c r="C172" i="6"/>
  <c r="G172" i="6"/>
  <c r="B172" i="6"/>
  <c r="D172" i="6"/>
  <c r="H172" i="6"/>
  <c r="E172" i="6"/>
  <c r="C173" i="6"/>
  <c r="G173" i="6"/>
  <c r="K173" i="6"/>
  <c r="L173" i="6"/>
  <c r="M173" i="6"/>
  <c r="D173" i="6"/>
  <c r="E173" i="6"/>
  <c r="H173" i="6"/>
  <c r="Q173" i="6"/>
  <c r="F174" i="6"/>
  <c r="K174" i="6"/>
  <c r="G174" i="6"/>
  <c r="C174" i="6"/>
  <c r="J174" i="6"/>
  <c r="L174" i="6"/>
  <c r="B174" i="6"/>
  <c r="D174" i="6"/>
  <c r="E174" i="6"/>
  <c r="Q174" i="6"/>
  <c r="B175" i="6"/>
  <c r="D175" i="6"/>
  <c r="E175" i="6"/>
  <c r="Q175" i="6"/>
  <c r="L175" i="6"/>
  <c r="K175" i="6"/>
  <c r="N175" i="6"/>
  <c r="G175" i="6"/>
  <c r="C175" i="6"/>
  <c r="B176" i="6"/>
  <c r="D176" i="6"/>
  <c r="E176" i="6"/>
  <c r="Q176" i="6"/>
  <c r="K176" i="6"/>
  <c r="R176" i="6"/>
  <c r="G176" i="6"/>
  <c r="C176" i="6"/>
  <c r="L176" i="6"/>
  <c r="T177" i="6"/>
  <c r="H177" i="6"/>
  <c r="L177" i="6"/>
  <c r="B177" i="6"/>
  <c r="D177" i="6"/>
  <c r="E177" i="6"/>
  <c r="Q177" i="6"/>
  <c r="T178" i="6"/>
  <c r="C178" i="6"/>
  <c r="L178" i="6"/>
  <c r="K178" i="6"/>
  <c r="G178" i="6"/>
  <c r="B178" i="6"/>
  <c r="D178" i="6"/>
  <c r="E178" i="6"/>
  <c r="Q178" i="6"/>
  <c r="B179" i="6"/>
  <c r="D179" i="6"/>
  <c r="E179" i="6"/>
  <c r="N179" i="6"/>
  <c r="R179" i="6"/>
  <c r="T179" i="6"/>
  <c r="H179" i="6"/>
  <c r="D180" i="6"/>
  <c r="F180" i="6"/>
  <c r="J180" i="6"/>
  <c r="M180" i="6"/>
  <c r="E180" i="6"/>
  <c r="H180" i="6"/>
  <c r="L180" i="6"/>
  <c r="T180" i="6"/>
  <c r="B181" i="6"/>
  <c r="J181" i="6"/>
  <c r="F181" i="6"/>
  <c r="N181" i="6"/>
  <c r="T181" i="6"/>
  <c r="I181" i="6"/>
  <c r="H181" i="6"/>
  <c r="L182" i="6"/>
  <c r="K182" i="6"/>
  <c r="G182" i="6"/>
  <c r="T182" i="6"/>
  <c r="C182" i="6"/>
  <c r="B182" i="6"/>
  <c r="J182" i="6"/>
  <c r="M182" i="6"/>
  <c r="F182" i="6"/>
  <c r="B183" i="6"/>
  <c r="N183" i="6"/>
  <c r="Q183" i="6"/>
  <c r="K183" i="6"/>
  <c r="T183" i="6"/>
  <c r="C183" i="6"/>
  <c r="G183" i="6"/>
  <c r="H183" i="6"/>
  <c r="B184" i="6"/>
  <c r="J184" i="6"/>
  <c r="F184" i="6"/>
  <c r="N184" i="6"/>
  <c r="T184" i="6"/>
  <c r="H184" i="6"/>
  <c r="I184" i="6"/>
  <c r="Q185" i="6"/>
  <c r="T185" i="6"/>
  <c r="I185" i="6"/>
  <c r="C185" i="6"/>
  <c r="G185" i="6"/>
  <c r="K185" i="6"/>
  <c r="M185" i="6"/>
  <c r="N185" i="6"/>
  <c r="I186" i="6"/>
  <c r="Q186" i="6"/>
  <c r="T186" i="6"/>
  <c r="J186" i="6"/>
  <c r="M186" i="6"/>
  <c r="R186" i="6"/>
  <c r="F186" i="6"/>
  <c r="U186" i="6" s="1"/>
  <c r="I187" i="6"/>
  <c r="H187" i="6"/>
  <c r="T187" i="6"/>
  <c r="D187" i="6"/>
  <c r="E187" i="6"/>
  <c r="M187" i="6"/>
  <c r="R187" i="6"/>
  <c r="T188" i="6"/>
  <c r="I188" i="6"/>
  <c r="L188" i="6"/>
  <c r="D188" i="6"/>
  <c r="E188" i="6"/>
  <c r="M188" i="6"/>
  <c r="R188" i="6"/>
  <c r="H189" i="6"/>
  <c r="E189" i="6"/>
  <c r="T189" i="6"/>
  <c r="D189" i="6"/>
  <c r="M189" i="6"/>
  <c r="N189" i="6"/>
  <c r="R189" i="6"/>
  <c r="T190" i="6"/>
  <c r="D190" i="6"/>
  <c r="E190" i="6"/>
  <c r="Q190" i="6"/>
  <c r="H190" i="6"/>
  <c r="M190" i="6"/>
  <c r="R190" i="6"/>
  <c r="J191" i="6"/>
  <c r="F191" i="6"/>
  <c r="E191" i="6"/>
  <c r="Q191" i="6"/>
  <c r="D191" i="6"/>
  <c r="L191" i="6"/>
  <c r="M191" i="6"/>
  <c r="N191" i="6"/>
  <c r="T192" i="6"/>
  <c r="E192" i="6"/>
  <c r="D192" i="6"/>
  <c r="J192" i="6"/>
  <c r="F192" i="6"/>
  <c r="N192" i="6"/>
  <c r="M192" i="6"/>
  <c r="Q192" i="6"/>
  <c r="F193" i="6"/>
  <c r="T193" i="6"/>
  <c r="D193" i="6"/>
  <c r="E193" i="6"/>
  <c r="J193" i="6"/>
  <c r="M193" i="6"/>
  <c r="N193" i="6"/>
  <c r="Q193" i="6"/>
  <c r="T194" i="6"/>
  <c r="D194" i="6"/>
  <c r="E194" i="6"/>
  <c r="N194" i="6"/>
  <c r="H194" i="6"/>
  <c r="L194" i="6"/>
  <c r="M194" i="6"/>
  <c r="R195" i="6"/>
  <c r="E195" i="6"/>
  <c r="T195" i="6"/>
  <c r="D195" i="6"/>
  <c r="B195" i="6"/>
  <c r="H195" i="6"/>
  <c r="M195" i="6"/>
  <c r="C196" i="6"/>
  <c r="K196" i="6"/>
  <c r="M196" i="6"/>
  <c r="G196" i="6"/>
  <c r="Q196" i="6"/>
  <c r="N196" i="6"/>
  <c r="E196" i="6"/>
  <c r="R196" i="6"/>
  <c r="D196" i="6"/>
  <c r="B197" i="6"/>
  <c r="M197" i="6"/>
  <c r="Q197" i="6"/>
  <c r="N197" i="6"/>
  <c r="R197" i="6"/>
  <c r="T197" i="6"/>
  <c r="R198" i="6"/>
  <c r="T198" i="6"/>
  <c r="D198" i="6"/>
  <c r="E198" i="6"/>
  <c r="C198" i="6"/>
  <c r="K198" i="6"/>
  <c r="M198" i="6"/>
  <c r="G198" i="6"/>
  <c r="Q198" i="6"/>
  <c r="B199" i="6"/>
  <c r="N199" i="6"/>
  <c r="Q199" i="6"/>
  <c r="M199" i="6"/>
  <c r="E199" i="6"/>
  <c r="T199" i="6"/>
  <c r="D199" i="6"/>
  <c r="B200" i="6"/>
  <c r="M200" i="6"/>
  <c r="Q200" i="6"/>
  <c r="H200" i="6"/>
  <c r="R200" i="6"/>
  <c r="E200" i="6"/>
  <c r="D200" i="6"/>
  <c r="B201" i="6"/>
  <c r="M201" i="6"/>
  <c r="Q201" i="6"/>
  <c r="D201" i="6"/>
  <c r="H201" i="6"/>
  <c r="E201" i="6"/>
  <c r="R201" i="6"/>
  <c r="E202" i="6"/>
  <c r="H202" i="6"/>
  <c r="R202" i="6"/>
  <c r="D202" i="6"/>
  <c r="B202" i="6"/>
  <c r="J202" i="6"/>
  <c r="M202" i="6"/>
  <c r="F202" i="6"/>
  <c r="B203" i="6"/>
  <c r="C203" i="6"/>
  <c r="K203" i="6"/>
  <c r="G203" i="6"/>
  <c r="Q203" i="6"/>
  <c r="H203" i="6"/>
  <c r="E203" i="6"/>
  <c r="R203" i="6"/>
  <c r="D203" i="6"/>
  <c r="C204" i="6"/>
  <c r="G204" i="6"/>
  <c r="I204" i="6"/>
  <c r="K204" i="6"/>
  <c r="Q204" i="6"/>
  <c r="R204" i="6"/>
  <c r="D204" i="6"/>
  <c r="E204" i="6"/>
  <c r="H204" i="6"/>
  <c r="C205" i="6"/>
  <c r="J205" i="6"/>
  <c r="F205" i="6"/>
  <c r="K205" i="6"/>
  <c r="Q205" i="6"/>
  <c r="G205" i="6"/>
  <c r="T205" i="6"/>
  <c r="D205" i="6"/>
  <c r="H205" i="6"/>
  <c r="E205" i="6"/>
  <c r="B206" i="6"/>
  <c r="D206" i="6"/>
  <c r="N206" i="6"/>
  <c r="E206" i="6"/>
  <c r="C206" i="6"/>
  <c r="I206" i="6"/>
  <c r="G206" i="6"/>
  <c r="L206" i="6"/>
  <c r="K206" i="6"/>
  <c r="J207" i="6"/>
  <c r="N207" i="6"/>
  <c r="F207" i="6"/>
  <c r="B207" i="6"/>
  <c r="L207" i="6"/>
  <c r="Q207" i="6"/>
  <c r="R207" i="6"/>
  <c r="D208" i="6"/>
  <c r="J208" i="6"/>
  <c r="E208" i="6"/>
  <c r="N208" i="6"/>
  <c r="F208" i="6"/>
  <c r="B208" i="6"/>
  <c r="L208" i="6"/>
  <c r="T208" i="6"/>
  <c r="D209" i="6"/>
  <c r="N209" i="6"/>
  <c r="E209" i="6"/>
  <c r="R209" i="6"/>
  <c r="C209" i="6"/>
  <c r="L209" i="6"/>
  <c r="G209" i="6"/>
  <c r="K209" i="6"/>
  <c r="T209" i="6"/>
  <c r="J210" i="6"/>
  <c r="F210" i="6"/>
  <c r="L210" i="6"/>
  <c r="T210" i="6"/>
  <c r="N210" i="6"/>
  <c r="R210" i="6"/>
  <c r="E210" i="6"/>
  <c r="D210" i="6"/>
  <c r="U210" i="6" s="1"/>
  <c r="D211" i="6"/>
  <c r="E211" i="6"/>
  <c r="H211" i="6"/>
  <c r="N211" i="6"/>
  <c r="C211" i="6"/>
  <c r="G211" i="6"/>
  <c r="L211" i="6"/>
  <c r="K211" i="6"/>
  <c r="T211" i="6"/>
  <c r="C212" i="6"/>
  <c r="K212" i="6"/>
  <c r="L212" i="6"/>
  <c r="G212" i="6"/>
  <c r="Q212" i="6"/>
  <c r="D212" i="6"/>
  <c r="E212" i="6"/>
  <c r="N212" i="6"/>
  <c r="R212" i="6"/>
  <c r="C213" i="6"/>
  <c r="G213" i="6"/>
  <c r="K213" i="6"/>
  <c r="Q213" i="6"/>
  <c r="T213" i="6"/>
  <c r="D213" i="6"/>
  <c r="H213" i="6"/>
  <c r="N213" i="6"/>
  <c r="E213" i="6"/>
  <c r="C214" i="6"/>
  <c r="K214" i="6"/>
  <c r="Q214" i="6"/>
  <c r="G214" i="6"/>
  <c r="T214" i="6"/>
  <c r="D214" i="6"/>
  <c r="H214" i="6"/>
  <c r="N214" i="6"/>
  <c r="E214" i="6"/>
  <c r="C215" i="6"/>
  <c r="G215" i="6"/>
  <c r="K215" i="6"/>
  <c r="Q215" i="6"/>
  <c r="T215" i="6"/>
  <c r="D215" i="6"/>
  <c r="H215" i="6"/>
  <c r="E215" i="6"/>
  <c r="N215" i="6"/>
  <c r="C216" i="6"/>
  <c r="I216" i="6"/>
  <c r="K216" i="6"/>
  <c r="Q216" i="6"/>
  <c r="G216" i="6"/>
  <c r="B216" i="6"/>
  <c r="D216" i="6"/>
  <c r="N216" i="6"/>
  <c r="E216" i="6"/>
  <c r="B217" i="6"/>
  <c r="D217" i="6"/>
  <c r="E217" i="6"/>
  <c r="H217" i="6"/>
  <c r="C217" i="6"/>
  <c r="G217" i="6"/>
  <c r="K217" i="6"/>
  <c r="Q217" i="6"/>
  <c r="T217" i="6"/>
  <c r="C218" i="6"/>
  <c r="I218" i="6"/>
  <c r="G218" i="6"/>
  <c r="K218" i="6"/>
  <c r="R218" i="6"/>
  <c r="B218" i="6"/>
  <c r="D218" i="6"/>
  <c r="E218" i="6"/>
  <c r="N218" i="6"/>
  <c r="B219" i="6"/>
  <c r="D219" i="6"/>
  <c r="N219" i="6"/>
  <c r="E219" i="6"/>
  <c r="C219" i="6"/>
  <c r="I219" i="6"/>
  <c r="K219" i="6"/>
  <c r="R219" i="6"/>
  <c r="G219" i="6"/>
  <c r="B220" i="6"/>
  <c r="D220" i="6"/>
  <c r="N220" i="6"/>
  <c r="E220" i="6"/>
  <c r="C220" i="6"/>
  <c r="K220" i="6"/>
  <c r="Q220" i="6"/>
  <c r="R220" i="6"/>
  <c r="G220" i="6"/>
  <c r="B221" i="6"/>
  <c r="D221" i="6"/>
  <c r="N221" i="6"/>
  <c r="E221" i="6"/>
  <c r="C221" i="6"/>
  <c r="G221" i="6"/>
  <c r="K221" i="6"/>
  <c r="Q221" i="6"/>
  <c r="T221" i="6"/>
  <c r="B222" i="6"/>
  <c r="D222" i="6"/>
  <c r="E222" i="6"/>
  <c r="N222" i="6"/>
  <c r="C222" i="6"/>
  <c r="I222" i="6"/>
  <c r="G222" i="6"/>
  <c r="K222" i="6"/>
  <c r="T222" i="6"/>
  <c r="B223" i="6"/>
  <c r="D223" i="6"/>
  <c r="E223" i="6"/>
  <c r="N223" i="6"/>
  <c r="C223" i="6"/>
  <c r="J223" i="6"/>
  <c r="K223" i="6"/>
  <c r="F223" i="6"/>
  <c r="G223" i="6"/>
  <c r="T223" i="6"/>
  <c r="I224" i="6"/>
  <c r="R224" i="6"/>
  <c r="T224" i="6"/>
  <c r="D224" i="6"/>
  <c r="E224" i="6"/>
  <c r="M224" i="6"/>
  <c r="N224" i="6"/>
  <c r="C225" i="6"/>
  <c r="K225" i="6"/>
  <c r="G225" i="6"/>
  <c r="R225" i="6"/>
  <c r="T225" i="6"/>
  <c r="D225" i="6"/>
  <c r="E225" i="6"/>
  <c r="N225" i="6"/>
  <c r="M225" i="6"/>
  <c r="C226" i="6"/>
  <c r="K226" i="6"/>
  <c r="G226" i="6"/>
  <c r="R226" i="6"/>
  <c r="T226" i="6"/>
  <c r="B226" i="6"/>
  <c r="N226" i="6"/>
  <c r="M226" i="6"/>
  <c r="C227" i="6"/>
  <c r="K227" i="6"/>
  <c r="Q227" i="6"/>
  <c r="T227" i="6"/>
  <c r="G227" i="6"/>
  <c r="B227" i="6"/>
  <c r="D227" i="6"/>
  <c r="H227" i="6"/>
  <c r="E227" i="6"/>
  <c r="C228" i="6"/>
  <c r="K228" i="6"/>
  <c r="G228" i="6"/>
  <c r="Q228" i="6"/>
  <c r="R228" i="6"/>
  <c r="D228" i="6"/>
  <c r="H228" i="6"/>
  <c r="E228" i="6"/>
  <c r="N228" i="6"/>
  <c r="C229" i="6"/>
  <c r="G229" i="6"/>
  <c r="K229" i="6"/>
  <c r="Q229" i="6"/>
  <c r="R229" i="6"/>
  <c r="D229" i="6"/>
  <c r="H229" i="6"/>
  <c r="E229" i="6"/>
  <c r="M229" i="6"/>
  <c r="C230" i="6"/>
  <c r="K230" i="6"/>
  <c r="G230" i="6"/>
  <c r="Q230" i="6"/>
  <c r="T230" i="6"/>
  <c r="D230" i="6"/>
  <c r="H230" i="6"/>
  <c r="E230" i="6"/>
  <c r="L230" i="6"/>
  <c r="H231" i="6"/>
  <c r="N231" i="6"/>
  <c r="M231" i="6"/>
  <c r="C231" i="6"/>
  <c r="K231" i="6"/>
  <c r="Q231" i="6"/>
  <c r="G231" i="6"/>
  <c r="T231" i="6"/>
  <c r="H232" i="6"/>
  <c r="N232" i="6"/>
  <c r="M232" i="6"/>
  <c r="C232" i="6"/>
  <c r="I232" i="6"/>
  <c r="K232" i="6"/>
  <c r="G232" i="6"/>
  <c r="Q232" i="6"/>
  <c r="H233" i="6"/>
  <c r="M233" i="6"/>
  <c r="N233" i="6"/>
  <c r="C233" i="6"/>
  <c r="K233" i="6"/>
  <c r="Q233" i="6"/>
  <c r="R233" i="6"/>
  <c r="G233" i="6"/>
  <c r="H234" i="6"/>
  <c r="J234" i="6"/>
  <c r="N234" i="6"/>
  <c r="F234" i="6"/>
  <c r="L234" i="6"/>
  <c r="Q234" i="6"/>
  <c r="T234" i="6"/>
  <c r="H235" i="6"/>
  <c r="J235" i="6"/>
  <c r="N235" i="6"/>
  <c r="F235" i="6"/>
  <c r="D235" i="6"/>
  <c r="U235" i="6" s="1"/>
  <c r="E235" i="6"/>
  <c r="Q235" i="6"/>
  <c r="T235" i="6"/>
  <c r="B236" i="6"/>
  <c r="H236" i="6"/>
  <c r="N236" i="6"/>
  <c r="M236" i="6"/>
  <c r="Q236" i="6"/>
  <c r="T236" i="6"/>
  <c r="B237" i="6"/>
  <c r="U237" i="6" s="1"/>
  <c r="H237" i="6"/>
  <c r="N237" i="6"/>
  <c r="D237" i="6"/>
  <c r="E237" i="6"/>
  <c r="Q237" i="6"/>
  <c r="T237" i="6"/>
  <c r="B238" i="6"/>
  <c r="D238" i="6"/>
  <c r="H238" i="6"/>
  <c r="E238" i="6"/>
  <c r="L238" i="6"/>
  <c r="Q238" i="6"/>
  <c r="T238" i="6"/>
  <c r="B239" i="6"/>
  <c r="N239" i="6"/>
  <c r="H239" i="6"/>
  <c r="C239" i="6"/>
  <c r="G239" i="6"/>
  <c r="K239" i="6"/>
  <c r="M239" i="6"/>
  <c r="Q239" i="6"/>
  <c r="B240" i="6"/>
  <c r="H240" i="6"/>
  <c r="M240" i="6"/>
  <c r="C240" i="6"/>
  <c r="I240" i="6"/>
  <c r="K240" i="6"/>
  <c r="Q240" i="6"/>
  <c r="G240" i="6"/>
  <c r="D2" i="6"/>
  <c r="E2" i="6"/>
  <c r="H2" i="6"/>
  <c r="N2" i="6"/>
  <c r="D3" i="4"/>
  <c r="E3" i="4"/>
  <c r="F3" i="4"/>
  <c r="H3" i="4"/>
  <c r="P3" i="4"/>
  <c r="H4" i="4"/>
  <c r="P4" i="4"/>
  <c r="D4" i="4"/>
  <c r="E4" i="4"/>
  <c r="F4" i="4"/>
  <c r="P5" i="4"/>
  <c r="D5" i="4"/>
  <c r="U5" i="4" s="1"/>
  <c r="E5" i="4"/>
  <c r="F5" i="4"/>
  <c r="H5" i="4"/>
  <c r="P6" i="4"/>
  <c r="D6" i="4"/>
  <c r="U6" i="4" s="1"/>
  <c r="E6" i="4"/>
  <c r="F6" i="4"/>
  <c r="H6" i="4"/>
  <c r="P7" i="4"/>
  <c r="D7" i="4"/>
  <c r="E7" i="4"/>
  <c r="F7" i="4"/>
  <c r="H7" i="4"/>
  <c r="H8" i="4"/>
  <c r="P8" i="4"/>
  <c r="D8" i="4"/>
  <c r="U8" i="4" s="1"/>
  <c r="E8" i="4"/>
  <c r="F8" i="4"/>
  <c r="H9" i="4"/>
  <c r="P9" i="4"/>
  <c r="D9" i="4"/>
  <c r="E9" i="4"/>
  <c r="F9" i="4"/>
  <c r="D10" i="4"/>
  <c r="E10" i="4"/>
  <c r="F10" i="4"/>
  <c r="H10" i="4"/>
  <c r="P10" i="4"/>
  <c r="D11" i="4"/>
  <c r="E11" i="4"/>
  <c r="F11" i="4"/>
  <c r="H11" i="4"/>
  <c r="P11" i="4"/>
  <c r="F12" i="4"/>
  <c r="H12" i="4"/>
  <c r="P12" i="4"/>
  <c r="D12" i="4"/>
  <c r="E12" i="4"/>
  <c r="K13" i="4"/>
  <c r="G13" i="4"/>
  <c r="L13" i="4"/>
  <c r="P13" i="4"/>
  <c r="C13" i="4"/>
  <c r="M13" i="4"/>
  <c r="Q13" i="4"/>
  <c r="D13" i="4"/>
  <c r="E13" i="4"/>
  <c r="F13" i="4"/>
  <c r="G14" i="4"/>
  <c r="K14" i="4"/>
  <c r="L14" i="4"/>
  <c r="P14" i="4"/>
  <c r="C14" i="4"/>
  <c r="F14" i="4"/>
  <c r="M14" i="4"/>
  <c r="Q14" i="4"/>
  <c r="D14" i="4"/>
  <c r="E14" i="4"/>
  <c r="D15" i="4"/>
  <c r="E15" i="4"/>
  <c r="F15" i="4"/>
  <c r="M15" i="4"/>
  <c r="Q15" i="4"/>
  <c r="L15" i="4"/>
  <c r="P15" i="4"/>
  <c r="C15" i="4"/>
  <c r="G15" i="4"/>
  <c r="K15" i="4"/>
  <c r="D16" i="4"/>
  <c r="E16" i="4"/>
  <c r="F16" i="4"/>
  <c r="M16" i="4"/>
  <c r="T16" i="4"/>
  <c r="K16" i="4"/>
  <c r="G16" i="4"/>
  <c r="L16" i="4"/>
  <c r="P16" i="4"/>
  <c r="C16" i="4"/>
  <c r="U16" i="4" s="1"/>
  <c r="K17" i="4"/>
  <c r="P17" i="4"/>
  <c r="R17" i="4"/>
  <c r="C17" i="4"/>
  <c r="G17" i="4"/>
  <c r="F17" i="4"/>
  <c r="M17" i="4"/>
  <c r="T17" i="4"/>
  <c r="D17" i="4"/>
  <c r="E17" i="4"/>
  <c r="K18" i="4"/>
  <c r="R18" i="4"/>
  <c r="S18" i="4"/>
  <c r="C18" i="4"/>
  <c r="G18" i="4"/>
  <c r="M18" i="4"/>
  <c r="D18" i="4"/>
  <c r="E18" i="4"/>
  <c r="F18" i="4"/>
  <c r="H18" i="4"/>
  <c r="G19" i="4"/>
  <c r="K19" i="4"/>
  <c r="L19" i="4"/>
  <c r="S19" i="4"/>
  <c r="C19" i="4"/>
  <c r="J19" i="4"/>
  <c r="M19" i="4"/>
  <c r="D19" i="4"/>
  <c r="E19" i="4"/>
  <c r="F19" i="4"/>
  <c r="D20" i="4"/>
  <c r="E20" i="4"/>
  <c r="F20" i="4"/>
  <c r="M20" i="4"/>
  <c r="Q20" i="4"/>
  <c r="C20" i="4"/>
  <c r="G20" i="4"/>
  <c r="I20" i="4"/>
  <c r="K20" i="4"/>
  <c r="S20" i="4"/>
  <c r="G21" i="4"/>
  <c r="K21" i="4"/>
  <c r="L21" i="4"/>
  <c r="S21" i="4"/>
  <c r="C21" i="4"/>
  <c r="F21" i="4"/>
  <c r="M21" i="4"/>
  <c r="T21" i="4"/>
  <c r="D21" i="4"/>
  <c r="E21" i="4"/>
  <c r="D22" i="4"/>
  <c r="E22" i="4"/>
  <c r="F22" i="4"/>
  <c r="M22" i="4"/>
  <c r="T22" i="4"/>
  <c r="K22" i="4"/>
  <c r="R22" i="4"/>
  <c r="S22" i="4"/>
  <c r="C22" i="4"/>
  <c r="G22" i="4"/>
  <c r="P23" i="4"/>
  <c r="D23" i="4"/>
  <c r="E23" i="4"/>
  <c r="F23" i="4"/>
  <c r="H23" i="4"/>
  <c r="L23" i="4"/>
  <c r="S23" i="4"/>
  <c r="C23" i="4"/>
  <c r="G23" i="4"/>
  <c r="K23" i="4"/>
  <c r="P24" i="4"/>
  <c r="I24" i="4"/>
  <c r="L24" i="4"/>
  <c r="K24" i="4"/>
  <c r="Q24" i="4"/>
  <c r="R24" i="4"/>
  <c r="C24" i="4"/>
  <c r="G24" i="4"/>
  <c r="D25" i="4"/>
  <c r="E25" i="4"/>
  <c r="F25" i="4"/>
  <c r="G25" i="4"/>
  <c r="K25" i="4"/>
  <c r="R25" i="4"/>
  <c r="C25" i="4"/>
  <c r="H25" i="4"/>
  <c r="P25" i="4"/>
  <c r="I25" i="4"/>
  <c r="K26" i="4"/>
  <c r="Q26" i="4"/>
  <c r="C26" i="4"/>
  <c r="D26" i="4"/>
  <c r="E26" i="4"/>
  <c r="F26" i="4"/>
  <c r="G26" i="4"/>
  <c r="H26" i="4"/>
  <c r="I26" i="4"/>
  <c r="T26" i="4"/>
  <c r="K27" i="4"/>
  <c r="Q27" i="4"/>
  <c r="C27" i="4"/>
  <c r="D27" i="4"/>
  <c r="E27" i="4"/>
  <c r="F27" i="4"/>
  <c r="G27" i="4"/>
  <c r="H27" i="4"/>
  <c r="P27" i="4"/>
  <c r="I27" i="4"/>
  <c r="H28" i="4"/>
  <c r="I28" i="4"/>
  <c r="P28" i="4"/>
  <c r="C28" i="4"/>
  <c r="D28" i="4"/>
  <c r="E28" i="4"/>
  <c r="F28" i="4"/>
  <c r="G28" i="4"/>
  <c r="J28" i="4"/>
  <c r="K28" i="4"/>
  <c r="F29" i="4"/>
  <c r="G29" i="4"/>
  <c r="K29" i="4"/>
  <c r="L29" i="4"/>
  <c r="C29" i="4"/>
  <c r="D29" i="4"/>
  <c r="E29" i="4"/>
  <c r="P29" i="4"/>
  <c r="T29" i="4"/>
  <c r="I29" i="4"/>
  <c r="Q30" i="4"/>
  <c r="R30" i="4"/>
  <c r="I30" i="4"/>
  <c r="J30" i="4"/>
  <c r="K30" i="4"/>
  <c r="C30" i="4"/>
  <c r="D30" i="4"/>
  <c r="E30" i="4"/>
  <c r="F30" i="4"/>
  <c r="G30" i="4"/>
  <c r="I31" i="4"/>
  <c r="Q31" i="4"/>
  <c r="P31" i="4"/>
  <c r="F31" i="4"/>
  <c r="G31" i="4"/>
  <c r="J31" i="4"/>
  <c r="K31" i="4"/>
  <c r="C31" i="4"/>
  <c r="D31" i="4"/>
  <c r="E31" i="4"/>
  <c r="C32" i="4"/>
  <c r="G32" i="4"/>
  <c r="T32" i="4"/>
  <c r="K32" i="4"/>
  <c r="M32" i="4"/>
  <c r="I32" i="4"/>
  <c r="P32" i="4"/>
  <c r="Q32" i="4"/>
  <c r="Q33" i="4"/>
  <c r="P33" i="4"/>
  <c r="H33" i="4"/>
  <c r="T33" i="4"/>
  <c r="G33" i="4"/>
  <c r="J33" i="4"/>
  <c r="K33" i="4"/>
  <c r="C33" i="4"/>
  <c r="U33" i="4" s="1"/>
  <c r="P34" i="4"/>
  <c r="Q34" i="4"/>
  <c r="D34" i="4"/>
  <c r="E34" i="4"/>
  <c r="F34" i="4"/>
  <c r="M34" i="4"/>
  <c r="R34" i="4"/>
  <c r="T34" i="4"/>
  <c r="K35" i="4"/>
  <c r="R35" i="4"/>
  <c r="C35" i="4"/>
  <c r="G35" i="4"/>
  <c r="J35" i="4"/>
  <c r="Q35" i="4"/>
  <c r="P35" i="4"/>
  <c r="D35" i="4"/>
  <c r="E35" i="4"/>
  <c r="F35" i="4"/>
  <c r="Q36" i="4"/>
  <c r="S36" i="4"/>
  <c r="D36" i="4"/>
  <c r="E36" i="4"/>
  <c r="F36" i="4"/>
  <c r="T36" i="4"/>
  <c r="M36" i="4"/>
  <c r="R36" i="4"/>
  <c r="Q37" i="4"/>
  <c r="D37" i="4"/>
  <c r="E37" i="4"/>
  <c r="F37" i="4"/>
  <c r="L37" i="4"/>
  <c r="T37" i="4"/>
  <c r="M37" i="4"/>
  <c r="R37" i="4"/>
  <c r="M38" i="4"/>
  <c r="R38" i="4"/>
  <c r="T38" i="4"/>
  <c r="L38" i="4"/>
  <c r="P38" i="4"/>
  <c r="Q38" i="4"/>
  <c r="Q39" i="4"/>
  <c r="S39" i="4"/>
  <c r="D39" i="4"/>
  <c r="E39" i="4"/>
  <c r="F39" i="4"/>
  <c r="M39" i="4"/>
  <c r="R39" i="4"/>
  <c r="M40" i="4"/>
  <c r="Q40" i="4"/>
  <c r="R40" i="4"/>
  <c r="D40" i="4"/>
  <c r="E40" i="4"/>
  <c r="F40" i="4"/>
  <c r="L40" i="4"/>
  <c r="S40" i="4"/>
  <c r="K41" i="4"/>
  <c r="M41" i="4"/>
  <c r="R41" i="4"/>
  <c r="C41" i="4"/>
  <c r="G41" i="4"/>
  <c r="I41" i="4"/>
  <c r="L41" i="4"/>
  <c r="Q41" i="4"/>
  <c r="M42" i="4"/>
  <c r="R42" i="4"/>
  <c r="T42" i="4"/>
  <c r="L42" i="4"/>
  <c r="Q42" i="4"/>
  <c r="D42" i="4"/>
  <c r="E42" i="4"/>
  <c r="F42" i="4"/>
  <c r="F43" i="4"/>
  <c r="H43" i="4"/>
  <c r="P43" i="4"/>
  <c r="D43" i="4"/>
  <c r="E43" i="4"/>
  <c r="M43" i="4"/>
  <c r="Q43" i="4"/>
  <c r="R43" i="4"/>
  <c r="I44" i="4"/>
  <c r="Q44" i="4"/>
  <c r="R44" i="4"/>
  <c r="S44" i="4"/>
  <c r="J44" i="4"/>
  <c r="L44" i="4"/>
  <c r="M45" i="4"/>
  <c r="Q45" i="4"/>
  <c r="R45" i="4"/>
  <c r="J45" i="4"/>
  <c r="L45" i="4"/>
  <c r="S45" i="4"/>
  <c r="S46" i="4"/>
  <c r="J46" i="4"/>
  <c r="L46" i="4"/>
  <c r="I46" i="4"/>
  <c r="M46" i="4"/>
  <c r="P46" i="4"/>
  <c r="P47" i="4"/>
  <c r="C47" i="4"/>
  <c r="G47" i="4"/>
  <c r="I47" i="4"/>
  <c r="K47" i="4"/>
  <c r="J47" i="4"/>
  <c r="L47" i="4"/>
  <c r="D47" i="4"/>
  <c r="E47" i="4"/>
  <c r="F47" i="4"/>
  <c r="G48" i="4"/>
  <c r="I48" i="4"/>
  <c r="K48" i="4"/>
  <c r="M48" i="4"/>
  <c r="C48" i="4"/>
  <c r="L48" i="4"/>
  <c r="S48" i="4"/>
  <c r="H48" i="4"/>
  <c r="Q49" i="4"/>
  <c r="S49" i="4"/>
  <c r="D49" i="4"/>
  <c r="E49" i="4"/>
  <c r="F49" i="4"/>
  <c r="K49" i="4"/>
  <c r="M49" i="4"/>
  <c r="P49" i="4"/>
  <c r="C49" i="4"/>
  <c r="G49" i="4"/>
  <c r="L50" i="4"/>
  <c r="R50" i="4"/>
  <c r="S50" i="4"/>
  <c r="G50" i="4"/>
  <c r="I50" i="4"/>
  <c r="J50" i="4"/>
  <c r="K50" i="4"/>
  <c r="C50" i="4"/>
  <c r="U50" i="4" s="1"/>
  <c r="G51" i="4"/>
  <c r="I51" i="4"/>
  <c r="K51" i="4"/>
  <c r="Q51" i="4"/>
  <c r="C51" i="4"/>
  <c r="P51" i="4"/>
  <c r="S51" i="4"/>
  <c r="D51" i="4"/>
  <c r="E51" i="4"/>
  <c r="F51" i="4"/>
  <c r="E52" i="4"/>
  <c r="F52" i="4"/>
  <c r="M52" i="4"/>
  <c r="S52" i="4"/>
  <c r="D52" i="4"/>
  <c r="C52" i="4"/>
  <c r="G52" i="4"/>
  <c r="I52" i="4"/>
  <c r="K52" i="4"/>
  <c r="Q52" i="4"/>
  <c r="S53" i="4"/>
  <c r="D53" i="4"/>
  <c r="E53" i="4"/>
  <c r="F53" i="4"/>
  <c r="L53" i="4"/>
  <c r="H53" i="4"/>
  <c r="K53" i="4"/>
  <c r="Q53" i="4"/>
  <c r="C53" i="4"/>
  <c r="U53" i="4" s="1"/>
  <c r="G53" i="4"/>
  <c r="D54" i="4"/>
  <c r="E54" i="4"/>
  <c r="F54" i="4"/>
  <c r="L54" i="4"/>
  <c r="M54" i="4"/>
  <c r="K54" i="4"/>
  <c r="H54" i="4"/>
  <c r="C54" i="4"/>
  <c r="G54" i="4"/>
  <c r="I54" i="4"/>
  <c r="K55" i="4"/>
  <c r="T55" i="4"/>
  <c r="Q55" i="4"/>
  <c r="C55" i="4"/>
  <c r="G55" i="4"/>
  <c r="D55" i="4"/>
  <c r="E55" i="4"/>
  <c r="F55" i="4"/>
  <c r="J55" i="4"/>
  <c r="M55" i="4"/>
  <c r="K56" i="4"/>
  <c r="Q56" i="4"/>
  <c r="P56" i="4"/>
  <c r="C56" i="4"/>
  <c r="G56" i="4"/>
  <c r="D56" i="4"/>
  <c r="E56" i="4"/>
  <c r="F56" i="4"/>
  <c r="H56" i="4"/>
  <c r="M56" i="4"/>
  <c r="L57" i="4"/>
  <c r="M57" i="4"/>
  <c r="J57" i="4"/>
  <c r="G57" i="4"/>
  <c r="K57" i="4"/>
  <c r="Q57" i="4"/>
  <c r="T57" i="4"/>
  <c r="C57" i="4"/>
  <c r="U57" i="4" s="1"/>
  <c r="L58" i="4"/>
  <c r="S58" i="4"/>
  <c r="I58" i="4"/>
  <c r="G58" i="4"/>
  <c r="K58" i="4"/>
  <c r="Q58" i="4"/>
  <c r="R58" i="4"/>
  <c r="C58" i="4"/>
  <c r="U58" i="4" s="1"/>
  <c r="G59" i="4"/>
  <c r="J59" i="4"/>
  <c r="K59" i="4"/>
  <c r="Q59" i="4"/>
  <c r="C59" i="4"/>
  <c r="I59" i="4"/>
  <c r="P59" i="4"/>
  <c r="S59" i="4"/>
  <c r="T60" i="4"/>
  <c r="P60" i="4"/>
  <c r="S60" i="4"/>
  <c r="C60" i="4"/>
  <c r="U60" i="4" s="1"/>
  <c r="D60" i="4"/>
  <c r="E60" i="4"/>
  <c r="F60" i="4"/>
  <c r="G60" i="4"/>
  <c r="J60" i="4"/>
  <c r="K60" i="4"/>
  <c r="L61" i="4"/>
  <c r="P61" i="4"/>
  <c r="Q61" i="4"/>
  <c r="G61" i="4"/>
  <c r="K61" i="4"/>
  <c r="R61" i="4"/>
  <c r="C61" i="4"/>
  <c r="U61" i="4" s="1"/>
  <c r="T61" i="4"/>
  <c r="H62" i="4"/>
  <c r="Q62" i="4"/>
  <c r="P62" i="4"/>
  <c r="M62" i="4"/>
  <c r="C62" i="4"/>
  <c r="D62" i="4"/>
  <c r="E62" i="4"/>
  <c r="F62" i="4"/>
  <c r="G62" i="4"/>
  <c r="K62" i="4"/>
  <c r="T63" i="4"/>
  <c r="P63" i="4"/>
  <c r="Q63" i="4"/>
  <c r="K63" i="4"/>
  <c r="R63" i="4"/>
  <c r="C63" i="4"/>
  <c r="D63" i="4"/>
  <c r="E63" i="4"/>
  <c r="F63" i="4"/>
  <c r="G63" i="4"/>
  <c r="F64" i="4"/>
  <c r="G64" i="4"/>
  <c r="K64" i="4"/>
  <c r="M64" i="4"/>
  <c r="C64" i="4"/>
  <c r="D64" i="4"/>
  <c r="E64" i="4"/>
  <c r="H64" i="4"/>
  <c r="Q64" i="4"/>
  <c r="P64" i="4"/>
  <c r="C65" i="4"/>
  <c r="D65" i="4"/>
  <c r="E65" i="4"/>
  <c r="F65" i="4"/>
  <c r="G65" i="4"/>
  <c r="K65" i="4"/>
  <c r="M65" i="4"/>
  <c r="L65" i="4"/>
  <c r="P65" i="4"/>
  <c r="Q65" i="4"/>
  <c r="Q66" i="4"/>
  <c r="P66" i="4"/>
  <c r="L66" i="4"/>
  <c r="F66" i="4"/>
  <c r="G66" i="4"/>
  <c r="K66" i="4"/>
  <c r="C66" i="4"/>
  <c r="D66" i="4"/>
  <c r="T66" i="4"/>
  <c r="E66" i="4"/>
  <c r="L67" i="4"/>
  <c r="P67" i="4"/>
  <c r="Q67" i="4"/>
  <c r="M67" i="4"/>
  <c r="T67" i="4"/>
  <c r="D67" i="4"/>
  <c r="E67" i="4"/>
  <c r="F67" i="4"/>
  <c r="K68" i="4"/>
  <c r="M68" i="4"/>
  <c r="C68" i="4"/>
  <c r="D68" i="4"/>
  <c r="E68" i="4"/>
  <c r="F68" i="4"/>
  <c r="G68" i="4"/>
  <c r="L68" i="4"/>
  <c r="Q68" i="4"/>
  <c r="P68" i="4"/>
  <c r="L69" i="4"/>
  <c r="P69" i="4"/>
  <c r="Q69" i="4"/>
  <c r="E69" i="4"/>
  <c r="F69" i="4"/>
  <c r="G69" i="4"/>
  <c r="K69" i="4"/>
  <c r="M69" i="4"/>
  <c r="C69" i="4"/>
  <c r="U69" i="4" s="1"/>
  <c r="D69" i="4"/>
  <c r="C70" i="4"/>
  <c r="D70" i="4"/>
  <c r="E70" i="4"/>
  <c r="F70" i="4"/>
  <c r="G70" i="4"/>
  <c r="K70" i="4"/>
  <c r="M70" i="4"/>
  <c r="L70" i="4"/>
  <c r="P70" i="4"/>
  <c r="Q70" i="4"/>
  <c r="M71" i="4"/>
  <c r="T71" i="4"/>
  <c r="I71" i="4"/>
  <c r="U71" i="4" s="1"/>
  <c r="P71" i="4"/>
  <c r="Q71" i="4"/>
  <c r="R71" i="4"/>
  <c r="F72" i="4"/>
  <c r="I72" i="4"/>
  <c r="M72" i="4"/>
  <c r="D72" i="4"/>
  <c r="E72" i="4"/>
  <c r="L72" i="4"/>
  <c r="P72" i="4"/>
  <c r="R72" i="4"/>
  <c r="I73" i="4"/>
  <c r="T73" i="4"/>
  <c r="D73" i="4"/>
  <c r="E73" i="4"/>
  <c r="F73" i="4"/>
  <c r="L73" i="4"/>
  <c r="P73" i="4"/>
  <c r="R73" i="4"/>
  <c r="T74" i="4"/>
  <c r="I74" i="4"/>
  <c r="U74" i="4" s="1"/>
  <c r="M74" i="4"/>
  <c r="P74" i="4"/>
  <c r="L74" i="4"/>
  <c r="Q74" i="4"/>
  <c r="P75" i="4"/>
  <c r="Q75" i="4"/>
  <c r="L75" i="4"/>
  <c r="M75" i="4"/>
  <c r="T75" i="4"/>
  <c r="I75" i="4"/>
  <c r="U75" i="4" s="1"/>
  <c r="L76" i="4"/>
  <c r="Q76" i="4"/>
  <c r="P76" i="4"/>
  <c r="T76" i="4"/>
  <c r="I76" i="4"/>
  <c r="M76" i="4"/>
  <c r="I77" i="4"/>
  <c r="M77" i="4"/>
  <c r="T77" i="4"/>
  <c r="G77" i="4"/>
  <c r="K77" i="4"/>
  <c r="P77" i="4"/>
  <c r="R77" i="4"/>
  <c r="C77" i="4"/>
  <c r="U77" i="4" s="1"/>
  <c r="T78" i="4"/>
  <c r="M78" i="4"/>
  <c r="I78" i="4"/>
  <c r="L78" i="4"/>
  <c r="Q78" i="4"/>
  <c r="R78" i="4"/>
  <c r="P79" i="4"/>
  <c r="C79" i="4"/>
  <c r="G79" i="4"/>
  <c r="K79" i="4"/>
  <c r="L79" i="4"/>
  <c r="I79" i="4"/>
  <c r="D79" i="4"/>
  <c r="E79" i="4"/>
  <c r="T79" i="4"/>
  <c r="F79" i="4"/>
  <c r="G80" i="4"/>
  <c r="I80" i="4"/>
  <c r="K80" i="4"/>
  <c r="T80" i="4"/>
  <c r="C80" i="4"/>
  <c r="H80" i="4"/>
  <c r="L80" i="4"/>
  <c r="Q80" i="4"/>
  <c r="L81" i="4"/>
  <c r="Q81" i="4"/>
  <c r="P81" i="4"/>
  <c r="G81" i="4"/>
  <c r="I81" i="4"/>
  <c r="T81" i="4"/>
  <c r="K81" i="4"/>
  <c r="C81" i="4"/>
  <c r="U81" i="4" s="1"/>
  <c r="T82" i="4"/>
  <c r="R82" i="4"/>
  <c r="I82" i="4"/>
  <c r="U82" i="4" s="1"/>
  <c r="Q82" i="4"/>
  <c r="P82" i="4"/>
  <c r="L82" i="4"/>
  <c r="H83" i="4"/>
  <c r="L83" i="4"/>
  <c r="Q83" i="4"/>
  <c r="D83" i="4"/>
  <c r="E83" i="4"/>
  <c r="F83" i="4"/>
  <c r="T83" i="4"/>
  <c r="R83" i="4"/>
  <c r="R84" i="4"/>
  <c r="T84" i="4"/>
  <c r="D84" i="4"/>
  <c r="E84" i="4"/>
  <c r="F84" i="4"/>
  <c r="P84" i="4"/>
  <c r="J84" i="4"/>
  <c r="L84" i="4"/>
  <c r="J85" i="4"/>
  <c r="L85" i="4"/>
  <c r="Q85" i="4"/>
  <c r="K85" i="4"/>
  <c r="R85" i="4"/>
  <c r="T85" i="4"/>
  <c r="C85" i="4"/>
  <c r="G85" i="4"/>
  <c r="L86" i="4"/>
  <c r="I86" i="4"/>
  <c r="J86" i="4"/>
  <c r="K86" i="4"/>
  <c r="R86" i="4"/>
  <c r="C86" i="4"/>
  <c r="D86" i="4"/>
  <c r="E86" i="4"/>
  <c r="F86" i="4"/>
  <c r="G86" i="4"/>
  <c r="G87" i="4"/>
  <c r="I87" i="4"/>
  <c r="K87" i="4"/>
  <c r="T87" i="4"/>
  <c r="C87" i="4"/>
  <c r="J87" i="4"/>
  <c r="M87" i="4"/>
  <c r="Q87" i="4"/>
  <c r="R88" i="4"/>
  <c r="T88" i="4"/>
  <c r="H88" i="4"/>
  <c r="J88" i="4"/>
  <c r="Q88" i="4"/>
  <c r="D88" i="4"/>
  <c r="U88" i="4" s="1"/>
  <c r="E88" i="4"/>
  <c r="F88" i="4"/>
  <c r="H89" i="4"/>
  <c r="T89" i="4"/>
  <c r="D89" i="4"/>
  <c r="E89" i="4"/>
  <c r="F89" i="4"/>
  <c r="R89" i="4"/>
  <c r="Q89" i="4"/>
  <c r="J89" i="4"/>
  <c r="T90" i="4"/>
  <c r="H90" i="4"/>
  <c r="P90" i="4"/>
  <c r="I90" i="4"/>
  <c r="J90" i="4"/>
  <c r="Q90" i="4"/>
  <c r="F91" i="4"/>
  <c r="H91" i="4"/>
  <c r="T91" i="4"/>
  <c r="D91" i="4"/>
  <c r="E91" i="4"/>
  <c r="I91" i="4"/>
  <c r="J91" i="4"/>
  <c r="Q91" i="4"/>
  <c r="E92" i="4"/>
  <c r="F92" i="4"/>
  <c r="H92" i="4"/>
  <c r="R92" i="4"/>
  <c r="D92" i="4"/>
  <c r="P92" i="4"/>
  <c r="J92" i="4"/>
  <c r="Q92" i="4"/>
  <c r="F93" i="4"/>
  <c r="H93" i="4"/>
  <c r="R93" i="4"/>
  <c r="D93" i="4"/>
  <c r="E93" i="4"/>
  <c r="Q93" i="4"/>
  <c r="T93" i="4"/>
  <c r="J93" i="4"/>
  <c r="I94" i="4"/>
  <c r="J94" i="4"/>
  <c r="M94" i="4"/>
  <c r="L94" i="4"/>
  <c r="H94" i="4"/>
  <c r="U94" i="4" s="1"/>
  <c r="R94" i="4"/>
  <c r="P95" i="4"/>
  <c r="D95" i="4"/>
  <c r="E95" i="4"/>
  <c r="F95" i="4"/>
  <c r="H95" i="4"/>
  <c r="G95" i="4"/>
  <c r="I95" i="4"/>
  <c r="J95" i="4"/>
  <c r="K95" i="4"/>
  <c r="C95" i="4"/>
  <c r="U95" i="4" s="1"/>
  <c r="H96" i="4"/>
  <c r="Q96" i="4"/>
  <c r="R96" i="4"/>
  <c r="I96" i="4"/>
  <c r="J96" i="4"/>
  <c r="T96" i="4"/>
  <c r="H97" i="4"/>
  <c r="M97" i="4"/>
  <c r="R97" i="4"/>
  <c r="I97" i="4"/>
  <c r="K97" i="4"/>
  <c r="C97" i="4"/>
  <c r="D97" i="4"/>
  <c r="E97" i="4"/>
  <c r="F97" i="4"/>
  <c r="G97" i="4"/>
  <c r="H98" i="4"/>
  <c r="M98" i="4"/>
  <c r="R98" i="4"/>
  <c r="P98" i="4"/>
  <c r="C98" i="4"/>
  <c r="U98" i="4" s="1"/>
  <c r="G98" i="4"/>
  <c r="I98" i="4"/>
  <c r="K98" i="4"/>
  <c r="H99" i="4"/>
  <c r="M99" i="4"/>
  <c r="T99" i="4"/>
  <c r="I99" i="4"/>
  <c r="K99" i="4"/>
  <c r="Q99" i="4"/>
  <c r="C99" i="4"/>
  <c r="G99" i="4"/>
  <c r="T100" i="4"/>
  <c r="L100" i="4"/>
  <c r="M100" i="4"/>
  <c r="Q100" i="4"/>
  <c r="R100" i="4"/>
  <c r="J100" i="4"/>
  <c r="U100" i="4" s="1"/>
  <c r="L101" i="4"/>
  <c r="M101" i="4"/>
  <c r="R101" i="4"/>
  <c r="T101" i="4"/>
  <c r="I101" i="4"/>
  <c r="U101" i="4" s="1"/>
  <c r="J101" i="4"/>
  <c r="Q102" i="4"/>
  <c r="I102" i="4"/>
  <c r="J102" i="4"/>
  <c r="M102" i="4"/>
  <c r="R102" i="4"/>
  <c r="T102" i="4"/>
  <c r="L103" i="4"/>
  <c r="M103" i="4"/>
  <c r="R103" i="4"/>
  <c r="P103" i="4"/>
  <c r="I103" i="4"/>
  <c r="U103" i="4" s="1"/>
  <c r="T103" i="4"/>
  <c r="I104" i="4"/>
  <c r="J104" i="4"/>
  <c r="P104" i="4"/>
  <c r="M104" i="4"/>
  <c r="R104" i="4"/>
  <c r="T104" i="4"/>
  <c r="M105" i="4"/>
  <c r="R105" i="4"/>
  <c r="D105" i="4"/>
  <c r="E105" i="4"/>
  <c r="F105" i="4"/>
  <c r="P105" i="4"/>
  <c r="I105" i="4"/>
  <c r="J105" i="4"/>
  <c r="P106" i="4"/>
  <c r="I106" i="4"/>
  <c r="J106" i="4"/>
  <c r="L106" i="4"/>
  <c r="M106" i="4"/>
  <c r="R106" i="4"/>
  <c r="L107" i="4"/>
  <c r="M107" i="4"/>
  <c r="D107" i="4"/>
  <c r="E107" i="4"/>
  <c r="F107" i="4"/>
  <c r="G107" i="4"/>
  <c r="J107" i="4"/>
  <c r="K107" i="4"/>
  <c r="P107" i="4"/>
  <c r="C107" i="4"/>
  <c r="U107" i="4" s="1"/>
  <c r="L108" i="4"/>
  <c r="M108" i="4"/>
  <c r="D108" i="4"/>
  <c r="E108" i="4"/>
  <c r="F108" i="4"/>
  <c r="R108" i="4"/>
  <c r="P108" i="4"/>
  <c r="C108" i="4"/>
  <c r="G108" i="4"/>
  <c r="K108" i="4"/>
  <c r="E109" i="4"/>
  <c r="F109" i="4"/>
  <c r="I109" i="4"/>
  <c r="M109" i="4"/>
  <c r="D109" i="4"/>
  <c r="K109" i="4"/>
  <c r="P109" i="4"/>
  <c r="R109" i="4"/>
  <c r="C109" i="4"/>
  <c r="U109" i="4" s="1"/>
  <c r="G109" i="4"/>
  <c r="C110" i="4"/>
  <c r="G110" i="4"/>
  <c r="J110" i="4"/>
  <c r="K110" i="4"/>
  <c r="R110" i="4"/>
  <c r="M110" i="4"/>
  <c r="D110" i="4"/>
  <c r="E110" i="4"/>
  <c r="F110" i="4"/>
  <c r="I110" i="4"/>
  <c r="M111" i="4"/>
  <c r="I111" i="4"/>
  <c r="L111" i="4"/>
  <c r="C111" i="4"/>
  <c r="G111" i="4"/>
  <c r="J111" i="4"/>
  <c r="K111" i="4"/>
  <c r="R111" i="4"/>
  <c r="I112" i="4"/>
  <c r="L112" i="4"/>
  <c r="M112" i="4"/>
  <c r="J112" i="4"/>
  <c r="H112" i="4"/>
  <c r="P112" i="4"/>
  <c r="P113" i="4"/>
  <c r="R113" i="4"/>
  <c r="Q113" i="4"/>
  <c r="L113" i="4"/>
  <c r="M113" i="4"/>
  <c r="D113" i="4"/>
  <c r="E113" i="4"/>
  <c r="F113" i="4"/>
  <c r="L114" i="4"/>
  <c r="M114" i="4"/>
  <c r="D114" i="4"/>
  <c r="E114" i="4"/>
  <c r="F114" i="4"/>
  <c r="J114" i="4"/>
  <c r="T114" i="4"/>
  <c r="R114" i="4"/>
  <c r="M115" i="4"/>
  <c r="Q115" i="4"/>
  <c r="D115" i="4"/>
  <c r="E115" i="4"/>
  <c r="F115" i="4"/>
  <c r="H115" i="4"/>
  <c r="T115" i="4"/>
  <c r="R115" i="4"/>
  <c r="H116" i="4"/>
  <c r="R116" i="4"/>
  <c r="T116" i="4"/>
  <c r="G116" i="4"/>
  <c r="I116" i="4"/>
  <c r="K116" i="4"/>
  <c r="M116" i="4"/>
  <c r="C116" i="4"/>
  <c r="U116" i="4" s="1"/>
  <c r="K117" i="4"/>
  <c r="Q117" i="4"/>
  <c r="C117" i="4"/>
  <c r="D117" i="4"/>
  <c r="E117" i="4"/>
  <c r="F117" i="4"/>
  <c r="G117" i="4"/>
  <c r="R117" i="4"/>
  <c r="J117" i="4"/>
  <c r="T117" i="4"/>
  <c r="R118" i="4"/>
  <c r="T118" i="4"/>
  <c r="M118" i="4"/>
  <c r="Q118" i="4"/>
  <c r="C118" i="4"/>
  <c r="D118" i="4"/>
  <c r="E118" i="4"/>
  <c r="F118" i="4"/>
  <c r="G118" i="4"/>
  <c r="K118" i="4"/>
  <c r="I119" i="4"/>
  <c r="L119" i="4"/>
  <c r="P119" i="4"/>
  <c r="D119" i="4"/>
  <c r="T119" i="4"/>
  <c r="E119" i="4"/>
  <c r="F119" i="4"/>
  <c r="M119" i="4"/>
  <c r="H120" i="4"/>
  <c r="M120" i="4"/>
  <c r="T120" i="4"/>
  <c r="G120" i="4"/>
  <c r="J120" i="4"/>
  <c r="K120" i="4"/>
  <c r="R120" i="4"/>
  <c r="C120" i="4"/>
  <c r="U120" i="4" s="1"/>
  <c r="C121" i="4"/>
  <c r="G121" i="4"/>
  <c r="J121" i="4"/>
  <c r="K121" i="4"/>
  <c r="L121" i="4"/>
  <c r="T121" i="4"/>
  <c r="Q121" i="4"/>
  <c r="H121" i="4"/>
  <c r="H122" i="4"/>
  <c r="Q122" i="4"/>
  <c r="P122" i="4"/>
  <c r="D122" i="4"/>
  <c r="E122" i="4"/>
  <c r="F122" i="4"/>
  <c r="M122" i="4"/>
  <c r="R122" i="4"/>
  <c r="E123" i="4"/>
  <c r="F123" i="4"/>
  <c r="I123" i="4"/>
  <c r="Q123" i="4"/>
  <c r="D123" i="4"/>
  <c r="U123" i="4" s="1"/>
  <c r="M123" i="4"/>
  <c r="R123" i="4"/>
  <c r="T123" i="4"/>
  <c r="G124" i="4"/>
  <c r="J124" i="4"/>
  <c r="K124" i="4"/>
  <c r="M124" i="4"/>
  <c r="C124" i="4"/>
  <c r="H124" i="4"/>
  <c r="P124" i="4"/>
  <c r="L124" i="4"/>
  <c r="M125" i="4"/>
  <c r="Q125" i="4"/>
  <c r="D125" i="4"/>
  <c r="E125" i="4"/>
  <c r="F125" i="4"/>
  <c r="R125" i="4"/>
  <c r="T125" i="4"/>
  <c r="H125" i="4"/>
  <c r="H126" i="4"/>
  <c r="M126" i="4"/>
  <c r="R126" i="4"/>
  <c r="E126" i="4"/>
  <c r="F126" i="4"/>
  <c r="L126" i="4"/>
  <c r="Q126" i="4"/>
  <c r="D126" i="4"/>
  <c r="U126" i="4" s="1"/>
  <c r="J127" i="4"/>
  <c r="T127" i="4"/>
  <c r="R127" i="4"/>
  <c r="E127" i="4"/>
  <c r="F127" i="4"/>
  <c r="L127" i="4"/>
  <c r="Q127" i="4"/>
  <c r="D127" i="4"/>
  <c r="U127" i="4" s="1"/>
  <c r="R128" i="4"/>
  <c r="T128" i="4"/>
  <c r="H128" i="4"/>
  <c r="L128" i="4"/>
  <c r="M128" i="4"/>
  <c r="D128" i="4"/>
  <c r="E128" i="4"/>
  <c r="F128" i="4"/>
  <c r="J129" i="4"/>
  <c r="M129" i="4"/>
  <c r="D129" i="4"/>
  <c r="E129" i="4"/>
  <c r="F129" i="4"/>
  <c r="H129" i="4"/>
  <c r="I129" i="4"/>
  <c r="R129" i="4"/>
  <c r="H130" i="4"/>
  <c r="R130" i="4"/>
  <c r="T130" i="4"/>
  <c r="M130" i="4"/>
  <c r="D130" i="4"/>
  <c r="E130" i="4"/>
  <c r="F130" i="4"/>
  <c r="J130" i="4"/>
  <c r="H131" i="4"/>
  <c r="R131" i="4"/>
  <c r="T131" i="4"/>
  <c r="E131" i="4"/>
  <c r="F131" i="4"/>
  <c r="J131" i="4"/>
  <c r="M131" i="4"/>
  <c r="D131" i="4"/>
  <c r="U131" i="4" s="1"/>
  <c r="E132" i="4"/>
  <c r="F132" i="4"/>
  <c r="I132" i="4"/>
  <c r="J132" i="4"/>
  <c r="D132" i="4"/>
  <c r="R132" i="4"/>
  <c r="T132" i="4"/>
  <c r="H132" i="4"/>
  <c r="L133" i="4"/>
  <c r="T133" i="4"/>
  <c r="R133" i="4"/>
  <c r="E133" i="4"/>
  <c r="F133" i="4"/>
  <c r="G133" i="4"/>
  <c r="J133" i="4"/>
  <c r="K133" i="4"/>
  <c r="C133" i="4"/>
  <c r="D133" i="4"/>
  <c r="H134" i="4"/>
  <c r="L134" i="4"/>
  <c r="R134" i="4"/>
  <c r="D134" i="4"/>
  <c r="E134" i="4"/>
  <c r="F134" i="4"/>
  <c r="M134" i="4"/>
  <c r="Q134" i="4"/>
  <c r="P135" i="4"/>
  <c r="Q135" i="4"/>
  <c r="D135" i="4"/>
  <c r="E135" i="4"/>
  <c r="F135" i="4"/>
  <c r="L135" i="4"/>
  <c r="H135" i="4"/>
  <c r="R135" i="4"/>
  <c r="J136" i="4"/>
  <c r="H136" i="4"/>
  <c r="L136" i="4"/>
  <c r="K136" i="4"/>
  <c r="Q136" i="4"/>
  <c r="C136" i="4"/>
  <c r="D136" i="4"/>
  <c r="E136" i="4"/>
  <c r="F136" i="4"/>
  <c r="G136" i="4"/>
  <c r="Q137" i="4"/>
  <c r="D137" i="4"/>
  <c r="E137" i="4"/>
  <c r="F137" i="4"/>
  <c r="J137" i="4"/>
  <c r="H137" i="4"/>
  <c r="T137" i="4"/>
  <c r="R138" i="4"/>
  <c r="T138" i="4"/>
  <c r="L138" i="4"/>
  <c r="Q138" i="4"/>
  <c r="C138" i="4"/>
  <c r="G138" i="4"/>
  <c r="J138" i="4"/>
  <c r="K138" i="4"/>
  <c r="Q139" i="4"/>
  <c r="C139" i="4"/>
  <c r="G139" i="4"/>
  <c r="J139" i="4"/>
  <c r="K139" i="4"/>
  <c r="H139" i="4"/>
  <c r="T139" i="4"/>
  <c r="K140" i="4"/>
  <c r="Q140" i="4"/>
  <c r="C140" i="4"/>
  <c r="G140" i="4"/>
  <c r="J140" i="4"/>
  <c r="L140" i="4"/>
  <c r="R140" i="4"/>
  <c r="H140" i="4"/>
  <c r="Q141" i="4"/>
  <c r="C141" i="4"/>
  <c r="G141" i="4"/>
  <c r="J141" i="4"/>
  <c r="K141" i="4"/>
  <c r="H141" i="4"/>
  <c r="L141" i="4"/>
  <c r="R141" i="4"/>
  <c r="Q142" i="4"/>
  <c r="M142" i="4"/>
  <c r="P142" i="4"/>
  <c r="L142" i="4"/>
  <c r="H142" i="4"/>
  <c r="T142" i="4"/>
  <c r="H143" i="4"/>
  <c r="L143" i="4"/>
  <c r="T143" i="4"/>
  <c r="M143" i="4"/>
  <c r="Q143" i="4"/>
  <c r="P143" i="4"/>
  <c r="P144" i="4"/>
  <c r="D144" i="4"/>
  <c r="E144" i="4"/>
  <c r="F144" i="4"/>
  <c r="M144" i="4"/>
  <c r="H144" i="4"/>
  <c r="L144" i="4"/>
  <c r="T144" i="4"/>
  <c r="F145" i="4"/>
  <c r="H145" i="4"/>
  <c r="T145" i="4"/>
  <c r="D145" i="4"/>
  <c r="E145" i="4"/>
  <c r="M145" i="4"/>
  <c r="P145" i="4"/>
  <c r="I145" i="4"/>
  <c r="L146" i="4"/>
  <c r="R146" i="4"/>
  <c r="T146" i="4"/>
  <c r="F146" i="4"/>
  <c r="H146" i="4"/>
  <c r="J146" i="4"/>
  <c r="D146" i="4"/>
  <c r="E146" i="4"/>
  <c r="G147" i="4"/>
  <c r="J147" i="4"/>
  <c r="K147" i="4"/>
  <c r="M147" i="4"/>
  <c r="C147" i="4"/>
  <c r="T147" i="4"/>
  <c r="I147" i="4"/>
  <c r="L147" i="4"/>
  <c r="K148" i="4"/>
  <c r="M148" i="4"/>
  <c r="C148" i="4"/>
  <c r="G148" i="4"/>
  <c r="J148" i="4"/>
  <c r="I148" i="4"/>
  <c r="L148" i="4"/>
  <c r="T148" i="4"/>
  <c r="H149" i="4"/>
  <c r="M149" i="4"/>
  <c r="Q149" i="4"/>
  <c r="R149" i="4"/>
  <c r="T149" i="4"/>
  <c r="I149" i="4"/>
  <c r="T150" i="4"/>
  <c r="I150" i="4"/>
  <c r="L150" i="4"/>
  <c r="H150" i="4"/>
  <c r="M150" i="4"/>
  <c r="Q150" i="4"/>
  <c r="H151" i="4"/>
  <c r="L151" i="4"/>
  <c r="M151" i="4"/>
  <c r="I151" i="4"/>
  <c r="R151" i="4"/>
  <c r="P151" i="4"/>
  <c r="P152" i="4"/>
  <c r="T152" i="4"/>
  <c r="I152" i="4"/>
  <c r="H152" i="4"/>
  <c r="M152" i="4"/>
  <c r="Q152" i="4"/>
  <c r="I153" i="4"/>
  <c r="P153" i="4"/>
  <c r="T153" i="4"/>
  <c r="H153" i="4"/>
  <c r="M153" i="4"/>
  <c r="D153" i="4"/>
  <c r="E153" i="4"/>
  <c r="F153" i="4"/>
  <c r="E154" i="4"/>
  <c r="F154" i="4"/>
  <c r="H154" i="4"/>
  <c r="M154" i="4"/>
  <c r="D154" i="4"/>
  <c r="P154" i="4"/>
  <c r="R154" i="4"/>
  <c r="I154" i="4"/>
  <c r="I155" i="4"/>
  <c r="L155" i="4"/>
  <c r="T155" i="4"/>
  <c r="D155" i="4"/>
  <c r="E155" i="4"/>
  <c r="F155" i="4"/>
  <c r="M155" i="4"/>
  <c r="Q155" i="4"/>
  <c r="E156" i="4"/>
  <c r="F156" i="4"/>
  <c r="G156" i="4"/>
  <c r="K156" i="4"/>
  <c r="M156" i="4"/>
  <c r="C156" i="4"/>
  <c r="D156" i="4"/>
  <c r="R156" i="4"/>
  <c r="T156" i="4"/>
  <c r="I156" i="4"/>
  <c r="I157" i="4"/>
  <c r="M157" i="4"/>
  <c r="R157" i="4"/>
  <c r="Q157" i="4"/>
  <c r="C157" i="4"/>
  <c r="G157" i="4"/>
  <c r="K157" i="4"/>
  <c r="L157" i="4"/>
  <c r="K158" i="4"/>
  <c r="L158" i="4"/>
  <c r="M158" i="4"/>
  <c r="C158" i="4"/>
  <c r="U158" i="4" s="1"/>
  <c r="G158" i="4"/>
  <c r="T158" i="4"/>
  <c r="H158" i="4"/>
  <c r="R158" i="4"/>
  <c r="T159" i="4"/>
  <c r="C159" i="4"/>
  <c r="G159" i="4"/>
  <c r="K159" i="4"/>
  <c r="L159" i="4"/>
  <c r="H159" i="4"/>
  <c r="I159" i="4"/>
  <c r="R159" i="4"/>
  <c r="I160" i="4"/>
  <c r="R160" i="4"/>
  <c r="P160" i="4"/>
  <c r="M160" i="4"/>
  <c r="T160" i="4"/>
  <c r="J160" i="4"/>
  <c r="P161" i="4"/>
  <c r="Q161" i="4"/>
  <c r="I161" i="4"/>
  <c r="G161" i="4"/>
  <c r="K161" i="4"/>
  <c r="L161" i="4"/>
  <c r="M161" i="4"/>
  <c r="C161" i="4"/>
  <c r="U161" i="4" s="1"/>
  <c r="I162" i="4"/>
  <c r="P162" i="4"/>
  <c r="Q162" i="4"/>
  <c r="G162" i="4"/>
  <c r="K162" i="4"/>
  <c r="M162" i="4"/>
  <c r="T162" i="4"/>
  <c r="C162" i="4"/>
  <c r="U162" i="4" s="1"/>
  <c r="I163" i="4"/>
  <c r="R163" i="4"/>
  <c r="Q163" i="4"/>
  <c r="C163" i="4"/>
  <c r="G163" i="4"/>
  <c r="K163" i="4"/>
  <c r="L163" i="4"/>
  <c r="M163" i="4"/>
  <c r="I164" i="4"/>
  <c r="Q164" i="4"/>
  <c r="R164" i="4"/>
  <c r="K164" i="4"/>
  <c r="L164" i="4"/>
  <c r="C164" i="4"/>
  <c r="G164" i="4"/>
  <c r="J164" i="4"/>
  <c r="I165" i="4"/>
  <c r="P165" i="4"/>
  <c r="Q165" i="4"/>
  <c r="J165" i="4"/>
  <c r="L165" i="4"/>
  <c r="M165" i="4"/>
  <c r="L166" i="4"/>
  <c r="T166" i="4"/>
  <c r="J166" i="4"/>
  <c r="Q166" i="4"/>
  <c r="P166" i="4"/>
  <c r="I166" i="4"/>
  <c r="U166" i="4" s="1"/>
  <c r="I167" i="4"/>
  <c r="R167" i="4"/>
  <c r="Q167" i="4"/>
  <c r="G167" i="4"/>
  <c r="H167" i="4"/>
  <c r="K167" i="4"/>
  <c r="M167" i="4"/>
  <c r="C167" i="4"/>
  <c r="U167" i="4" s="1"/>
  <c r="I168" i="4"/>
  <c r="R168" i="4"/>
  <c r="D168" i="4"/>
  <c r="E168" i="4"/>
  <c r="F168" i="4"/>
  <c r="K168" i="4"/>
  <c r="M168" i="4"/>
  <c r="T168" i="4"/>
  <c r="C168" i="4"/>
  <c r="U168" i="4" s="1"/>
  <c r="G168" i="4"/>
  <c r="L169" i="4"/>
  <c r="M169" i="4"/>
  <c r="T169" i="4"/>
  <c r="R169" i="4"/>
  <c r="Q169" i="4"/>
  <c r="D169" i="4"/>
  <c r="U169" i="4" s="1"/>
  <c r="E169" i="4"/>
  <c r="F169" i="4"/>
  <c r="P170" i="4"/>
  <c r="D170" i="4"/>
  <c r="E170" i="4"/>
  <c r="F170" i="4"/>
  <c r="I170" i="4"/>
  <c r="C170" i="4"/>
  <c r="G170" i="4"/>
  <c r="K170" i="4"/>
  <c r="L170" i="4"/>
  <c r="M170" i="4"/>
  <c r="G171" i="4"/>
  <c r="K171" i="4"/>
  <c r="L171" i="4"/>
  <c r="T171" i="4"/>
  <c r="C171" i="4"/>
  <c r="R171" i="4"/>
  <c r="P171" i="4"/>
  <c r="D171" i="4"/>
  <c r="E171" i="4"/>
  <c r="F171" i="4"/>
  <c r="L172" i="4"/>
  <c r="M172" i="4"/>
  <c r="T172" i="4"/>
  <c r="P172" i="4"/>
  <c r="Q172" i="4"/>
  <c r="D172" i="4"/>
  <c r="E172" i="4"/>
  <c r="F172" i="4"/>
  <c r="Q173" i="4"/>
  <c r="D173" i="4"/>
  <c r="E173" i="4"/>
  <c r="F173" i="4"/>
  <c r="I173" i="4"/>
  <c r="G173" i="4"/>
  <c r="K173" i="4"/>
  <c r="L173" i="4"/>
  <c r="M173" i="4"/>
  <c r="C173" i="4"/>
  <c r="U173" i="4" s="1"/>
  <c r="E174" i="4"/>
  <c r="F174" i="4"/>
  <c r="P174" i="4"/>
  <c r="Q174" i="4"/>
  <c r="D174" i="4"/>
  <c r="T174" i="4"/>
  <c r="C174" i="4"/>
  <c r="G174" i="4"/>
  <c r="K174" i="4"/>
  <c r="L174" i="4"/>
  <c r="L175" i="4"/>
  <c r="T175" i="4"/>
  <c r="J175" i="4"/>
  <c r="Q175" i="4"/>
  <c r="P175" i="4"/>
  <c r="D175" i="4"/>
  <c r="E175" i="4"/>
  <c r="F175" i="4"/>
  <c r="P176" i="4"/>
  <c r="Q176" i="4"/>
  <c r="D176" i="4"/>
  <c r="E176" i="4"/>
  <c r="F176" i="4"/>
  <c r="J176" i="4"/>
  <c r="L176" i="4"/>
  <c r="T176" i="4"/>
  <c r="T177" i="4"/>
  <c r="C177" i="4"/>
  <c r="G177" i="4"/>
  <c r="K177" i="4"/>
  <c r="L177" i="4"/>
  <c r="Q177" i="4"/>
  <c r="P177" i="4"/>
  <c r="D177" i="4"/>
  <c r="E177" i="4"/>
  <c r="F177" i="4"/>
  <c r="Q178" i="4"/>
  <c r="D178" i="4"/>
  <c r="E178" i="4"/>
  <c r="F178" i="4"/>
  <c r="M178" i="4"/>
  <c r="L178" i="4"/>
  <c r="H178" i="4"/>
  <c r="T178" i="4"/>
  <c r="R179" i="4"/>
  <c r="T179" i="4"/>
  <c r="H179" i="4"/>
  <c r="E179" i="4"/>
  <c r="F179" i="4"/>
  <c r="J179" i="4"/>
  <c r="Q179" i="4"/>
  <c r="D179" i="4"/>
  <c r="U179" i="4" s="1"/>
  <c r="Q180" i="4"/>
  <c r="C180" i="4"/>
  <c r="G180" i="4"/>
  <c r="I180" i="4"/>
  <c r="K180" i="4"/>
  <c r="L180" i="4"/>
  <c r="T180" i="4"/>
  <c r="J180" i="4"/>
  <c r="R181" i="4"/>
  <c r="P181" i="4"/>
  <c r="T181" i="4"/>
  <c r="M181" i="4"/>
  <c r="C181" i="4"/>
  <c r="G181" i="4"/>
  <c r="K181" i="4"/>
  <c r="L181" i="4"/>
  <c r="H182" i="4"/>
  <c r="L182" i="4"/>
  <c r="R182" i="4"/>
  <c r="M182" i="4"/>
  <c r="I182" i="4"/>
  <c r="J182" i="4"/>
  <c r="K183" i="4"/>
  <c r="M183" i="4"/>
  <c r="C183" i="4"/>
  <c r="D183" i="4"/>
  <c r="E183" i="4"/>
  <c r="F183" i="4"/>
  <c r="G183" i="4"/>
  <c r="L183" i="4"/>
  <c r="R183" i="4"/>
  <c r="T183" i="4"/>
  <c r="L184" i="4"/>
  <c r="R184" i="4"/>
  <c r="T184" i="4"/>
  <c r="C184" i="4"/>
  <c r="D184" i="4"/>
  <c r="E184" i="4"/>
  <c r="F184" i="4"/>
  <c r="G184" i="4"/>
  <c r="K184" i="4"/>
  <c r="H184" i="4"/>
  <c r="L185" i="4"/>
  <c r="Q185" i="4"/>
  <c r="I185" i="4"/>
  <c r="H185" i="4"/>
  <c r="K185" i="4"/>
  <c r="M185" i="4"/>
  <c r="C185" i="4"/>
  <c r="U185" i="4" s="1"/>
  <c r="G185" i="4"/>
  <c r="L186" i="4"/>
  <c r="R186" i="4"/>
  <c r="T186" i="4"/>
  <c r="K186" i="4"/>
  <c r="H186" i="4"/>
  <c r="M186" i="4"/>
  <c r="C186" i="4"/>
  <c r="U186" i="4" s="1"/>
  <c r="G186" i="4"/>
  <c r="C187" i="4"/>
  <c r="D187" i="4"/>
  <c r="E187" i="4"/>
  <c r="F187" i="4"/>
  <c r="G187" i="4"/>
  <c r="K187" i="4"/>
  <c r="M187" i="4"/>
  <c r="T187" i="4"/>
  <c r="L187" i="4"/>
  <c r="R187" i="4"/>
  <c r="E188" i="4"/>
  <c r="F188" i="4"/>
  <c r="M188" i="4"/>
  <c r="Q188" i="4"/>
  <c r="D188" i="4"/>
  <c r="R188" i="4"/>
  <c r="T188" i="4"/>
  <c r="I188" i="4"/>
  <c r="I189" i="4"/>
  <c r="R189" i="4"/>
  <c r="T189" i="4"/>
  <c r="M189" i="4"/>
  <c r="P189" i="4"/>
  <c r="Q189" i="4"/>
  <c r="L190" i="4"/>
  <c r="P190" i="4"/>
  <c r="R190" i="4"/>
  <c r="H190" i="4"/>
  <c r="M190" i="4"/>
  <c r="D190" i="4"/>
  <c r="E190" i="4"/>
  <c r="F190" i="4"/>
  <c r="R191" i="4"/>
  <c r="Q191" i="4"/>
  <c r="L191" i="4"/>
  <c r="D191" i="4"/>
  <c r="E191" i="4"/>
  <c r="F191" i="4"/>
  <c r="I191" i="4"/>
  <c r="M191" i="4"/>
  <c r="K192" i="4"/>
  <c r="M192" i="4"/>
  <c r="Q192" i="4"/>
  <c r="C192" i="4"/>
  <c r="G192" i="4"/>
  <c r="L192" i="4"/>
  <c r="R192" i="4"/>
  <c r="T192" i="4"/>
  <c r="D193" i="4"/>
  <c r="E193" i="4"/>
  <c r="F193" i="4"/>
  <c r="I193" i="4"/>
  <c r="M193" i="4"/>
  <c r="J193" i="4"/>
  <c r="L193" i="4"/>
  <c r="R193" i="4"/>
  <c r="L194" i="4"/>
  <c r="R194" i="4"/>
  <c r="D194" i="4"/>
  <c r="E194" i="4"/>
  <c r="F194" i="4"/>
  <c r="H194" i="4"/>
  <c r="M194" i="4"/>
  <c r="P194" i="4"/>
  <c r="R195" i="4"/>
  <c r="T195" i="4"/>
  <c r="L195" i="4"/>
  <c r="H195" i="4"/>
  <c r="M195" i="4"/>
  <c r="Q195" i="4"/>
  <c r="R196" i="4"/>
  <c r="D196" i="4"/>
  <c r="E196" i="4"/>
  <c r="F196" i="4"/>
  <c r="L196" i="4"/>
  <c r="H196" i="4"/>
  <c r="M196" i="4"/>
  <c r="T196" i="4"/>
  <c r="H197" i="4"/>
  <c r="M197" i="4"/>
  <c r="P197" i="4"/>
  <c r="R197" i="4"/>
  <c r="I197" i="4"/>
  <c r="L197" i="4"/>
  <c r="H198" i="4"/>
  <c r="P198" i="4"/>
  <c r="D198" i="4"/>
  <c r="E198" i="4"/>
  <c r="F198" i="4"/>
  <c r="L198" i="4"/>
  <c r="Q198" i="4"/>
  <c r="R198" i="4"/>
  <c r="C199" i="4"/>
  <c r="G199" i="4"/>
  <c r="K199" i="4"/>
  <c r="L199" i="4"/>
  <c r="R199" i="4"/>
  <c r="H199" i="4"/>
  <c r="P199" i="4"/>
  <c r="J199" i="4"/>
  <c r="R200" i="4"/>
  <c r="D200" i="4"/>
  <c r="E200" i="4"/>
  <c r="F200" i="4"/>
  <c r="L200" i="4"/>
  <c r="H200" i="4"/>
  <c r="J200" i="4"/>
  <c r="M200" i="4"/>
  <c r="E201" i="4"/>
  <c r="F201" i="4"/>
  <c r="R201" i="4"/>
  <c r="T201" i="4"/>
  <c r="D201" i="4"/>
  <c r="J201" i="4"/>
  <c r="Q201" i="4"/>
  <c r="P201" i="4"/>
  <c r="E202" i="4"/>
  <c r="F202" i="4"/>
  <c r="G202" i="4"/>
  <c r="K202" i="4"/>
  <c r="R202" i="4"/>
  <c r="C202" i="4"/>
  <c r="D202" i="4"/>
  <c r="Q202" i="4"/>
  <c r="H202" i="4"/>
  <c r="P202" i="4"/>
  <c r="T203" i="4"/>
  <c r="D203" i="4"/>
  <c r="E203" i="4"/>
  <c r="F203" i="4"/>
  <c r="R203" i="4"/>
  <c r="M203" i="4"/>
  <c r="Q203" i="4"/>
  <c r="P203" i="4"/>
  <c r="L204" i="4"/>
  <c r="R204" i="4"/>
  <c r="T204" i="4"/>
  <c r="K204" i="4"/>
  <c r="P204" i="4"/>
  <c r="C204" i="4"/>
  <c r="G204" i="4"/>
  <c r="J204" i="4"/>
  <c r="R205" i="4"/>
  <c r="T205" i="4"/>
  <c r="L205" i="4"/>
  <c r="P205" i="4"/>
  <c r="C205" i="4"/>
  <c r="G205" i="4"/>
  <c r="K205" i="4"/>
  <c r="M205" i="4"/>
  <c r="K206" i="4"/>
  <c r="P206" i="4"/>
  <c r="Q206" i="4"/>
  <c r="C206" i="4"/>
  <c r="G206" i="4"/>
  <c r="R206" i="4"/>
  <c r="T206" i="4"/>
  <c r="D206" i="4"/>
  <c r="E206" i="4"/>
  <c r="F206" i="4"/>
  <c r="T207" i="4"/>
  <c r="D207" i="4"/>
  <c r="E207" i="4"/>
  <c r="F207" i="4"/>
  <c r="J207" i="4"/>
  <c r="K207" i="4"/>
  <c r="Q207" i="4"/>
  <c r="P207" i="4"/>
  <c r="C207" i="4"/>
  <c r="G207" i="4"/>
  <c r="K208" i="4"/>
  <c r="P208" i="4"/>
  <c r="Q208" i="4"/>
  <c r="C208" i="4"/>
  <c r="G208" i="4"/>
  <c r="T208" i="4"/>
  <c r="L208" i="4"/>
  <c r="R208" i="4"/>
  <c r="Q209" i="4"/>
  <c r="P209" i="4"/>
  <c r="C209" i="4"/>
  <c r="G209" i="4"/>
  <c r="K209" i="4"/>
  <c r="J209" i="4"/>
  <c r="R209" i="4"/>
  <c r="T209" i="4"/>
  <c r="Q210" i="4"/>
  <c r="C210" i="4"/>
  <c r="G210" i="4"/>
  <c r="K210" i="4"/>
  <c r="P210" i="4"/>
  <c r="R210" i="4"/>
  <c r="T210" i="4"/>
  <c r="J210" i="4"/>
  <c r="J211" i="4"/>
  <c r="R211" i="4"/>
  <c r="D211" i="4"/>
  <c r="E211" i="4"/>
  <c r="F211" i="4"/>
  <c r="G211" i="4"/>
  <c r="H211" i="4"/>
  <c r="K211" i="4"/>
  <c r="M211" i="4"/>
  <c r="C211" i="4"/>
  <c r="U211" i="4" s="1"/>
  <c r="K212" i="4"/>
  <c r="P212" i="4"/>
  <c r="Q212" i="4"/>
  <c r="C212" i="4"/>
  <c r="G212" i="4"/>
  <c r="I212" i="4"/>
  <c r="R212" i="4"/>
  <c r="T212" i="4"/>
  <c r="H213" i="4"/>
  <c r="I213" i="4"/>
  <c r="R213" i="4"/>
  <c r="M213" i="4"/>
  <c r="Q213" i="4"/>
  <c r="T213" i="4"/>
  <c r="R214" i="4"/>
  <c r="T214" i="4"/>
  <c r="D214" i="4"/>
  <c r="E214" i="4"/>
  <c r="F214" i="4"/>
  <c r="Q214" i="4"/>
  <c r="P214" i="4"/>
  <c r="C214" i="4"/>
  <c r="G214" i="4"/>
  <c r="K214" i="4"/>
  <c r="G215" i="4"/>
  <c r="K215" i="4"/>
  <c r="P215" i="4"/>
  <c r="Q215" i="4"/>
  <c r="C215" i="4"/>
  <c r="H215" i="4"/>
  <c r="I215" i="4"/>
  <c r="R215" i="4"/>
  <c r="G216" i="4"/>
  <c r="K216" i="4"/>
  <c r="M216" i="4"/>
  <c r="Q216" i="4"/>
  <c r="C216" i="4"/>
  <c r="R216" i="4"/>
  <c r="T216" i="4"/>
  <c r="D216" i="4"/>
  <c r="E216" i="4"/>
  <c r="F216" i="4"/>
  <c r="K217" i="4"/>
  <c r="M217" i="4"/>
  <c r="Q217" i="4"/>
  <c r="C217" i="4"/>
  <c r="G217" i="4"/>
  <c r="D217" i="4"/>
  <c r="E217" i="4"/>
  <c r="F217" i="4"/>
  <c r="I217" i="4"/>
  <c r="T217" i="4"/>
  <c r="T218" i="4"/>
  <c r="H218" i="4"/>
  <c r="L218" i="4"/>
  <c r="M218" i="4"/>
  <c r="R218" i="4"/>
  <c r="Q218" i="4"/>
  <c r="D219" i="4"/>
  <c r="E219" i="4"/>
  <c r="F219" i="4"/>
  <c r="H219" i="4"/>
  <c r="J219" i="4"/>
  <c r="I219" i="4"/>
  <c r="P219" i="4"/>
  <c r="Q219" i="4"/>
  <c r="M220" i="4"/>
  <c r="R220" i="4"/>
  <c r="Q220" i="4"/>
  <c r="H220" i="4"/>
  <c r="T220" i="4"/>
  <c r="D220" i="4"/>
  <c r="E220" i="4"/>
  <c r="F220" i="4"/>
  <c r="H221" i="4"/>
  <c r="T221" i="4"/>
  <c r="D221" i="4"/>
  <c r="E221" i="4"/>
  <c r="F221" i="4"/>
  <c r="M221" i="4"/>
  <c r="Q221" i="4"/>
  <c r="R221" i="4"/>
  <c r="P222" i="4"/>
  <c r="D222" i="4"/>
  <c r="E222" i="4"/>
  <c r="F222" i="4"/>
  <c r="H222" i="4"/>
  <c r="Q222" i="4"/>
  <c r="J222" i="4"/>
  <c r="R222" i="4"/>
  <c r="Q223" i="4"/>
  <c r="R223" i="4"/>
  <c r="J223" i="4"/>
  <c r="D223" i="4"/>
  <c r="E223" i="4"/>
  <c r="F223" i="4"/>
  <c r="H223" i="4"/>
  <c r="M223" i="4"/>
  <c r="L224" i="4"/>
  <c r="R224" i="4"/>
  <c r="Q224" i="4"/>
  <c r="H224" i="4"/>
  <c r="P224" i="4"/>
  <c r="J224" i="4"/>
  <c r="H225" i="4"/>
  <c r="M225" i="4"/>
  <c r="Q225" i="4"/>
  <c r="K225" i="4"/>
  <c r="L225" i="4"/>
  <c r="R225" i="4"/>
  <c r="C225" i="4"/>
  <c r="G225" i="4"/>
  <c r="C226" i="4"/>
  <c r="G226" i="4"/>
  <c r="K226" i="4"/>
  <c r="R226" i="4"/>
  <c r="Q226" i="4"/>
  <c r="M226" i="4"/>
  <c r="P226" i="4"/>
  <c r="T226" i="4"/>
  <c r="D227" i="4"/>
  <c r="E227" i="4"/>
  <c r="F227" i="4"/>
  <c r="H227" i="4"/>
  <c r="M227" i="4"/>
  <c r="G227" i="4"/>
  <c r="K227" i="4"/>
  <c r="L227" i="4"/>
  <c r="Q227" i="4"/>
  <c r="C227" i="4"/>
  <c r="U227" i="4" s="1"/>
  <c r="I228" i="4"/>
  <c r="M228" i="4"/>
  <c r="T228" i="4"/>
  <c r="Q228" i="4"/>
  <c r="C228" i="4"/>
  <c r="G228" i="4"/>
  <c r="H228" i="4"/>
  <c r="K228" i="4"/>
  <c r="K229" i="4"/>
  <c r="Q229" i="4"/>
  <c r="P229" i="4"/>
  <c r="C229" i="4"/>
  <c r="G229" i="4"/>
  <c r="R229" i="4"/>
  <c r="J229" i="4"/>
  <c r="M229" i="4"/>
  <c r="P230" i="4"/>
  <c r="Q230" i="4"/>
  <c r="C230" i="4"/>
  <c r="G230" i="4"/>
  <c r="K230" i="4"/>
  <c r="D230" i="4"/>
  <c r="E230" i="4"/>
  <c r="F230" i="4"/>
  <c r="J230" i="4"/>
  <c r="H230" i="4"/>
  <c r="G231" i="4"/>
  <c r="K231" i="4"/>
  <c r="P231" i="4"/>
  <c r="Q231" i="4"/>
  <c r="C231" i="4"/>
  <c r="M231" i="4"/>
  <c r="D231" i="4"/>
  <c r="E231" i="4"/>
  <c r="F231" i="4"/>
  <c r="J231" i="4"/>
  <c r="D232" i="4"/>
  <c r="E232" i="4"/>
  <c r="F232" i="4"/>
  <c r="M232" i="4"/>
  <c r="T232" i="4"/>
  <c r="G232" i="4"/>
  <c r="K232" i="4"/>
  <c r="L232" i="4"/>
  <c r="Q232" i="4"/>
  <c r="C232" i="4"/>
  <c r="U232" i="4" s="1"/>
  <c r="P233" i="4"/>
  <c r="Q233" i="4"/>
  <c r="C233" i="4"/>
  <c r="G233" i="4"/>
  <c r="K233" i="4"/>
  <c r="E233" i="4"/>
  <c r="F233" i="4"/>
  <c r="H233" i="4"/>
  <c r="T233" i="4"/>
  <c r="D233" i="4"/>
  <c r="P234" i="4"/>
  <c r="Q234" i="4"/>
  <c r="C234" i="4"/>
  <c r="G234" i="4"/>
  <c r="K234" i="4"/>
  <c r="R234" i="4"/>
  <c r="T234" i="4"/>
  <c r="D234" i="4"/>
  <c r="E234" i="4"/>
  <c r="F234" i="4"/>
  <c r="D235" i="4"/>
  <c r="E235" i="4"/>
  <c r="F235" i="4"/>
  <c r="H235" i="4"/>
  <c r="J235" i="4"/>
  <c r="C235" i="4"/>
  <c r="G235" i="4"/>
  <c r="K235" i="4"/>
  <c r="M235" i="4"/>
  <c r="Q235" i="4"/>
  <c r="T236" i="4"/>
  <c r="H236" i="4"/>
  <c r="R236" i="4"/>
  <c r="K236" i="4"/>
  <c r="L236" i="4"/>
  <c r="Q236" i="4"/>
  <c r="C236" i="4"/>
  <c r="G236" i="4"/>
  <c r="H237" i="4"/>
  <c r="J237" i="4"/>
  <c r="R237" i="4"/>
  <c r="C237" i="4"/>
  <c r="G237" i="4"/>
  <c r="K237" i="4"/>
  <c r="L237" i="4"/>
  <c r="Q237" i="4"/>
  <c r="M238" i="4"/>
  <c r="R238" i="4"/>
  <c r="T238" i="4"/>
  <c r="Q238" i="4"/>
  <c r="C238" i="4"/>
  <c r="G238" i="4"/>
  <c r="K238" i="4"/>
  <c r="L238" i="4"/>
  <c r="G239" i="4"/>
  <c r="K239" i="4"/>
  <c r="Q239" i="4"/>
  <c r="P239" i="4"/>
  <c r="C239" i="4"/>
  <c r="R239" i="4"/>
  <c r="T239" i="4"/>
  <c r="H239" i="4"/>
  <c r="H240" i="4"/>
  <c r="R240" i="4"/>
  <c r="T240" i="4"/>
  <c r="C240" i="4"/>
  <c r="D240" i="4"/>
  <c r="E240" i="4"/>
  <c r="F240" i="4"/>
  <c r="G240" i="4"/>
  <c r="K240" i="4"/>
  <c r="Q240" i="4"/>
  <c r="E2" i="4"/>
  <c r="F2" i="4"/>
  <c r="H2" i="4"/>
  <c r="P2" i="4"/>
  <c r="D2" i="4"/>
  <c r="U2" i="4" s="1"/>
  <c r="U15" i="6"/>
  <c r="U16" i="6"/>
  <c r="U17" i="6"/>
  <c r="U18" i="6"/>
  <c r="U19" i="6"/>
  <c r="U20" i="6"/>
  <c r="U31" i="6"/>
  <c r="U21" i="6"/>
  <c r="U22" i="6"/>
  <c r="U23" i="6"/>
  <c r="U24" i="6"/>
  <c r="U25" i="6"/>
  <c r="U27" i="6"/>
  <c r="U28" i="6"/>
  <c r="U29" i="6"/>
  <c r="U30" i="6"/>
  <c r="U72" i="6"/>
  <c r="U32" i="6"/>
  <c r="U34" i="6"/>
  <c r="U35" i="6"/>
  <c r="U36" i="6"/>
  <c r="U38" i="6"/>
  <c r="U39" i="6"/>
  <c r="U40" i="6"/>
  <c r="U41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1" i="6"/>
  <c r="U66" i="6"/>
  <c r="U71" i="6"/>
  <c r="U73" i="6"/>
  <c r="U74" i="6"/>
  <c r="U75" i="6"/>
  <c r="U76" i="6"/>
  <c r="U77" i="6"/>
  <c r="U78" i="6"/>
  <c r="U79" i="6"/>
  <c r="U80" i="6"/>
  <c r="U81" i="6"/>
  <c r="U87" i="6"/>
  <c r="U88" i="6"/>
  <c r="U4" i="6"/>
  <c r="U6" i="6"/>
  <c r="U10" i="6"/>
  <c r="U11" i="6"/>
  <c r="U12" i="6"/>
  <c r="U13" i="6"/>
  <c r="U26" i="6"/>
  <c r="U45" i="6"/>
  <c r="U5" i="6"/>
  <c r="U69" i="6"/>
  <c r="U82" i="6" l="1"/>
  <c r="U83" i="6"/>
  <c r="U84" i="6"/>
  <c r="U85" i="6"/>
  <c r="U86" i="6"/>
  <c r="U89" i="6"/>
  <c r="U90" i="6"/>
  <c r="U91" i="6"/>
  <c r="U92" i="6"/>
  <c r="U93" i="6"/>
  <c r="U94" i="6"/>
  <c r="U95" i="6"/>
  <c r="U96" i="6"/>
  <c r="U97" i="6"/>
  <c r="U98" i="6"/>
  <c r="U99" i="6"/>
  <c r="U101" i="6"/>
  <c r="U108" i="6"/>
  <c r="U110" i="6"/>
  <c r="U137" i="6"/>
  <c r="U143" i="6"/>
  <c r="U144" i="6"/>
  <c r="U147" i="6"/>
  <c r="U155" i="6"/>
  <c r="U158" i="6"/>
  <c r="U160" i="6"/>
  <c r="U236" i="6"/>
  <c r="U14" i="4"/>
  <c r="U51" i="4"/>
  <c r="U55" i="4"/>
  <c r="U90" i="4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9" i="6"/>
  <c r="U148" i="6"/>
  <c r="U156" i="6"/>
  <c r="U13" i="4"/>
  <c r="U64" i="4"/>
  <c r="U76" i="4"/>
  <c r="U80" i="4"/>
  <c r="U87" i="4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2" i="6"/>
  <c r="U10" i="4"/>
  <c r="U11" i="4"/>
  <c r="U12" i="4"/>
  <c r="U48" i="4"/>
  <c r="U49" i="4"/>
  <c r="U56" i="4"/>
  <c r="U67" i="4"/>
  <c r="U68" i="4"/>
  <c r="U70" i="4"/>
  <c r="U72" i="4"/>
  <c r="U73" i="4"/>
  <c r="U78" i="4"/>
  <c r="U84" i="4"/>
  <c r="U99" i="4"/>
  <c r="U108" i="4"/>
  <c r="U238" i="6"/>
  <c r="U239" i="6"/>
  <c r="U240" i="6"/>
  <c r="U2" i="6"/>
  <c r="U3" i="4"/>
  <c r="U15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54" i="4"/>
  <c r="U85" i="4"/>
  <c r="U111" i="4"/>
  <c r="U112" i="4"/>
  <c r="U113" i="4"/>
  <c r="U114" i="4"/>
  <c r="U115" i="4"/>
  <c r="U117" i="4"/>
  <c r="U118" i="4"/>
  <c r="U119" i="4"/>
  <c r="U121" i="4"/>
  <c r="U122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9" i="4"/>
  <c r="U163" i="4"/>
  <c r="U164" i="4"/>
  <c r="U171" i="4"/>
  <c r="U174" i="4"/>
  <c r="U177" i="4"/>
  <c r="U181" i="4"/>
  <c r="U182" i="4"/>
  <c r="U183" i="4"/>
  <c r="U184" i="4"/>
  <c r="U187" i="4"/>
  <c r="U188" i="4"/>
  <c r="U189" i="4"/>
  <c r="U190" i="4"/>
  <c r="U191" i="4"/>
  <c r="U192" i="4"/>
  <c r="U193" i="4"/>
  <c r="U195" i="4"/>
  <c r="U197" i="4"/>
  <c r="U198" i="4"/>
  <c r="U199" i="4"/>
  <c r="U200" i="4"/>
  <c r="U92" i="4"/>
  <c r="U93" i="4"/>
  <c r="U97" i="4"/>
  <c r="U102" i="4"/>
  <c r="U105" i="4"/>
  <c r="U110" i="4"/>
  <c r="U124" i="4"/>
  <c r="U125" i="4"/>
  <c r="U128" i="4"/>
  <c r="U129" i="4"/>
  <c r="U130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60" i="4"/>
  <c r="U165" i="4"/>
  <c r="U170" i="4"/>
  <c r="U172" i="4"/>
  <c r="U175" i="4"/>
  <c r="U176" i="4"/>
  <c r="U178" i="4"/>
  <c r="U180" i="4"/>
  <c r="U194" i="4"/>
  <c r="U196" i="4"/>
  <c r="U201" i="4"/>
  <c r="U202" i="4"/>
  <c r="U203" i="4"/>
  <c r="U204" i="4"/>
  <c r="U205" i="4"/>
  <c r="U206" i="4"/>
  <c r="U207" i="4"/>
  <c r="U208" i="4"/>
  <c r="U209" i="4"/>
  <c r="U210" i="4"/>
  <c r="U104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134" i="6"/>
  <c r="U140" i="6"/>
  <c r="U151" i="6"/>
  <c r="U231" i="6"/>
  <c r="U233" i="6"/>
  <c r="U4" i="4"/>
  <c r="U7" i="4"/>
  <c r="U9" i="4"/>
  <c r="U52" i="4"/>
  <c r="U89" i="4"/>
  <c r="U91" i="4"/>
  <c r="U96" i="4"/>
  <c r="U225" i="4"/>
  <c r="U226" i="4"/>
  <c r="U228" i="4"/>
  <c r="U229" i="4"/>
  <c r="U230" i="4"/>
  <c r="U231" i="4"/>
  <c r="U233" i="4"/>
  <c r="U234" i="4"/>
  <c r="U235" i="4"/>
  <c r="U154" i="6"/>
  <c r="U157" i="6"/>
  <c r="U159" i="6"/>
  <c r="U230" i="6"/>
  <c r="U234" i="6"/>
  <c r="U62" i="4"/>
  <c r="U65" i="4"/>
  <c r="U79" i="4"/>
  <c r="U83" i="4"/>
  <c r="U86" i="4"/>
  <c r="U236" i="4"/>
  <c r="U237" i="4"/>
  <c r="U238" i="4"/>
  <c r="U239" i="4"/>
  <c r="U240" i="4"/>
  <c r="U103" i="6"/>
  <c r="U109" i="6"/>
  <c r="U138" i="6"/>
  <c r="U142" i="6"/>
  <c r="U145" i="6"/>
  <c r="U161" i="6"/>
  <c r="U59" i="4"/>
  <c r="U63" i="4"/>
  <c r="U66" i="4"/>
  <c r="U106" i="4"/>
</calcChain>
</file>

<file path=xl/sharedStrings.xml><?xml version="1.0" encoding="utf-8"?>
<sst xmlns="http://schemas.openxmlformats.org/spreadsheetml/2006/main" count="144" uniqueCount="52">
  <si>
    <t>ICB supersector</t>
  </si>
  <si>
    <t>Secteur EU</t>
  </si>
  <si>
    <t>Part EU</t>
  </si>
  <si>
    <t>Secteur US</t>
  </si>
  <si>
    <t>Part US</t>
  </si>
  <si>
    <t>Automobiles &amp; Parts</t>
  </si>
  <si>
    <t>Auto</t>
  </si>
  <si>
    <t>Banks</t>
  </si>
  <si>
    <t>Fin</t>
  </si>
  <si>
    <t>Basic Resources</t>
  </si>
  <si>
    <t>Materials</t>
  </si>
  <si>
    <t>Chemicals</t>
  </si>
  <si>
    <t>Construction &amp; Materials</t>
  </si>
  <si>
    <t>Indus</t>
  </si>
  <si>
    <t>Financial Services</t>
  </si>
  <si>
    <t>Food &amp; Beverage</t>
  </si>
  <si>
    <t>ConsStaples</t>
  </si>
  <si>
    <t>Health Care</t>
  </si>
  <si>
    <t>HealthCare</t>
  </si>
  <si>
    <t>Industrial Goods &amp; Services</t>
  </si>
  <si>
    <t>Insurance</t>
  </si>
  <si>
    <t>Media</t>
  </si>
  <si>
    <t>Energy</t>
  </si>
  <si>
    <t>Oil</t>
  </si>
  <si>
    <t>Personal &amp; Household Goods</t>
  </si>
  <si>
    <t>Pers. Goods</t>
  </si>
  <si>
    <t>Real Estate</t>
  </si>
  <si>
    <t>Retail</t>
  </si>
  <si>
    <t>Technology</t>
  </si>
  <si>
    <t>Tech</t>
  </si>
  <si>
    <t>Telecommunications</t>
  </si>
  <si>
    <t>Telco</t>
  </si>
  <si>
    <t>Travel &amp; Leisure</t>
  </si>
  <si>
    <t>Travel &amp; leisure</t>
  </si>
  <si>
    <t>Utilities</t>
  </si>
  <si>
    <t>Utili</t>
  </si>
  <si>
    <t>Déviation par recommandation</t>
  </si>
  <si>
    <t>Lecture</t>
  </si>
  <si>
    <t>Positive : surpondération</t>
  </si>
  <si>
    <t>Negative : sous-pondération</t>
  </si>
  <si>
    <t>Neutral : aucune déviation</t>
  </si>
  <si>
    <t>Secteur sans mapping : 0 %</t>
  </si>
  <si>
    <t>Date : premier jour du mois suivant</t>
  </si>
  <si>
    <t>La somme de chaque ligne doit valoir 0 %</t>
  </si>
  <si>
    <t>Date signal</t>
  </si>
  <si>
    <t>Date allocation</t>
  </si>
  <si>
    <t>Nb Positive</t>
  </si>
  <si>
    <t>Nb Negative</t>
  </si>
  <si>
    <t>Unité Positive</t>
  </si>
  <si>
    <t>Unité Negative</t>
  </si>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</sst>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theme="1"/>
      <name val="Calibri"/>
      <family val="2"/>
      <charset val="134"/>
      <scheme val="minor"/>
    </font>
    <font>
      <b/>
      <sz val="11"/>
      <color rgb="FF162C4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9E8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1" fillId="3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8CBA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8CBAD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89DB-2FA1-47BD-8575-BBED68F127C2}">
  <dimension ref="A1:U240"/>
  <sheetViews>
    <sheetView tabSelected="1" topLeftCell="A218" workbookViewId="0">
      <selection activeCell="A240" sqref="A240"/>
    </sheetView>
  </sheetViews>
  <sheetFormatPr defaultRowHeight="14.5"/>
  <cols>
    <col min="1" max="1" width="16.6328125" customWidth="1"/>
    <col min="2" max="20" width="17.6328125" customWidth="1"/>
    <col min="21" max="21" width="12.6328125" customWidth="1"/>
  </cols>
  <sheetData>
    <row r="1" spans="1:21" ht="64" customHeight="1">
      <c r="A1" s="4" t="s">
        <v>50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12</v>
      </c>
      <c r="G1" s="4" t="s">
        <v>14</v>
      </c>
      <c r="H1" s="4" t="s">
        <v>15</v>
      </c>
      <c r="I1" s="4" t="s">
        <v>17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24</v>
      </c>
      <c r="O1" s="4" t="s">
        <v>26</v>
      </c>
      <c r="P1" s="4" t="s">
        <v>27</v>
      </c>
      <c r="Q1" s="4" t="s">
        <v>28</v>
      </c>
      <c r="R1" s="4" t="s">
        <v>30</v>
      </c>
      <c r="S1" s="4" t="s">
        <v>32</v>
      </c>
      <c r="T1" s="4" t="s">
        <v>34</v>
      </c>
      <c r="U1" s="4" t="s">
        <v>51</v>
      </c>
    </row>
    <row r="2" spans="1:21">
      <c r="A2" s="5">
        <f>Signals_US!B2</f>
        <v>39052</v>
      </c>
      <c r="B2" s="1">
        <f>0</f>
        <v>0</v>
      </c>
      <c r="C2" s="1">
        <f>IF(Signals_US!F2=1,Signals_US!Q2*Mapping!$E$3,IF(Signals_US!F2=-1,-Signals_US!R2*Mapping!$E$3,0))</f>
        <v>0</v>
      </c>
      <c r="D2" s="1">
        <f>IF(Signals_US!C2=1,Signals_US!Q2*Mapping!$E$4,IF(Signals_US!C2=-1,-Signals_US!R2*Mapping!$E$4,0))</f>
        <v>0</v>
      </c>
      <c r="E2" s="1">
        <f>IF(Signals_US!C2=1,Signals_US!Q2*Mapping!$E$5,IF(Signals_US!C2=-1,-Signals_US!R2*Mapping!$E$5,0))</f>
        <v>0</v>
      </c>
      <c r="F2" s="1">
        <f>IF(Signals_US!C2=1,Signals_US!Q2*Mapping!$E$6,IF(Signals_US!C2=-1,-Signals_US!R2*Mapping!$E$6,0))</f>
        <v>0</v>
      </c>
      <c r="G2" s="1">
        <f>IF(Signals_US!F2=1,Signals_US!Q2*Mapping!$E$7,IF(Signals_US!F2=-1,-Signals_US!R2*Mapping!$E$7,0))</f>
        <v>0</v>
      </c>
      <c r="H2" s="1">
        <f>IF(Signals_US!D2=1,Signals_US!Q2*Mapping!$E$8,IF(Signals_US!D2=-1,-Signals_US!R2*Mapping!$E$8,0))</f>
        <v>0</v>
      </c>
      <c r="I2" s="1">
        <f>IF(Signals_US!G2=1,Signals_US!Q2*Mapping!$E$9,IF(Signals_US!G2=-1,-Signals_US!R2*Mapping!$E$9,0))</f>
        <v>0</v>
      </c>
      <c r="J2" s="1">
        <f>IF(Signals_US!H2=1,Signals_US!Q2*Mapping!$E$10,IF(Signals_US!H2=-1,-Signals_US!R2*Mapping!$E$10,0))</f>
        <v>0</v>
      </c>
      <c r="K2" s="1">
        <f>IF(Signals_US!F2=1,Signals_US!Q2*Mapping!$E$11,IF(Signals_US!F2=-1,-Signals_US!R2*Mapping!$E$11,0))</f>
        <v>0</v>
      </c>
      <c r="L2" s="1">
        <f>IF(Signals_US!N2=1,Signals_US!Q2*Mapping!$E$12,IF(Signals_US!N2=-1,-Signals_US!R2*Mapping!$E$12,0))</f>
        <v>0</v>
      </c>
      <c r="M2" s="1">
        <f>IF(Signals_US!I2=1,Signals_US!Q2*Mapping!$E$13,IF(Signals_US!I2=-1,-Signals_US!R2*Mapping!$E$13,0))</f>
        <v>0</v>
      </c>
      <c r="N2" s="1">
        <f>0</f>
        <v>0</v>
      </c>
      <c r="O2" s="1">
        <f>0</f>
        <v>0</v>
      </c>
      <c r="P2" s="1">
        <f>IF(Signals_US!E2=1,Signals_US!Q2*Mapping!$E$16,IF(Signals_US!E2=-1,-Signals_US!R2*Mapping!$E$16,0))</f>
        <v>0</v>
      </c>
      <c r="Q2" s="1">
        <f>IF(Signals_US!J2=1,Signals_US!Q2*Mapping!$E$17,IF(Signals_US!J2=-1,-Signals_US!R2*Mapping!$E$17,0))</f>
        <v>0</v>
      </c>
      <c r="R2" s="1">
        <f>IF(Signals_US!K2=1,Signals_US!Q2*Mapping!$E$18,IF(Signals_US!K2=-1,-Signals_US!R2*Mapping!$E$18,0))</f>
        <v>0</v>
      </c>
      <c r="S2" s="1">
        <f>IF(Signals_US!M2=1,Signals_US!Q2*Mapping!$E$19,IF(Signals_US!M2=-1,-Signals_US!R2*Mapping!$E$19,0))</f>
        <v>0</v>
      </c>
      <c r="T2" s="1">
        <f>IF(Signals_US!L2=1,Signals_US!Q2*Mapping!$E$20,IF(Signals_US!L2=-1,-Signals_US!R2*Mapping!$E$20,0))</f>
        <v>0</v>
      </c>
      <c r="U2" s="1">
        <f>ROUND(SUM(B2:T2),12)</f>
        <v>0</v>
      </c>
    </row>
    <row r="3" spans="1:21">
      <c r="A3" s="5">
        <f>Signals_US!B3</f>
        <v>39083</v>
      </c>
      <c r="B3" s="1">
        <f>0</f>
        <v>0</v>
      </c>
      <c r="C3" s="1">
        <f>IF(Signals_US!F3=1,Signals_US!Q3*Mapping!$E$3,IF(Signals_US!F3=-1,-Signals_US!R3*Mapping!$E$3,0))</f>
        <v>0</v>
      </c>
      <c r="D3" s="1">
        <f>IF(Signals_US!C3=1,Signals_US!Q3*Mapping!$E$4,IF(Signals_US!C3=-1,-Signals_US!R3*Mapping!$E$4,0))</f>
        <v>0</v>
      </c>
      <c r="E3" s="1">
        <f>IF(Signals_US!C3=1,Signals_US!Q3*Mapping!$E$5,IF(Signals_US!C3=-1,-Signals_US!R3*Mapping!$E$5,0))</f>
        <v>0</v>
      </c>
      <c r="F3" s="1">
        <f>IF(Signals_US!C3=1,Signals_US!Q3*Mapping!$E$6,IF(Signals_US!C3=-1,-Signals_US!R3*Mapping!$E$6,0))</f>
        <v>0</v>
      </c>
      <c r="G3" s="1">
        <f>IF(Signals_US!F3=1,Signals_US!Q3*Mapping!$E$7,IF(Signals_US!F3=-1,-Signals_US!R3*Mapping!$E$7,0))</f>
        <v>0</v>
      </c>
      <c r="H3" s="1">
        <f>IF(Signals_US!D3=1,Signals_US!Q3*Mapping!$E$8,IF(Signals_US!D3=-1,-Signals_US!R3*Mapping!$E$8,0))</f>
        <v>0</v>
      </c>
      <c r="I3" s="1">
        <f>IF(Signals_US!G3=1,Signals_US!Q3*Mapping!$E$9,IF(Signals_US!G3=-1,-Signals_US!R3*Mapping!$E$9,0))</f>
        <v>0</v>
      </c>
      <c r="J3" s="1">
        <f>IF(Signals_US!H3=1,Signals_US!Q3*Mapping!$E$10,IF(Signals_US!H3=-1,-Signals_US!R3*Mapping!$E$10,0))</f>
        <v>0</v>
      </c>
      <c r="K3" s="1">
        <f>IF(Signals_US!F3=1,Signals_US!Q3*Mapping!$E$11,IF(Signals_US!F3=-1,-Signals_US!R3*Mapping!$E$11,0))</f>
        <v>0</v>
      </c>
      <c r="L3" s="1">
        <f>IF(Signals_US!N3=1,Signals_US!Q3*Mapping!$E$12,IF(Signals_US!N3=-1,-Signals_US!R3*Mapping!$E$12,0))</f>
        <v>0</v>
      </c>
      <c r="M3" s="1">
        <f>IF(Signals_US!I3=1,Signals_US!Q3*Mapping!$E$13,IF(Signals_US!I3=-1,-Signals_US!R3*Mapping!$E$13,0))</f>
        <v>0</v>
      </c>
      <c r="N3" s="1">
        <f>0</f>
        <v>0</v>
      </c>
      <c r="O3" s="1">
        <f>0</f>
        <v>0</v>
      </c>
      <c r="P3" s="1">
        <f>IF(Signals_US!E3=1,Signals_US!Q3*Mapping!$E$16,IF(Signals_US!E3=-1,-Signals_US!R3*Mapping!$E$16,0))</f>
        <v>0</v>
      </c>
      <c r="Q3" s="1">
        <f>IF(Signals_US!J3=1,Signals_US!Q3*Mapping!$E$17,IF(Signals_US!J3=-1,-Signals_US!R3*Mapping!$E$17,0))</f>
        <v>0</v>
      </c>
      <c r="R3" s="1">
        <f>IF(Signals_US!K3=1,Signals_US!Q3*Mapping!$E$18,IF(Signals_US!K3=-1,-Signals_US!R3*Mapping!$E$18,0))</f>
        <v>0</v>
      </c>
      <c r="S3" s="1">
        <f>IF(Signals_US!M3=1,Signals_US!Q3*Mapping!$E$19,IF(Signals_US!M3=-1,-Signals_US!R3*Mapping!$E$19,0))</f>
        <v>0</v>
      </c>
      <c r="T3" s="1">
        <f>IF(Signals_US!L3=1,Signals_US!Q3*Mapping!$E$20,IF(Signals_US!L3=-1,-Signals_US!R3*Mapping!$E$20,0))</f>
        <v>0</v>
      </c>
      <c r="U3" s="1">
        <f t="shared" ref="U3:U66" si="0">ROUND(SUM(B3:T3),12)</f>
        <v>0</v>
      </c>
    </row>
    <row r="4" spans="1:21">
      <c r="A4" s="5">
        <f>Signals_US!B4</f>
        <v>39114</v>
      </c>
      <c r="B4" s="1">
        <f>0</f>
        <v>0</v>
      </c>
      <c r="C4" s="1">
        <f>IF(Signals_US!F4=1,Signals_US!Q4*Mapping!$E$3,IF(Signals_US!F4=-1,-Signals_US!R4*Mapping!$E$3,0))</f>
        <v>0</v>
      </c>
      <c r="D4" s="1">
        <f>IF(Signals_US!C4=1,Signals_US!Q4*Mapping!$E$4,IF(Signals_US!C4=-1,-Signals_US!R4*Mapping!$E$4,0))</f>
        <v>0</v>
      </c>
      <c r="E4" s="1">
        <f>IF(Signals_US!C4=1,Signals_US!Q4*Mapping!$E$5,IF(Signals_US!C4=-1,-Signals_US!R4*Mapping!$E$5,0))</f>
        <v>0</v>
      </c>
      <c r="F4" s="1">
        <f>IF(Signals_US!C4=1,Signals_US!Q4*Mapping!$E$6,IF(Signals_US!C4=-1,-Signals_US!R4*Mapping!$E$6,0))</f>
        <v>0</v>
      </c>
      <c r="G4" s="1">
        <f>IF(Signals_US!F4=1,Signals_US!Q4*Mapping!$E$7,IF(Signals_US!F4=-1,-Signals_US!R4*Mapping!$E$7,0))</f>
        <v>0</v>
      </c>
      <c r="H4" s="1">
        <f>IF(Signals_US!D4=1,Signals_US!Q4*Mapping!$E$8,IF(Signals_US!D4=-1,-Signals_US!R4*Mapping!$E$8,0))</f>
        <v>0</v>
      </c>
      <c r="I4" s="1">
        <f>IF(Signals_US!G4=1,Signals_US!Q4*Mapping!$E$9,IF(Signals_US!G4=-1,-Signals_US!R4*Mapping!$E$9,0))</f>
        <v>0</v>
      </c>
      <c r="J4" s="1">
        <f>IF(Signals_US!H4=1,Signals_US!Q4*Mapping!$E$10,IF(Signals_US!H4=-1,-Signals_US!R4*Mapping!$E$10,0))</f>
        <v>0</v>
      </c>
      <c r="K4" s="1">
        <f>IF(Signals_US!F4=1,Signals_US!Q4*Mapping!$E$11,IF(Signals_US!F4=-1,-Signals_US!R4*Mapping!$E$11,0))</f>
        <v>0</v>
      </c>
      <c r="L4" s="1">
        <f>IF(Signals_US!N4=1,Signals_US!Q4*Mapping!$E$12,IF(Signals_US!N4=-1,-Signals_US!R4*Mapping!$E$12,0))</f>
        <v>0</v>
      </c>
      <c r="M4" s="1">
        <f>IF(Signals_US!I4=1,Signals_US!Q4*Mapping!$E$13,IF(Signals_US!I4=-1,-Signals_US!R4*Mapping!$E$13,0))</f>
        <v>0</v>
      </c>
      <c r="N4" s="1">
        <f>0</f>
        <v>0</v>
      </c>
      <c r="O4" s="1">
        <f>0</f>
        <v>0</v>
      </c>
      <c r="P4" s="1">
        <f>IF(Signals_US!E4=1,Signals_US!Q4*Mapping!$E$16,IF(Signals_US!E4=-1,-Signals_US!R4*Mapping!$E$16,0))</f>
        <v>0</v>
      </c>
      <c r="Q4" s="1">
        <f>IF(Signals_US!J4=1,Signals_US!Q4*Mapping!$E$17,IF(Signals_US!J4=-1,-Signals_US!R4*Mapping!$E$17,0))</f>
        <v>0</v>
      </c>
      <c r="R4" s="1">
        <f>IF(Signals_US!K4=1,Signals_US!Q4*Mapping!$E$18,IF(Signals_US!K4=-1,-Signals_US!R4*Mapping!$E$18,0))</f>
        <v>0</v>
      </c>
      <c r="S4" s="1">
        <f>IF(Signals_US!M4=1,Signals_US!Q4*Mapping!$E$19,IF(Signals_US!M4=-1,-Signals_US!R4*Mapping!$E$19,0))</f>
        <v>0</v>
      </c>
      <c r="T4" s="1">
        <f>IF(Signals_US!L4=1,Signals_US!Q4*Mapping!$E$20,IF(Signals_US!L4=-1,-Signals_US!R4*Mapping!$E$20,0))</f>
        <v>0</v>
      </c>
      <c r="U4" s="1">
        <f t="shared" si="0"/>
        <v>0</v>
      </c>
    </row>
    <row r="5" spans="1:21">
      <c r="A5" s="5">
        <f>Signals_US!B5</f>
        <v>39142</v>
      </c>
      <c r="B5" s="1">
        <f>0</f>
        <v>0</v>
      </c>
      <c r="C5" s="1">
        <f>IF(Signals_US!F5=1,Signals_US!Q5*Mapping!$E$3,IF(Signals_US!F5=-1,-Signals_US!R5*Mapping!$E$3,0))</f>
        <v>0</v>
      </c>
      <c r="D5" s="1">
        <f>IF(Signals_US!C5=1,Signals_US!Q5*Mapping!$E$4,IF(Signals_US!C5=-1,-Signals_US!R5*Mapping!$E$4,0))</f>
        <v>0</v>
      </c>
      <c r="E5" s="1">
        <f>IF(Signals_US!C5=1,Signals_US!Q5*Mapping!$E$5,IF(Signals_US!C5=-1,-Signals_US!R5*Mapping!$E$5,0))</f>
        <v>0</v>
      </c>
      <c r="F5" s="1">
        <f>IF(Signals_US!C5=1,Signals_US!Q5*Mapping!$E$6,IF(Signals_US!C5=-1,-Signals_US!R5*Mapping!$E$6,0))</f>
        <v>0</v>
      </c>
      <c r="G5" s="1">
        <f>IF(Signals_US!F5=1,Signals_US!Q5*Mapping!$E$7,IF(Signals_US!F5=-1,-Signals_US!R5*Mapping!$E$7,0))</f>
        <v>0</v>
      </c>
      <c r="H5" s="1">
        <f>IF(Signals_US!D5=1,Signals_US!Q5*Mapping!$E$8,IF(Signals_US!D5=-1,-Signals_US!R5*Mapping!$E$8,0))</f>
        <v>0</v>
      </c>
      <c r="I5" s="1">
        <f>IF(Signals_US!G5=1,Signals_US!Q5*Mapping!$E$9,IF(Signals_US!G5=-1,-Signals_US!R5*Mapping!$E$9,0))</f>
        <v>0</v>
      </c>
      <c r="J5" s="1">
        <f>IF(Signals_US!H5=1,Signals_US!Q5*Mapping!$E$10,IF(Signals_US!H5=-1,-Signals_US!R5*Mapping!$E$10,0))</f>
        <v>0</v>
      </c>
      <c r="K5" s="1">
        <f>IF(Signals_US!F5=1,Signals_US!Q5*Mapping!$E$11,IF(Signals_US!F5=-1,-Signals_US!R5*Mapping!$E$11,0))</f>
        <v>0</v>
      </c>
      <c r="L5" s="1">
        <f>IF(Signals_US!N5=1,Signals_US!Q5*Mapping!$E$12,IF(Signals_US!N5=-1,-Signals_US!R5*Mapping!$E$12,0))</f>
        <v>0</v>
      </c>
      <c r="M5" s="1">
        <f>IF(Signals_US!I5=1,Signals_US!Q5*Mapping!$E$13,IF(Signals_US!I5=-1,-Signals_US!R5*Mapping!$E$13,0))</f>
        <v>0</v>
      </c>
      <c r="N5" s="1">
        <f>0</f>
        <v>0</v>
      </c>
      <c r="O5" s="1">
        <f>0</f>
        <v>0</v>
      </c>
      <c r="P5" s="1">
        <f>IF(Signals_US!E5=1,Signals_US!Q5*Mapping!$E$16,IF(Signals_US!E5=-1,-Signals_US!R5*Mapping!$E$16,0))</f>
        <v>0</v>
      </c>
      <c r="Q5" s="1">
        <f>IF(Signals_US!J5=1,Signals_US!Q5*Mapping!$E$17,IF(Signals_US!J5=-1,-Signals_US!R5*Mapping!$E$17,0))</f>
        <v>0</v>
      </c>
      <c r="R5" s="1">
        <f>IF(Signals_US!K5=1,Signals_US!Q5*Mapping!$E$18,IF(Signals_US!K5=-1,-Signals_US!R5*Mapping!$E$18,0))</f>
        <v>0</v>
      </c>
      <c r="S5" s="1">
        <f>IF(Signals_US!M5=1,Signals_US!Q5*Mapping!$E$19,IF(Signals_US!M5=-1,-Signals_US!R5*Mapping!$E$19,0))</f>
        <v>0</v>
      </c>
      <c r="T5" s="1">
        <f>IF(Signals_US!L5=1,Signals_US!Q5*Mapping!$E$20,IF(Signals_US!L5=-1,-Signals_US!R5*Mapping!$E$20,0))</f>
        <v>0</v>
      </c>
      <c r="U5" s="1">
        <f t="shared" si="0"/>
        <v>0</v>
      </c>
    </row>
    <row r="6" spans="1:21">
      <c r="A6" s="5">
        <f>Signals_US!B6</f>
        <v>39173</v>
      </c>
      <c r="B6" s="1">
        <f>0</f>
        <v>0</v>
      </c>
      <c r="C6" s="1">
        <f>IF(Signals_US!F6=1,Signals_US!Q6*Mapping!$E$3,IF(Signals_US!F6=-1,-Signals_US!R6*Mapping!$E$3,0))</f>
        <v>0</v>
      </c>
      <c r="D6" s="1">
        <f>IF(Signals_US!C6=1,Signals_US!Q6*Mapping!$E$4,IF(Signals_US!C6=-1,-Signals_US!R6*Mapping!$E$4,0))</f>
        <v>0</v>
      </c>
      <c r="E6" s="1">
        <f>IF(Signals_US!C6=1,Signals_US!Q6*Mapping!$E$5,IF(Signals_US!C6=-1,-Signals_US!R6*Mapping!$E$5,0))</f>
        <v>0</v>
      </c>
      <c r="F6" s="1">
        <f>IF(Signals_US!C6=1,Signals_US!Q6*Mapping!$E$6,IF(Signals_US!C6=-1,-Signals_US!R6*Mapping!$E$6,0))</f>
        <v>0</v>
      </c>
      <c r="G6" s="1">
        <f>IF(Signals_US!F6=1,Signals_US!Q6*Mapping!$E$7,IF(Signals_US!F6=-1,-Signals_US!R6*Mapping!$E$7,0))</f>
        <v>0</v>
      </c>
      <c r="H6" s="1">
        <f>IF(Signals_US!D6=1,Signals_US!Q6*Mapping!$E$8,IF(Signals_US!D6=-1,-Signals_US!R6*Mapping!$E$8,0))</f>
        <v>0</v>
      </c>
      <c r="I6" s="1">
        <f>IF(Signals_US!G6=1,Signals_US!Q6*Mapping!$E$9,IF(Signals_US!G6=-1,-Signals_US!R6*Mapping!$E$9,0))</f>
        <v>0</v>
      </c>
      <c r="J6" s="1">
        <f>IF(Signals_US!H6=1,Signals_US!Q6*Mapping!$E$10,IF(Signals_US!H6=-1,-Signals_US!R6*Mapping!$E$10,0))</f>
        <v>0</v>
      </c>
      <c r="K6" s="1">
        <f>IF(Signals_US!F6=1,Signals_US!Q6*Mapping!$E$11,IF(Signals_US!F6=-1,-Signals_US!R6*Mapping!$E$11,0))</f>
        <v>0</v>
      </c>
      <c r="L6" s="1">
        <f>IF(Signals_US!N6=1,Signals_US!Q6*Mapping!$E$12,IF(Signals_US!N6=-1,-Signals_US!R6*Mapping!$E$12,0))</f>
        <v>0</v>
      </c>
      <c r="M6" s="1">
        <f>IF(Signals_US!I6=1,Signals_US!Q6*Mapping!$E$13,IF(Signals_US!I6=-1,-Signals_US!R6*Mapping!$E$13,0))</f>
        <v>0</v>
      </c>
      <c r="N6" s="1">
        <f>0</f>
        <v>0</v>
      </c>
      <c r="O6" s="1">
        <f>0</f>
        <v>0</v>
      </c>
      <c r="P6" s="1">
        <f>IF(Signals_US!E6=1,Signals_US!Q6*Mapping!$E$16,IF(Signals_US!E6=-1,-Signals_US!R6*Mapping!$E$16,0))</f>
        <v>0</v>
      </c>
      <c r="Q6" s="1">
        <f>IF(Signals_US!J6=1,Signals_US!Q6*Mapping!$E$17,IF(Signals_US!J6=-1,-Signals_US!R6*Mapping!$E$17,0))</f>
        <v>0</v>
      </c>
      <c r="R6" s="1">
        <f>IF(Signals_US!K6=1,Signals_US!Q6*Mapping!$E$18,IF(Signals_US!K6=-1,-Signals_US!R6*Mapping!$E$18,0))</f>
        <v>0</v>
      </c>
      <c r="S6" s="1">
        <f>IF(Signals_US!M6=1,Signals_US!Q6*Mapping!$E$19,IF(Signals_US!M6=-1,-Signals_US!R6*Mapping!$E$19,0))</f>
        <v>0</v>
      </c>
      <c r="T6" s="1">
        <f>IF(Signals_US!L6=1,Signals_US!Q6*Mapping!$E$20,IF(Signals_US!L6=-1,-Signals_US!R6*Mapping!$E$20,0))</f>
        <v>0</v>
      </c>
      <c r="U6" s="1">
        <f t="shared" si="0"/>
        <v>0</v>
      </c>
    </row>
    <row r="7" spans="1:21">
      <c r="A7" s="5">
        <f>Signals_US!B7</f>
        <v>39203</v>
      </c>
      <c r="B7" s="1">
        <f>0</f>
        <v>0</v>
      </c>
      <c r="C7" s="1">
        <f>IF(Signals_US!F7=1,Signals_US!Q7*Mapping!$E$3,IF(Signals_US!F7=-1,-Signals_US!R7*Mapping!$E$3,0))</f>
        <v>0</v>
      </c>
      <c r="D7" s="1">
        <f>IF(Signals_US!C7=1,Signals_US!Q7*Mapping!$E$4,IF(Signals_US!C7=-1,-Signals_US!R7*Mapping!$E$4,0))</f>
        <v>0</v>
      </c>
      <c r="E7" s="1">
        <f>IF(Signals_US!C7=1,Signals_US!Q7*Mapping!$E$5,IF(Signals_US!C7=-1,-Signals_US!R7*Mapping!$E$5,0))</f>
        <v>0</v>
      </c>
      <c r="F7" s="1">
        <f>IF(Signals_US!C7=1,Signals_US!Q7*Mapping!$E$6,IF(Signals_US!C7=-1,-Signals_US!R7*Mapping!$E$6,0))</f>
        <v>0</v>
      </c>
      <c r="G7" s="1">
        <f>IF(Signals_US!F7=1,Signals_US!Q7*Mapping!$E$7,IF(Signals_US!F7=-1,-Signals_US!R7*Mapping!$E$7,0))</f>
        <v>0</v>
      </c>
      <c r="H7" s="1">
        <f>IF(Signals_US!D7=1,Signals_US!Q7*Mapping!$E$8,IF(Signals_US!D7=-1,-Signals_US!R7*Mapping!$E$8,0))</f>
        <v>0</v>
      </c>
      <c r="I7" s="1">
        <f>IF(Signals_US!G7=1,Signals_US!Q7*Mapping!$E$9,IF(Signals_US!G7=-1,-Signals_US!R7*Mapping!$E$9,0))</f>
        <v>0</v>
      </c>
      <c r="J7" s="1">
        <f>IF(Signals_US!H7=1,Signals_US!Q7*Mapping!$E$10,IF(Signals_US!H7=-1,-Signals_US!R7*Mapping!$E$10,0))</f>
        <v>0</v>
      </c>
      <c r="K7" s="1">
        <f>IF(Signals_US!F7=1,Signals_US!Q7*Mapping!$E$11,IF(Signals_US!F7=-1,-Signals_US!R7*Mapping!$E$11,0))</f>
        <v>0</v>
      </c>
      <c r="L7" s="1">
        <f>IF(Signals_US!N7=1,Signals_US!Q7*Mapping!$E$12,IF(Signals_US!N7=-1,-Signals_US!R7*Mapping!$E$12,0))</f>
        <v>0</v>
      </c>
      <c r="M7" s="1">
        <f>IF(Signals_US!I7=1,Signals_US!Q7*Mapping!$E$13,IF(Signals_US!I7=-1,-Signals_US!R7*Mapping!$E$13,0))</f>
        <v>0</v>
      </c>
      <c r="N7" s="1">
        <f>0</f>
        <v>0</v>
      </c>
      <c r="O7" s="1">
        <f>0</f>
        <v>0</v>
      </c>
      <c r="P7" s="1">
        <f>IF(Signals_US!E7=1,Signals_US!Q7*Mapping!$E$16,IF(Signals_US!E7=-1,-Signals_US!R7*Mapping!$E$16,0))</f>
        <v>0</v>
      </c>
      <c r="Q7" s="1">
        <f>IF(Signals_US!J7=1,Signals_US!Q7*Mapping!$E$17,IF(Signals_US!J7=-1,-Signals_US!R7*Mapping!$E$17,0))</f>
        <v>0</v>
      </c>
      <c r="R7" s="1">
        <f>IF(Signals_US!K7=1,Signals_US!Q7*Mapping!$E$18,IF(Signals_US!K7=-1,-Signals_US!R7*Mapping!$E$18,0))</f>
        <v>0</v>
      </c>
      <c r="S7" s="1">
        <f>IF(Signals_US!M7=1,Signals_US!Q7*Mapping!$E$19,IF(Signals_US!M7=-1,-Signals_US!R7*Mapping!$E$19,0))</f>
        <v>0</v>
      </c>
      <c r="T7" s="1">
        <f>IF(Signals_US!L7=1,Signals_US!Q7*Mapping!$E$20,IF(Signals_US!L7=-1,-Signals_US!R7*Mapping!$E$20,0))</f>
        <v>0</v>
      </c>
      <c r="U7" s="1">
        <f t="shared" si="0"/>
        <v>0</v>
      </c>
    </row>
    <row r="8" spans="1:21">
      <c r="A8" s="5">
        <f>Signals_US!B8</f>
        <v>39234</v>
      </c>
      <c r="B8" s="1">
        <f>0</f>
        <v>0</v>
      </c>
      <c r="C8" s="1">
        <f>IF(Signals_US!F8=1,Signals_US!Q8*Mapping!$E$3,IF(Signals_US!F8=-1,-Signals_US!R8*Mapping!$E$3,0))</f>
        <v>0</v>
      </c>
      <c r="D8" s="1">
        <f>IF(Signals_US!C8=1,Signals_US!Q8*Mapping!$E$4,IF(Signals_US!C8=-1,-Signals_US!R8*Mapping!$E$4,0))</f>
        <v>0</v>
      </c>
      <c r="E8" s="1">
        <f>IF(Signals_US!C8=1,Signals_US!Q8*Mapping!$E$5,IF(Signals_US!C8=-1,-Signals_US!R8*Mapping!$E$5,0))</f>
        <v>0</v>
      </c>
      <c r="F8" s="1">
        <f>IF(Signals_US!C8=1,Signals_US!Q8*Mapping!$E$6,IF(Signals_US!C8=-1,-Signals_US!R8*Mapping!$E$6,0))</f>
        <v>0</v>
      </c>
      <c r="G8" s="1">
        <f>IF(Signals_US!F8=1,Signals_US!Q8*Mapping!$E$7,IF(Signals_US!F8=-1,-Signals_US!R8*Mapping!$E$7,0))</f>
        <v>0</v>
      </c>
      <c r="H8" s="1">
        <f>IF(Signals_US!D8=1,Signals_US!Q8*Mapping!$E$8,IF(Signals_US!D8=-1,-Signals_US!R8*Mapping!$E$8,0))</f>
        <v>0</v>
      </c>
      <c r="I8" s="1">
        <f>IF(Signals_US!G8=1,Signals_US!Q8*Mapping!$E$9,IF(Signals_US!G8=-1,-Signals_US!R8*Mapping!$E$9,0))</f>
        <v>0</v>
      </c>
      <c r="J8" s="1">
        <f>IF(Signals_US!H8=1,Signals_US!Q8*Mapping!$E$10,IF(Signals_US!H8=-1,-Signals_US!R8*Mapping!$E$10,0))</f>
        <v>0</v>
      </c>
      <c r="K8" s="1">
        <f>IF(Signals_US!F8=1,Signals_US!Q8*Mapping!$E$11,IF(Signals_US!F8=-1,-Signals_US!R8*Mapping!$E$11,0))</f>
        <v>0</v>
      </c>
      <c r="L8" s="1">
        <f>IF(Signals_US!N8=1,Signals_US!Q8*Mapping!$E$12,IF(Signals_US!N8=-1,-Signals_US!R8*Mapping!$E$12,0))</f>
        <v>0</v>
      </c>
      <c r="M8" s="1">
        <f>IF(Signals_US!I8=1,Signals_US!Q8*Mapping!$E$13,IF(Signals_US!I8=-1,-Signals_US!R8*Mapping!$E$13,0))</f>
        <v>0</v>
      </c>
      <c r="N8" s="1">
        <f>0</f>
        <v>0</v>
      </c>
      <c r="O8" s="1">
        <f>0</f>
        <v>0</v>
      </c>
      <c r="P8" s="1">
        <f>IF(Signals_US!E8=1,Signals_US!Q8*Mapping!$E$16,IF(Signals_US!E8=-1,-Signals_US!R8*Mapping!$E$16,0))</f>
        <v>0</v>
      </c>
      <c r="Q8" s="1">
        <f>IF(Signals_US!J8=1,Signals_US!Q8*Mapping!$E$17,IF(Signals_US!J8=-1,-Signals_US!R8*Mapping!$E$17,0))</f>
        <v>0</v>
      </c>
      <c r="R8" s="1">
        <f>IF(Signals_US!K8=1,Signals_US!Q8*Mapping!$E$18,IF(Signals_US!K8=-1,-Signals_US!R8*Mapping!$E$18,0))</f>
        <v>0</v>
      </c>
      <c r="S8" s="1">
        <f>IF(Signals_US!M8=1,Signals_US!Q8*Mapping!$E$19,IF(Signals_US!M8=-1,-Signals_US!R8*Mapping!$E$19,0))</f>
        <v>0</v>
      </c>
      <c r="T8" s="1">
        <f>IF(Signals_US!L8=1,Signals_US!Q8*Mapping!$E$20,IF(Signals_US!L8=-1,-Signals_US!R8*Mapping!$E$20,0))</f>
        <v>0</v>
      </c>
      <c r="U8" s="1">
        <f t="shared" si="0"/>
        <v>0</v>
      </c>
    </row>
    <row r="9" spans="1:21">
      <c r="A9" s="5">
        <f>Signals_US!B9</f>
        <v>39264</v>
      </c>
      <c r="B9" s="1">
        <f>0</f>
        <v>0</v>
      </c>
      <c r="C9" s="1">
        <f>IF(Signals_US!F9=1,Signals_US!Q9*Mapping!$E$3,IF(Signals_US!F9=-1,-Signals_US!R9*Mapping!$E$3,0))</f>
        <v>0</v>
      </c>
      <c r="D9" s="1">
        <f>IF(Signals_US!C9=1,Signals_US!Q9*Mapping!$E$4,IF(Signals_US!C9=-1,-Signals_US!R9*Mapping!$E$4,0))</f>
        <v>0</v>
      </c>
      <c r="E9" s="1">
        <f>IF(Signals_US!C9=1,Signals_US!Q9*Mapping!$E$5,IF(Signals_US!C9=-1,-Signals_US!R9*Mapping!$E$5,0))</f>
        <v>0</v>
      </c>
      <c r="F9" s="1">
        <f>IF(Signals_US!C9=1,Signals_US!Q9*Mapping!$E$6,IF(Signals_US!C9=-1,-Signals_US!R9*Mapping!$E$6,0))</f>
        <v>0</v>
      </c>
      <c r="G9" s="1">
        <f>IF(Signals_US!F9=1,Signals_US!Q9*Mapping!$E$7,IF(Signals_US!F9=-1,-Signals_US!R9*Mapping!$E$7,0))</f>
        <v>0</v>
      </c>
      <c r="H9" s="1">
        <f>IF(Signals_US!D9=1,Signals_US!Q9*Mapping!$E$8,IF(Signals_US!D9=-1,-Signals_US!R9*Mapping!$E$8,0))</f>
        <v>0</v>
      </c>
      <c r="I9" s="1">
        <f>IF(Signals_US!G9=1,Signals_US!Q9*Mapping!$E$9,IF(Signals_US!G9=-1,-Signals_US!R9*Mapping!$E$9,0))</f>
        <v>0</v>
      </c>
      <c r="J9" s="1">
        <f>IF(Signals_US!H9=1,Signals_US!Q9*Mapping!$E$10,IF(Signals_US!H9=-1,-Signals_US!R9*Mapping!$E$10,0))</f>
        <v>0</v>
      </c>
      <c r="K9" s="1">
        <f>IF(Signals_US!F9=1,Signals_US!Q9*Mapping!$E$11,IF(Signals_US!F9=-1,-Signals_US!R9*Mapping!$E$11,0))</f>
        <v>0</v>
      </c>
      <c r="L9" s="1">
        <f>IF(Signals_US!N9=1,Signals_US!Q9*Mapping!$E$12,IF(Signals_US!N9=-1,-Signals_US!R9*Mapping!$E$12,0))</f>
        <v>0</v>
      </c>
      <c r="M9" s="1">
        <f>IF(Signals_US!I9=1,Signals_US!Q9*Mapping!$E$13,IF(Signals_US!I9=-1,-Signals_US!R9*Mapping!$E$13,0))</f>
        <v>0</v>
      </c>
      <c r="N9" s="1">
        <f>0</f>
        <v>0</v>
      </c>
      <c r="O9" s="1">
        <f>0</f>
        <v>0</v>
      </c>
      <c r="P9" s="1">
        <f>IF(Signals_US!E9=1,Signals_US!Q9*Mapping!$E$16,IF(Signals_US!E9=-1,-Signals_US!R9*Mapping!$E$16,0))</f>
        <v>0</v>
      </c>
      <c r="Q9" s="1">
        <f>IF(Signals_US!J9=1,Signals_US!Q9*Mapping!$E$17,IF(Signals_US!J9=-1,-Signals_US!R9*Mapping!$E$17,0))</f>
        <v>0</v>
      </c>
      <c r="R9" s="1">
        <f>IF(Signals_US!K9=1,Signals_US!Q9*Mapping!$E$18,IF(Signals_US!K9=-1,-Signals_US!R9*Mapping!$E$18,0))</f>
        <v>0</v>
      </c>
      <c r="S9" s="1">
        <f>IF(Signals_US!M9=1,Signals_US!Q9*Mapping!$E$19,IF(Signals_US!M9=-1,-Signals_US!R9*Mapping!$E$19,0))</f>
        <v>0</v>
      </c>
      <c r="T9" s="1">
        <f>IF(Signals_US!L9=1,Signals_US!Q9*Mapping!$E$20,IF(Signals_US!L9=-1,-Signals_US!R9*Mapping!$E$20,0))</f>
        <v>0</v>
      </c>
      <c r="U9" s="1">
        <f t="shared" si="0"/>
        <v>0</v>
      </c>
    </row>
    <row r="10" spans="1:21">
      <c r="A10" s="5">
        <f>Signals_US!B10</f>
        <v>39295</v>
      </c>
      <c r="B10" s="1">
        <f>0</f>
        <v>0</v>
      </c>
      <c r="C10" s="1">
        <f>IF(Signals_US!F10=1,Signals_US!Q10*Mapping!$E$3,IF(Signals_US!F10=-1,-Signals_US!R10*Mapping!$E$3,0))</f>
        <v>0</v>
      </c>
      <c r="D10" s="1">
        <f>IF(Signals_US!C10=1,Signals_US!Q10*Mapping!$E$4,IF(Signals_US!C10=-1,-Signals_US!R10*Mapping!$E$4,0))</f>
        <v>0</v>
      </c>
      <c r="E10" s="1">
        <f>IF(Signals_US!C10=1,Signals_US!Q10*Mapping!$E$5,IF(Signals_US!C10=-1,-Signals_US!R10*Mapping!$E$5,0))</f>
        <v>0</v>
      </c>
      <c r="F10" s="1">
        <f>IF(Signals_US!C10=1,Signals_US!Q10*Mapping!$E$6,IF(Signals_US!C10=-1,-Signals_US!R10*Mapping!$E$6,0))</f>
        <v>0</v>
      </c>
      <c r="G10" s="1">
        <f>IF(Signals_US!F10=1,Signals_US!Q10*Mapping!$E$7,IF(Signals_US!F10=-1,-Signals_US!R10*Mapping!$E$7,0))</f>
        <v>0</v>
      </c>
      <c r="H10" s="1">
        <f>IF(Signals_US!D10=1,Signals_US!Q10*Mapping!$E$8,IF(Signals_US!D10=-1,-Signals_US!R10*Mapping!$E$8,0))</f>
        <v>0</v>
      </c>
      <c r="I10" s="1">
        <f>IF(Signals_US!G10=1,Signals_US!Q10*Mapping!$E$9,IF(Signals_US!G10=-1,-Signals_US!R10*Mapping!$E$9,0))</f>
        <v>0</v>
      </c>
      <c r="J10" s="1">
        <f>IF(Signals_US!H10=1,Signals_US!Q10*Mapping!$E$10,IF(Signals_US!H10=-1,-Signals_US!R10*Mapping!$E$10,0))</f>
        <v>0</v>
      </c>
      <c r="K10" s="1">
        <f>IF(Signals_US!F10=1,Signals_US!Q10*Mapping!$E$11,IF(Signals_US!F10=-1,-Signals_US!R10*Mapping!$E$11,0))</f>
        <v>0</v>
      </c>
      <c r="L10" s="1">
        <f>IF(Signals_US!N10=1,Signals_US!Q10*Mapping!$E$12,IF(Signals_US!N10=-1,-Signals_US!R10*Mapping!$E$12,0))</f>
        <v>0</v>
      </c>
      <c r="M10" s="1">
        <f>IF(Signals_US!I10=1,Signals_US!Q10*Mapping!$E$13,IF(Signals_US!I10=-1,-Signals_US!R10*Mapping!$E$13,0))</f>
        <v>0</v>
      </c>
      <c r="N10" s="1">
        <f>0</f>
        <v>0</v>
      </c>
      <c r="O10" s="1">
        <f>0</f>
        <v>0</v>
      </c>
      <c r="P10" s="1">
        <f>IF(Signals_US!E10=1,Signals_US!Q10*Mapping!$E$16,IF(Signals_US!E10=-1,-Signals_US!R10*Mapping!$E$16,0))</f>
        <v>0</v>
      </c>
      <c r="Q10" s="1">
        <f>IF(Signals_US!J10=1,Signals_US!Q10*Mapping!$E$17,IF(Signals_US!J10=-1,-Signals_US!R10*Mapping!$E$17,0))</f>
        <v>0</v>
      </c>
      <c r="R10" s="1">
        <f>IF(Signals_US!K10=1,Signals_US!Q10*Mapping!$E$18,IF(Signals_US!K10=-1,-Signals_US!R10*Mapping!$E$18,0))</f>
        <v>0</v>
      </c>
      <c r="S10" s="1">
        <f>IF(Signals_US!M10=1,Signals_US!Q10*Mapping!$E$19,IF(Signals_US!M10=-1,-Signals_US!R10*Mapping!$E$19,0))</f>
        <v>0</v>
      </c>
      <c r="T10" s="1">
        <f>IF(Signals_US!L10=1,Signals_US!Q10*Mapping!$E$20,IF(Signals_US!L10=-1,-Signals_US!R10*Mapping!$E$20,0))</f>
        <v>0</v>
      </c>
      <c r="U10" s="1">
        <f t="shared" si="0"/>
        <v>0</v>
      </c>
    </row>
    <row r="11" spans="1:21">
      <c r="A11" s="5">
        <f>Signals_US!B11</f>
        <v>39326</v>
      </c>
      <c r="B11" s="1">
        <f>0</f>
        <v>0</v>
      </c>
      <c r="C11" s="1">
        <f>IF(Signals_US!F11=1,Signals_US!Q11*Mapping!$E$3,IF(Signals_US!F11=-1,-Signals_US!R11*Mapping!$E$3,0))</f>
        <v>0</v>
      </c>
      <c r="D11" s="1">
        <f>IF(Signals_US!C11=1,Signals_US!Q11*Mapping!$E$4,IF(Signals_US!C11=-1,-Signals_US!R11*Mapping!$E$4,0))</f>
        <v>0</v>
      </c>
      <c r="E11" s="1">
        <f>IF(Signals_US!C11=1,Signals_US!Q11*Mapping!$E$5,IF(Signals_US!C11=-1,-Signals_US!R11*Mapping!$E$5,0))</f>
        <v>0</v>
      </c>
      <c r="F11" s="1">
        <f>IF(Signals_US!C11=1,Signals_US!Q11*Mapping!$E$6,IF(Signals_US!C11=-1,-Signals_US!R11*Mapping!$E$6,0))</f>
        <v>0</v>
      </c>
      <c r="G11" s="1">
        <f>IF(Signals_US!F11=1,Signals_US!Q11*Mapping!$E$7,IF(Signals_US!F11=-1,-Signals_US!R11*Mapping!$E$7,0))</f>
        <v>0</v>
      </c>
      <c r="H11" s="1">
        <f>IF(Signals_US!D11=1,Signals_US!Q11*Mapping!$E$8,IF(Signals_US!D11=-1,-Signals_US!R11*Mapping!$E$8,0))</f>
        <v>0</v>
      </c>
      <c r="I11" s="1">
        <f>IF(Signals_US!G11=1,Signals_US!Q11*Mapping!$E$9,IF(Signals_US!G11=-1,-Signals_US!R11*Mapping!$E$9,0))</f>
        <v>0</v>
      </c>
      <c r="J11" s="1">
        <f>IF(Signals_US!H11=1,Signals_US!Q11*Mapping!$E$10,IF(Signals_US!H11=-1,-Signals_US!R11*Mapping!$E$10,0))</f>
        <v>0</v>
      </c>
      <c r="K11" s="1">
        <f>IF(Signals_US!F11=1,Signals_US!Q11*Mapping!$E$11,IF(Signals_US!F11=-1,-Signals_US!R11*Mapping!$E$11,0))</f>
        <v>0</v>
      </c>
      <c r="L11" s="1">
        <f>IF(Signals_US!N11=1,Signals_US!Q11*Mapping!$E$12,IF(Signals_US!N11=-1,-Signals_US!R11*Mapping!$E$12,0))</f>
        <v>0</v>
      </c>
      <c r="M11" s="1">
        <f>IF(Signals_US!I11=1,Signals_US!Q11*Mapping!$E$13,IF(Signals_US!I11=-1,-Signals_US!R11*Mapping!$E$13,0))</f>
        <v>0</v>
      </c>
      <c r="N11" s="1">
        <f>0</f>
        <v>0</v>
      </c>
      <c r="O11" s="1">
        <f>0</f>
        <v>0</v>
      </c>
      <c r="P11" s="1">
        <f>IF(Signals_US!E11=1,Signals_US!Q11*Mapping!$E$16,IF(Signals_US!E11=-1,-Signals_US!R11*Mapping!$E$16,0))</f>
        <v>0</v>
      </c>
      <c r="Q11" s="1">
        <f>IF(Signals_US!J11=1,Signals_US!Q11*Mapping!$E$17,IF(Signals_US!J11=-1,-Signals_US!R11*Mapping!$E$17,0))</f>
        <v>0</v>
      </c>
      <c r="R11" s="1">
        <f>IF(Signals_US!K11=1,Signals_US!Q11*Mapping!$E$18,IF(Signals_US!K11=-1,-Signals_US!R11*Mapping!$E$18,0))</f>
        <v>0</v>
      </c>
      <c r="S11" s="1">
        <f>IF(Signals_US!M11=1,Signals_US!Q11*Mapping!$E$19,IF(Signals_US!M11=-1,-Signals_US!R11*Mapping!$E$19,0))</f>
        <v>0</v>
      </c>
      <c r="T11" s="1">
        <f>IF(Signals_US!L11=1,Signals_US!Q11*Mapping!$E$20,IF(Signals_US!L11=-1,-Signals_US!R11*Mapping!$E$20,0))</f>
        <v>0</v>
      </c>
      <c r="U11" s="1">
        <f t="shared" si="0"/>
        <v>0</v>
      </c>
    </row>
    <row r="12" spans="1:21">
      <c r="A12" s="5">
        <f>Signals_US!B12</f>
        <v>39356</v>
      </c>
      <c r="B12" s="1">
        <f>0</f>
        <v>0</v>
      </c>
      <c r="C12" s="1">
        <f>IF(Signals_US!F12=1,Signals_US!Q12*Mapping!$E$3,IF(Signals_US!F12=-1,-Signals_US!R12*Mapping!$E$3,0))</f>
        <v>0</v>
      </c>
      <c r="D12" s="1">
        <f>IF(Signals_US!C12=1,Signals_US!Q12*Mapping!$E$4,IF(Signals_US!C12=-1,-Signals_US!R12*Mapping!$E$4,0))</f>
        <v>0</v>
      </c>
      <c r="E12" s="1">
        <f>IF(Signals_US!C12=1,Signals_US!Q12*Mapping!$E$5,IF(Signals_US!C12=-1,-Signals_US!R12*Mapping!$E$5,0))</f>
        <v>0</v>
      </c>
      <c r="F12" s="1">
        <f>IF(Signals_US!C12=1,Signals_US!Q12*Mapping!$E$6,IF(Signals_US!C12=-1,-Signals_US!R12*Mapping!$E$6,0))</f>
        <v>0</v>
      </c>
      <c r="G12" s="1">
        <f>IF(Signals_US!F12=1,Signals_US!Q12*Mapping!$E$7,IF(Signals_US!F12=-1,-Signals_US!R12*Mapping!$E$7,0))</f>
        <v>0</v>
      </c>
      <c r="H12" s="1">
        <f>IF(Signals_US!D12=1,Signals_US!Q12*Mapping!$E$8,IF(Signals_US!D12=-1,-Signals_US!R12*Mapping!$E$8,0))</f>
        <v>0</v>
      </c>
      <c r="I12" s="1">
        <f>IF(Signals_US!G12=1,Signals_US!Q12*Mapping!$E$9,IF(Signals_US!G12=-1,-Signals_US!R12*Mapping!$E$9,0))</f>
        <v>0</v>
      </c>
      <c r="J12" s="1">
        <f>IF(Signals_US!H12=1,Signals_US!Q12*Mapping!$E$10,IF(Signals_US!H12=-1,-Signals_US!R12*Mapping!$E$10,0))</f>
        <v>0</v>
      </c>
      <c r="K12" s="1">
        <f>IF(Signals_US!F12=1,Signals_US!Q12*Mapping!$E$11,IF(Signals_US!F12=-1,-Signals_US!R12*Mapping!$E$11,0))</f>
        <v>0</v>
      </c>
      <c r="L12" s="1">
        <f>IF(Signals_US!N12=1,Signals_US!Q12*Mapping!$E$12,IF(Signals_US!N12=-1,-Signals_US!R12*Mapping!$E$12,0))</f>
        <v>0</v>
      </c>
      <c r="M12" s="1">
        <f>IF(Signals_US!I12=1,Signals_US!Q12*Mapping!$E$13,IF(Signals_US!I12=-1,-Signals_US!R12*Mapping!$E$13,0))</f>
        <v>0</v>
      </c>
      <c r="N12" s="1">
        <f>0</f>
        <v>0</v>
      </c>
      <c r="O12" s="1">
        <f>0</f>
        <v>0</v>
      </c>
      <c r="P12" s="1">
        <f>IF(Signals_US!E12=1,Signals_US!Q12*Mapping!$E$16,IF(Signals_US!E12=-1,-Signals_US!R12*Mapping!$E$16,0))</f>
        <v>0</v>
      </c>
      <c r="Q12" s="1">
        <f>IF(Signals_US!J12=1,Signals_US!Q12*Mapping!$E$17,IF(Signals_US!J12=-1,-Signals_US!R12*Mapping!$E$17,0))</f>
        <v>0</v>
      </c>
      <c r="R12" s="1">
        <f>IF(Signals_US!K12=1,Signals_US!Q12*Mapping!$E$18,IF(Signals_US!K12=-1,-Signals_US!R12*Mapping!$E$18,0))</f>
        <v>0</v>
      </c>
      <c r="S12" s="1">
        <f>IF(Signals_US!M12=1,Signals_US!Q12*Mapping!$E$19,IF(Signals_US!M12=-1,-Signals_US!R12*Mapping!$E$19,0))</f>
        <v>0</v>
      </c>
      <c r="T12" s="1">
        <f>IF(Signals_US!L12=1,Signals_US!Q12*Mapping!$E$20,IF(Signals_US!L12=-1,-Signals_US!R12*Mapping!$E$20,0))</f>
        <v>0</v>
      </c>
      <c r="U12" s="1">
        <f t="shared" si="0"/>
        <v>0</v>
      </c>
    </row>
    <row r="13" spans="1:21">
      <c r="A13" s="5">
        <f>Signals_US!B13</f>
        <v>39387</v>
      </c>
      <c r="B13" s="1">
        <f>0</f>
        <v>0</v>
      </c>
      <c r="C13" s="1">
        <f>IF(Signals_US!F13=1,Signals_US!Q13*Mapping!$E$3,IF(Signals_US!F13=-1,-Signals_US!R13*Mapping!$E$3,0))</f>
        <v>-1.666666666666667E-2</v>
      </c>
      <c r="D13" s="1">
        <f>IF(Signals_US!C13=1,Signals_US!Q13*Mapping!$E$4,IF(Signals_US!C13=-1,-Signals_US!R13*Mapping!$E$4,0))</f>
        <v>1.666666666666667E-2</v>
      </c>
      <c r="E13" s="1">
        <f>IF(Signals_US!C13=1,Signals_US!Q13*Mapping!$E$5,IF(Signals_US!C13=-1,-Signals_US!R13*Mapping!$E$5,0))</f>
        <v>1.666666666666667E-2</v>
      </c>
      <c r="F13" s="1">
        <f>IF(Signals_US!C13=1,Signals_US!Q13*Mapping!$E$6,IF(Signals_US!C13=-1,-Signals_US!R13*Mapping!$E$6,0))</f>
        <v>1.666666666666667E-2</v>
      </c>
      <c r="G13" s="1">
        <f>IF(Signals_US!F13=1,Signals_US!Q13*Mapping!$E$7,IF(Signals_US!F13=-1,-Signals_US!R13*Mapping!$E$7,0))</f>
        <v>-1.666666666666667E-2</v>
      </c>
      <c r="H13" s="1">
        <f>IF(Signals_US!D13=1,Signals_US!Q13*Mapping!$E$8,IF(Signals_US!D13=-1,-Signals_US!R13*Mapping!$E$8,0))</f>
        <v>0</v>
      </c>
      <c r="I13" s="1">
        <f>IF(Signals_US!G13=1,Signals_US!Q13*Mapping!$E$9,IF(Signals_US!G13=-1,-Signals_US!R13*Mapping!$E$9,0))</f>
        <v>0</v>
      </c>
      <c r="J13" s="1">
        <f>IF(Signals_US!H13=1,Signals_US!Q13*Mapping!$E$10,IF(Signals_US!H13=-1,-Signals_US!R13*Mapping!$E$10,0))</f>
        <v>0</v>
      </c>
      <c r="K13" s="1">
        <f>IF(Signals_US!F13=1,Signals_US!Q13*Mapping!$E$11,IF(Signals_US!F13=-1,-Signals_US!R13*Mapping!$E$11,0))</f>
        <v>-1.666666666666667E-2</v>
      </c>
      <c r="L13" s="1">
        <f>IF(Signals_US!N13=1,Signals_US!Q13*Mapping!$E$12,IF(Signals_US!N13=-1,-Signals_US!R13*Mapping!$E$12,0))</f>
        <v>-5.000000000000001E-2</v>
      </c>
      <c r="M13" s="1">
        <f>IF(Signals_US!I13=1,Signals_US!Q13*Mapping!$E$13,IF(Signals_US!I13=-1,-Signals_US!R13*Mapping!$E$13,0))</f>
        <v>5.000000000000001E-2</v>
      </c>
      <c r="N13" s="1">
        <f>0</f>
        <v>0</v>
      </c>
      <c r="O13" s="1">
        <f>0</f>
        <v>0</v>
      </c>
      <c r="P13" s="1">
        <f>IF(Signals_US!E13=1,Signals_US!Q13*Mapping!$E$16,IF(Signals_US!E13=-1,-Signals_US!R13*Mapping!$E$16,0))</f>
        <v>-5.000000000000001E-2</v>
      </c>
      <c r="Q13" s="1">
        <f>IF(Signals_US!J13=1,Signals_US!Q13*Mapping!$E$17,IF(Signals_US!J13=-1,-Signals_US!R13*Mapping!$E$17,0))</f>
        <v>5.000000000000001E-2</v>
      </c>
      <c r="R13" s="1">
        <f>IF(Signals_US!K13=1,Signals_US!Q13*Mapping!$E$18,IF(Signals_US!K13=-1,-Signals_US!R13*Mapping!$E$18,0))</f>
        <v>0</v>
      </c>
      <c r="S13" s="1">
        <f>IF(Signals_US!M13=1,Signals_US!Q13*Mapping!$E$19,IF(Signals_US!M13=-1,-Signals_US!R13*Mapping!$E$19,0))</f>
        <v>0</v>
      </c>
      <c r="T13" s="1">
        <f>IF(Signals_US!L13=1,Signals_US!Q13*Mapping!$E$20,IF(Signals_US!L13=-1,-Signals_US!R13*Mapping!$E$20,0))</f>
        <v>0</v>
      </c>
      <c r="U13" s="1">
        <f t="shared" si="0"/>
        <v>0</v>
      </c>
    </row>
    <row r="14" spans="1:21">
      <c r="A14" s="5">
        <f>Signals_US!B14</f>
        <v>39417</v>
      </c>
      <c r="B14" s="1">
        <f>0</f>
        <v>0</v>
      </c>
      <c r="C14" s="1">
        <f>IF(Signals_US!F14=1,Signals_US!Q14*Mapping!$E$3,IF(Signals_US!F14=-1,-Signals_US!R14*Mapping!$E$3,0))</f>
        <v>-1.666666666666667E-2</v>
      </c>
      <c r="D14" s="1">
        <f>IF(Signals_US!C14=1,Signals_US!Q14*Mapping!$E$4,IF(Signals_US!C14=-1,-Signals_US!R14*Mapping!$E$4,0))</f>
        <v>1.666666666666667E-2</v>
      </c>
      <c r="E14" s="1">
        <f>IF(Signals_US!C14=1,Signals_US!Q14*Mapping!$E$5,IF(Signals_US!C14=-1,-Signals_US!R14*Mapping!$E$5,0))</f>
        <v>1.666666666666667E-2</v>
      </c>
      <c r="F14" s="1">
        <f>IF(Signals_US!C14=1,Signals_US!Q14*Mapping!$E$6,IF(Signals_US!C14=-1,-Signals_US!R14*Mapping!$E$6,0))</f>
        <v>1.666666666666667E-2</v>
      </c>
      <c r="G14" s="1">
        <f>IF(Signals_US!F14=1,Signals_US!Q14*Mapping!$E$7,IF(Signals_US!F14=-1,-Signals_US!R14*Mapping!$E$7,0))</f>
        <v>-1.666666666666667E-2</v>
      </c>
      <c r="H14" s="1">
        <f>IF(Signals_US!D14=1,Signals_US!Q14*Mapping!$E$8,IF(Signals_US!D14=-1,-Signals_US!R14*Mapping!$E$8,0))</f>
        <v>0</v>
      </c>
      <c r="I14" s="1">
        <f>IF(Signals_US!G14=1,Signals_US!Q14*Mapping!$E$9,IF(Signals_US!G14=-1,-Signals_US!R14*Mapping!$E$9,0))</f>
        <v>0</v>
      </c>
      <c r="J14" s="1">
        <f>IF(Signals_US!H14=1,Signals_US!Q14*Mapping!$E$10,IF(Signals_US!H14=-1,-Signals_US!R14*Mapping!$E$10,0))</f>
        <v>0</v>
      </c>
      <c r="K14" s="1">
        <f>IF(Signals_US!F14=1,Signals_US!Q14*Mapping!$E$11,IF(Signals_US!F14=-1,-Signals_US!R14*Mapping!$E$11,0))</f>
        <v>-1.666666666666667E-2</v>
      </c>
      <c r="L14" s="1">
        <f>IF(Signals_US!N14=1,Signals_US!Q14*Mapping!$E$12,IF(Signals_US!N14=-1,-Signals_US!R14*Mapping!$E$12,0))</f>
        <v>-5.000000000000001E-2</v>
      </c>
      <c r="M14" s="1">
        <f>IF(Signals_US!I14=1,Signals_US!Q14*Mapping!$E$13,IF(Signals_US!I14=-1,-Signals_US!R14*Mapping!$E$13,0))</f>
        <v>5.000000000000001E-2</v>
      </c>
      <c r="N14" s="1">
        <f>0</f>
        <v>0</v>
      </c>
      <c r="O14" s="1">
        <f>0</f>
        <v>0</v>
      </c>
      <c r="P14" s="1">
        <f>IF(Signals_US!E14=1,Signals_US!Q14*Mapping!$E$16,IF(Signals_US!E14=-1,-Signals_US!R14*Mapping!$E$16,0))</f>
        <v>-5.000000000000001E-2</v>
      </c>
      <c r="Q14" s="1">
        <f>IF(Signals_US!J14=1,Signals_US!Q14*Mapping!$E$17,IF(Signals_US!J14=-1,-Signals_US!R14*Mapping!$E$17,0))</f>
        <v>5.000000000000001E-2</v>
      </c>
      <c r="R14" s="1">
        <f>IF(Signals_US!K14=1,Signals_US!Q14*Mapping!$E$18,IF(Signals_US!K14=-1,-Signals_US!R14*Mapping!$E$18,0))</f>
        <v>0</v>
      </c>
      <c r="S14" s="1">
        <f>IF(Signals_US!M14=1,Signals_US!Q14*Mapping!$E$19,IF(Signals_US!M14=-1,-Signals_US!R14*Mapping!$E$19,0))</f>
        <v>0</v>
      </c>
      <c r="T14" s="1">
        <f>IF(Signals_US!L14=1,Signals_US!Q14*Mapping!$E$20,IF(Signals_US!L14=-1,-Signals_US!R14*Mapping!$E$20,0))</f>
        <v>0</v>
      </c>
      <c r="U14" s="1">
        <f t="shared" si="0"/>
        <v>0</v>
      </c>
    </row>
    <row r="15" spans="1:21">
      <c r="A15" s="5">
        <f>Signals_US!B15</f>
        <v>39448</v>
      </c>
      <c r="B15" s="1">
        <f>0</f>
        <v>0</v>
      </c>
      <c r="C15" s="1">
        <f>IF(Signals_US!F15=1,Signals_US!Q15*Mapping!$E$3,IF(Signals_US!F15=-1,-Signals_US!R15*Mapping!$E$3,0))</f>
        <v>-1.666666666666667E-2</v>
      </c>
      <c r="D15" s="1">
        <f>IF(Signals_US!C15=1,Signals_US!Q15*Mapping!$E$4,IF(Signals_US!C15=-1,-Signals_US!R15*Mapping!$E$4,0))</f>
        <v>1.666666666666667E-2</v>
      </c>
      <c r="E15" s="1">
        <f>IF(Signals_US!C15=1,Signals_US!Q15*Mapping!$E$5,IF(Signals_US!C15=-1,-Signals_US!R15*Mapping!$E$5,0))</f>
        <v>1.666666666666667E-2</v>
      </c>
      <c r="F15" s="1">
        <f>IF(Signals_US!C15=1,Signals_US!Q15*Mapping!$E$6,IF(Signals_US!C15=-1,-Signals_US!R15*Mapping!$E$6,0))</f>
        <v>1.666666666666667E-2</v>
      </c>
      <c r="G15" s="1">
        <f>IF(Signals_US!F15=1,Signals_US!Q15*Mapping!$E$7,IF(Signals_US!F15=-1,-Signals_US!R15*Mapping!$E$7,0))</f>
        <v>-1.666666666666667E-2</v>
      </c>
      <c r="H15" s="1">
        <f>IF(Signals_US!D15=1,Signals_US!Q15*Mapping!$E$8,IF(Signals_US!D15=-1,-Signals_US!R15*Mapping!$E$8,0))</f>
        <v>0</v>
      </c>
      <c r="I15" s="1">
        <f>IF(Signals_US!G15=1,Signals_US!Q15*Mapping!$E$9,IF(Signals_US!G15=-1,-Signals_US!R15*Mapping!$E$9,0))</f>
        <v>0</v>
      </c>
      <c r="J15" s="1">
        <f>IF(Signals_US!H15=1,Signals_US!Q15*Mapping!$E$10,IF(Signals_US!H15=-1,-Signals_US!R15*Mapping!$E$10,0))</f>
        <v>0</v>
      </c>
      <c r="K15" s="1">
        <f>IF(Signals_US!F15=1,Signals_US!Q15*Mapping!$E$11,IF(Signals_US!F15=-1,-Signals_US!R15*Mapping!$E$11,0))</f>
        <v>-1.666666666666667E-2</v>
      </c>
      <c r="L15" s="1">
        <f>IF(Signals_US!N15=1,Signals_US!Q15*Mapping!$E$12,IF(Signals_US!N15=-1,-Signals_US!R15*Mapping!$E$12,0))</f>
        <v>-5.000000000000001E-2</v>
      </c>
      <c r="M15" s="1">
        <f>IF(Signals_US!I15=1,Signals_US!Q15*Mapping!$E$13,IF(Signals_US!I15=-1,-Signals_US!R15*Mapping!$E$13,0))</f>
        <v>5.000000000000001E-2</v>
      </c>
      <c r="N15" s="1">
        <f>0</f>
        <v>0</v>
      </c>
      <c r="O15" s="1">
        <f>0</f>
        <v>0</v>
      </c>
      <c r="P15" s="1">
        <f>IF(Signals_US!E15=1,Signals_US!Q15*Mapping!$E$16,IF(Signals_US!E15=-1,-Signals_US!R15*Mapping!$E$16,0))</f>
        <v>-5.000000000000001E-2</v>
      </c>
      <c r="Q15" s="1">
        <f>IF(Signals_US!J15=1,Signals_US!Q15*Mapping!$E$17,IF(Signals_US!J15=-1,-Signals_US!R15*Mapping!$E$17,0))</f>
        <v>5.000000000000001E-2</v>
      </c>
      <c r="R15" s="1">
        <f>IF(Signals_US!K15=1,Signals_US!Q15*Mapping!$E$18,IF(Signals_US!K15=-1,-Signals_US!R15*Mapping!$E$18,0))</f>
        <v>0</v>
      </c>
      <c r="S15" s="1">
        <f>IF(Signals_US!M15=1,Signals_US!Q15*Mapping!$E$19,IF(Signals_US!M15=-1,-Signals_US!R15*Mapping!$E$19,0))</f>
        <v>0</v>
      </c>
      <c r="T15" s="1">
        <f>IF(Signals_US!L15=1,Signals_US!Q15*Mapping!$E$20,IF(Signals_US!L15=-1,-Signals_US!R15*Mapping!$E$20,0))</f>
        <v>0</v>
      </c>
      <c r="U15" s="1">
        <f t="shared" si="0"/>
        <v>0</v>
      </c>
    </row>
    <row r="16" spans="1:21">
      <c r="A16" s="5">
        <f>Signals_US!B16</f>
        <v>39479</v>
      </c>
      <c r="B16" s="1">
        <f>0</f>
        <v>0</v>
      </c>
      <c r="C16" s="1">
        <f>IF(Signals_US!F16=1,Signals_US!Q16*Mapping!$E$3,IF(Signals_US!F16=-1,-Signals_US!R16*Mapping!$E$3,0))</f>
        <v>-1.666666666666667E-2</v>
      </c>
      <c r="D16" s="1">
        <f>IF(Signals_US!C16=1,Signals_US!Q16*Mapping!$E$4,IF(Signals_US!C16=-1,-Signals_US!R16*Mapping!$E$4,0))</f>
        <v>1.666666666666667E-2</v>
      </c>
      <c r="E16" s="1">
        <f>IF(Signals_US!C16=1,Signals_US!Q16*Mapping!$E$5,IF(Signals_US!C16=-1,-Signals_US!R16*Mapping!$E$5,0))</f>
        <v>1.666666666666667E-2</v>
      </c>
      <c r="F16" s="1">
        <f>IF(Signals_US!C16=1,Signals_US!Q16*Mapping!$E$6,IF(Signals_US!C16=-1,-Signals_US!R16*Mapping!$E$6,0))</f>
        <v>1.666666666666667E-2</v>
      </c>
      <c r="G16" s="1">
        <f>IF(Signals_US!F16=1,Signals_US!Q16*Mapping!$E$7,IF(Signals_US!F16=-1,-Signals_US!R16*Mapping!$E$7,0))</f>
        <v>-1.666666666666667E-2</v>
      </c>
      <c r="H16" s="1">
        <f>IF(Signals_US!D16=1,Signals_US!Q16*Mapping!$E$8,IF(Signals_US!D16=-1,-Signals_US!R16*Mapping!$E$8,0))</f>
        <v>0</v>
      </c>
      <c r="I16" s="1">
        <f>IF(Signals_US!G16=1,Signals_US!Q16*Mapping!$E$9,IF(Signals_US!G16=-1,-Signals_US!R16*Mapping!$E$9,0))</f>
        <v>0</v>
      </c>
      <c r="J16" s="1">
        <f>IF(Signals_US!H16=1,Signals_US!Q16*Mapping!$E$10,IF(Signals_US!H16=-1,-Signals_US!R16*Mapping!$E$10,0))</f>
        <v>0</v>
      </c>
      <c r="K16" s="1">
        <f>IF(Signals_US!F16=1,Signals_US!Q16*Mapping!$E$11,IF(Signals_US!F16=-1,-Signals_US!R16*Mapping!$E$11,0))</f>
        <v>-1.666666666666667E-2</v>
      </c>
      <c r="L16" s="1">
        <f>IF(Signals_US!N16=1,Signals_US!Q16*Mapping!$E$12,IF(Signals_US!N16=-1,-Signals_US!R16*Mapping!$E$12,0))</f>
        <v>-5.000000000000001E-2</v>
      </c>
      <c r="M16" s="1">
        <f>IF(Signals_US!I16=1,Signals_US!Q16*Mapping!$E$13,IF(Signals_US!I16=-1,-Signals_US!R16*Mapping!$E$13,0))</f>
        <v>5.000000000000001E-2</v>
      </c>
      <c r="N16" s="1">
        <f>0</f>
        <v>0</v>
      </c>
      <c r="O16" s="1">
        <f>0</f>
        <v>0</v>
      </c>
      <c r="P16" s="1">
        <f>IF(Signals_US!E16=1,Signals_US!Q16*Mapping!$E$16,IF(Signals_US!E16=-1,-Signals_US!R16*Mapping!$E$16,0))</f>
        <v>-5.000000000000001E-2</v>
      </c>
      <c r="Q16" s="1">
        <f>IF(Signals_US!J16=1,Signals_US!Q16*Mapping!$E$17,IF(Signals_US!J16=-1,-Signals_US!R16*Mapping!$E$17,0))</f>
        <v>0</v>
      </c>
      <c r="R16" s="1">
        <f>IF(Signals_US!K16=1,Signals_US!Q16*Mapping!$E$18,IF(Signals_US!K16=-1,-Signals_US!R16*Mapping!$E$18,0))</f>
        <v>0</v>
      </c>
      <c r="S16" s="1">
        <f>IF(Signals_US!M16=1,Signals_US!Q16*Mapping!$E$19,IF(Signals_US!M16=-1,-Signals_US!R16*Mapping!$E$19,0))</f>
        <v>0</v>
      </c>
      <c r="T16" s="1">
        <f>IF(Signals_US!L16=1,Signals_US!Q16*Mapping!$E$20,IF(Signals_US!L16=-1,-Signals_US!R16*Mapping!$E$20,0))</f>
        <v>5.000000000000001E-2</v>
      </c>
      <c r="U16" s="1">
        <f t="shared" si="0"/>
        <v>0</v>
      </c>
    </row>
    <row r="17" spans="1:21">
      <c r="A17" s="5">
        <f>Signals_US!B17</f>
        <v>39508</v>
      </c>
      <c r="B17" s="1">
        <f>0</f>
        <v>0</v>
      </c>
      <c r="C17" s="1">
        <f>IF(Signals_US!F17=1,Signals_US!Q17*Mapping!$E$3,IF(Signals_US!F17=-1,-Signals_US!R17*Mapping!$E$3,0))</f>
        <v>-1.666666666666667E-2</v>
      </c>
      <c r="D17" s="1">
        <f>IF(Signals_US!C17=1,Signals_US!Q17*Mapping!$E$4,IF(Signals_US!C17=-1,-Signals_US!R17*Mapping!$E$4,0))</f>
        <v>1.666666666666667E-2</v>
      </c>
      <c r="E17" s="1">
        <f>IF(Signals_US!C17=1,Signals_US!Q17*Mapping!$E$5,IF(Signals_US!C17=-1,-Signals_US!R17*Mapping!$E$5,0))</f>
        <v>1.666666666666667E-2</v>
      </c>
      <c r="F17" s="1">
        <f>IF(Signals_US!C17=1,Signals_US!Q17*Mapping!$E$6,IF(Signals_US!C17=-1,-Signals_US!R17*Mapping!$E$6,0))</f>
        <v>1.666666666666667E-2</v>
      </c>
      <c r="G17" s="1">
        <f>IF(Signals_US!F17=1,Signals_US!Q17*Mapping!$E$7,IF(Signals_US!F17=-1,-Signals_US!R17*Mapping!$E$7,0))</f>
        <v>-1.666666666666667E-2</v>
      </c>
      <c r="H17" s="1">
        <f>IF(Signals_US!D17=1,Signals_US!Q17*Mapping!$E$8,IF(Signals_US!D17=-1,-Signals_US!R17*Mapping!$E$8,0))</f>
        <v>0</v>
      </c>
      <c r="I17" s="1">
        <f>IF(Signals_US!G17=1,Signals_US!Q17*Mapping!$E$9,IF(Signals_US!G17=-1,-Signals_US!R17*Mapping!$E$9,0))</f>
        <v>0</v>
      </c>
      <c r="J17" s="1">
        <f>IF(Signals_US!H17=1,Signals_US!Q17*Mapping!$E$10,IF(Signals_US!H17=-1,-Signals_US!R17*Mapping!$E$10,0))</f>
        <v>0</v>
      </c>
      <c r="K17" s="1">
        <f>IF(Signals_US!F17=1,Signals_US!Q17*Mapping!$E$11,IF(Signals_US!F17=-1,-Signals_US!R17*Mapping!$E$11,0))</f>
        <v>-1.666666666666667E-2</v>
      </c>
      <c r="L17" s="1">
        <f>IF(Signals_US!N17=1,Signals_US!Q17*Mapping!$E$12,IF(Signals_US!N17=-1,-Signals_US!R17*Mapping!$E$12,0))</f>
        <v>0</v>
      </c>
      <c r="M17" s="1">
        <f>IF(Signals_US!I17=1,Signals_US!Q17*Mapping!$E$13,IF(Signals_US!I17=-1,-Signals_US!R17*Mapping!$E$13,0))</f>
        <v>5.000000000000001E-2</v>
      </c>
      <c r="N17" s="1">
        <f>0</f>
        <v>0</v>
      </c>
      <c r="O17" s="1">
        <f>0</f>
        <v>0</v>
      </c>
      <c r="P17" s="1">
        <f>IF(Signals_US!E17=1,Signals_US!Q17*Mapping!$E$16,IF(Signals_US!E17=-1,-Signals_US!R17*Mapping!$E$16,0))</f>
        <v>-5.000000000000001E-2</v>
      </c>
      <c r="Q17" s="1">
        <f>IF(Signals_US!J17=1,Signals_US!Q17*Mapping!$E$17,IF(Signals_US!J17=-1,-Signals_US!R17*Mapping!$E$17,0))</f>
        <v>0</v>
      </c>
      <c r="R17" s="1">
        <f>IF(Signals_US!K17=1,Signals_US!Q17*Mapping!$E$18,IF(Signals_US!K17=-1,-Signals_US!R17*Mapping!$E$18,0))</f>
        <v>-5.000000000000001E-2</v>
      </c>
      <c r="S17" s="1">
        <f>IF(Signals_US!M17=1,Signals_US!Q17*Mapping!$E$19,IF(Signals_US!M17=-1,-Signals_US!R17*Mapping!$E$19,0))</f>
        <v>0</v>
      </c>
      <c r="T17" s="1">
        <f>IF(Signals_US!L17=1,Signals_US!Q17*Mapping!$E$20,IF(Signals_US!L17=-1,-Signals_US!R17*Mapping!$E$20,0))</f>
        <v>5.000000000000001E-2</v>
      </c>
      <c r="U17" s="1">
        <f t="shared" si="0"/>
        <v>0</v>
      </c>
    </row>
    <row r="18" spans="1:21">
      <c r="A18" s="5">
        <f>Signals_US!B18</f>
        <v>39539</v>
      </c>
      <c r="B18" s="1">
        <f>0</f>
        <v>0</v>
      </c>
      <c r="C18" s="1">
        <f>IF(Signals_US!F18=1,Signals_US!Q18*Mapping!$E$3,IF(Signals_US!F18=-1,-Signals_US!R18*Mapping!$E$3,0))</f>
        <v>-1.666666666666667E-2</v>
      </c>
      <c r="D18" s="1">
        <f>IF(Signals_US!C18=1,Signals_US!Q18*Mapping!$E$4,IF(Signals_US!C18=-1,-Signals_US!R18*Mapping!$E$4,0))</f>
        <v>1.666666666666667E-2</v>
      </c>
      <c r="E18" s="1">
        <f>IF(Signals_US!C18=1,Signals_US!Q18*Mapping!$E$5,IF(Signals_US!C18=-1,-Signals_US!R18*Mapping!$E$5,0))</f>
        <v>1.666666666666667E-2</v>
      </c>
      <c r="F18" s="1">
        <f>IF(Signals_US!C18=1,Signals_US!Q18*Mapping!$E$6,IF(Signals_US!C18=-1,-Signals_US!R18*Mapping!$E$6,0))</f>
        <v>1.666666666666667E-2</v>
      </c>
      <c r="G18" s="1">
        <f>IF(Signals_US!F18=1,Signals_US!Q18*Mapping!$E$7,IF(Signals_US!F18=-1,-Signals_US!R18*Mapping!$E$7,0))</f>
        <v>-1.666666666666667E-2</v>
      </c>
      <c r="H18" s="1">
        <f>IF(Signals_US!D18=1,Signals_US!Q18*Mapping!$E$8,IF(Signals_US!D18=-1,-Signals_US!R18*Mapping!$E$8,0))</f>
        <v>5.000000000000001E-2</v>
      </c>
      <c r="I18" s="1">
        <f>IF(Signals_US!G18=1,Signals_US!Q18*Mapping!$E$9,IF(Signals_US!G18=-1,-Signals_US!R18*Mapping!$E$9,0))</f>
        <v>0</v>
      </c>
      <c r="J18" s="1">
        <f>IF(Signals_US!H18=1,Signals_US!Q18*Mapping!$E$10,IF(Signals_US!H18=-1,-Signals_US!R18*Mapping!$E$10,0))</f>
        <v>0</v>
      </c>
      <c r="K18" s="1">
        <f>IF(Signals_US!F18=1,Signals_US!Q18*Mapping!$E$11,IF(Signals_US!F18=-1,-Signals_US!R18*Mapping!$E$11,0))</f>
        <v>-1.666666666666667E-2</v>
      </c>
      <c r="L18" s="1">
        <f>IF(Signals_US!N18=1,Signals_US!Q18*Mapping!$E$12,IF(Signals_US!N18=-1,-Signals_US!R18*Mapping!$E$12,0))</f>
        <v>0</v>
      </c>
      <c r="M18" s="1">
        <f>IF(Signals_US!I18=1,Signals_US!Q18*Mapping!$E$13,IF(Signals_US!I18=-1,-Signals_US!R18*Mapping!$E$13,0))</f>
        <v>5.000000000000001E-2</v>
      </c>
      <c r="N18" s="1">
        <f>0</f>
        <v>0</v>
      </c>
      <c r="O18" s="1">
        <f>0</f>
        <v>0</v>
      </c>
      <c r="P18" s="1">
        <f>IF(Signals_US!E18=1,Signals_US!Q18*Mapping!$E$16,IF(Signals_US!E18=-1,-Signals_US!R18*Mapping!$E$16,0))</f>
        <v>0</v>
      </c>
      <c r="Q18" s="1">
        <f>IF(Signals_US!J18=1,Signals_US!Q18*Mapping!$E$17,IF(Signals_US!J18=-1,-Signals_US!R18*Mapping!$E$17,0))</f>
        <v>0</v>
      </c>
      <c r="R18" s="1">
        <f>IF(Signals_US!K18=1,Signals_US!Q18*Mapping!$E$18,IF(Signals_US!K18=-1,-Signals_US!R18*Mapping!$E$18,0))</f>
        <v>-5.000000000000001E-2</v>
      </c>
      <c r="S18" s="1">
        <f>IF(Signals_US!M18=1,Signals_US!Q18*Mapping!$E$19,IF(Signals_US!M18=-1,-Signals_US!R18*Mapping!$E$19,0))</f>
        <v>-5.000000000000001E-2</v>
      </c>
      <c r="T18" s="1">
        <f>IF(Signals_US!L18=1,Signals_US!Q18*Mapping!$E$20,IF(Signals_US!L18=-1,-Signals_US!R18*Mapping!$E$20,0))</f>
        <v>0</v>
      </c>
      <c r="U18" s="1">
        <f t="shared" si="0"/>
        <v>0</v>
      </c>
    </row>
    <row r="19" spans="1:21">
      <c r="A19" s="5">
        <f>Signals_US!B19</f>
        <v>39569</v>
      </c>
      <c r="B19" s="1">
        <f>0</f>
        <v>0</v>
      </c>
      <c r="C19" s="1">
        <f>IF(Signals_US!F19=1,Signals_US!Q19*Mapping!$E$3,IF(Signals_US!F19=-1,-Signals_US!R19*Mapping!$E$3,0))</f>
        <v>-1.666666666666667E-2</v>
      </c>
      <c r="D19" s="1">
        <f>IF(Signals_US!C19=1,Signals_US!Q19*Mapping!$E$4,IF(Signals_US!C19=-1,-Signals_US!R19*Mapping!$E$4,0))</f>
        <v>1.666666666666667E-2</v>
      </c>
      <c r="E19" s="1">
        <f>IF(Signals_US!C19=1,Signals_US!Q19*Mapping!$E$5,IF(Signals_US!C19=-1,-Signals_US!R19*Mapping!$E$5,0))</f>
        <v>1.666666666666667E-2</v>
      </c>
      <c r="F19" s="1">
        <f>IF(Signals_US!C19=1,Signals_US!Q19*Mapping!$E$6,IF(Signals_US!C19=-1,-Signals_US!R19*Mapping!$E$6,0))</f>
        <v>1.666666666666667E-2</v>
      </c>
      <c r="G19" s="1">
        <f>IF(Signals_US!F19=1,Signals_US!Q19*Mapping!$E$7,IF(Signals_US!F19=-1,-Signals_US!R19*Mapping!$E$7,0))</f>
        <v>-1.666666666666667E-2</v>
      </c>
      <c r="H19" s="1">
        <f>IF(Signals_US!D19=1,Signals_US!Q19*Mapping!$E$8,IF(Signals_US!D19=-1,-Signals_US!R19*Mapping!$E$8,0))</f>
        <v>0</v>
      </c>
      <c r="I19" s="1">
        <f>IF(Signals_US!G19=1,Signals_US!Q19*Mapping!$E$9,IF(Signals_US!G19=-1,-Signals_US!R19*Mapping!$E$9,0))</f>
        <v>0</v>
      </c>
      <c r="J19" s="1">
        <f>IF(Signals_US!H19=1,Signals_US!Q19*Mapping!$E$10,IF(Signals_US!H19=-1,-Signals_US!R19*Mapping!$E$10,0))</f>
        <v>5.000000000000001E-2</v>
      </c>
      <c r="K19" s="1">
        <f>IF(Signals_US!F19=1,Signals_US!Q19*Mapping!$E$11,IF(Signals_US!F19=-1,-Signals_US!R19*Mapping!$E$11,0))</f>
        <v>-1.666666666666667E-2</v>
      </c>
      <c r="L19" s="1">
        <f>IF(Signals_US!N19=1,Signals_US!Q19*Mapping!$E$12,IF(Signals_US!N19=-1,-Signals_US!R19*Mapping!$E$12,0))</f>
        <v>-5.000000000000001E-2</v>
      </c>
      <c r="M19" s="1">
        <f>IF(Signals_US!I19=1,Signals_US!Q19*Mapping!$E$13,IF(Signals_US!I19=-1,-Signals_US!R19*Mapping!$E$13,0))</f>
        <v>5.000000000000001E-2</v>
      </c>
      <c r="N19" s="1">
        <f>0</f>
        <v>0</v>
      </c>
      <c r="O19" s="1">
        <f>0</f>
        <v>0</v>
      </c>
      <c r="P19" s="1">
        <f>IF(Signals_US!E19=1,Signals_US!Q19*Mapping!$E$16,IF(Signals_US!E19=-1,-Signals_US!R19*Mapping!$E$16,0))</f>
        <v>0</v>
      </c>
      <c r="Q19" s="1">
        <f>IF(Signals_US!J19=1,Signals_US!Q19*Mapping!$E$17,IF(Signals_US!J19=-1,-Signals_US!R19*Mapping!$E$17,0))</f>
        <v>0</v>
      </c>
      <c r="R19" s="1">
        <f>IF(Signals_US!K19=1,Signals_US!Q19*Mapping!$E$18,IF(Signals_US!K19=-1,-Signals_US!R19*Mapping!$E$18,0))</f>
        <v>0</v>
      </c>
      <c r="S19" s="1">
        <f>IF(Signals_US!M19=1,Signals_US!Q19*Mapping!$E$19,IF(Signals_US!M19=-1,-Signals_US!R19*Mapping!$E$19,0))</f>
        <v>-5.000000000000001E-2</v>
      </c>
      <c r="T19" s="1">
        <f>IF(Signals_US!L19=1,Signals_US!Q19*Mapping!$E$20,IF(Signals_US!L19=-1,-Signals_US!R19*Mapping!$E$20,0))</f>
        <v>0</v>
      </c>
      <c r="U19" s="1">
        <f t="shared" si="0"/>
        <v>0</v>
      </c>
    </row>
    <row r="20" spans="1:21">
      <c r="A20" s="5">
        <f>Signals_US!B20</f>
        <v>39600</v>
      </c>
      <c r="B20" s="1">
        <f>0</f>
        <v>0</v>
      </c>
      <c r="C20" s="1">
        <f>IF(Signals_US!F20=1,Signals_US!Q20*Mapping!$E$3,IF(Signals_US!F20=-1,-Signals_US!R20*Mapping!$E$3,0))</f>
        <v>-1.666666666666667E-2</v>
      </c>
      <c r="D20" s="1">
        <f>IF(Signals_US!C20=1,Signals_US!Q20*Mapping!$E$4,IF(Signals_US!C20=-1,-Signals_US!R20*Mapping!$E$4,0))</f>
        <v>1.666666666666667E-2</v>
      </c>
      <c r="E20" s="1">
        <f>IF(Signals_US!C20=1,Signals_US!Q20*Mapping!$E$5,IF(Signals_US!C20=-1,-Signals_US!R20*Mapping!$E$5,0))</f>
        <v>1.666666666666667E-2</v>
      </c>
      <c r="F20" s="1">
        <f>IF(Signals_US!C20=1,Signals_US!Q20*Mapping!$E$6,IF(Signals_US!C20=-1,-Signals_US!R20*Mapping!$E$6,0))</f>
        <v>1.666666666666667E-2</v>
      </c>
      <c r="G20" s="1">
        <f>IF(Signals_US!F20=1,Signals_US!Q20*Mapping!$E$7,IF(Signals_US!F20=-1,-Signals_US!R20*Mapping!$E$7,0))</f>
        <v>-1.666666666666667E-2</v>
      </c>
      <c r="H20" s="1">
        <f>IF(Signals_US!D20=1,Signals_US!Q20*Mapping!$E$8,IF(Signals_US!D20=-1,-Signals_US!R20*Mapping!$E$8,0))</f>
        <v>0</v>
      </c>
      <c r="I20" s="1">
        <f>IF(Signals_US!G20=1,Signals_US!Q20*Mapping!$E$9,IF(Signals_US!G20=-1,-Signals_US!R20*Mapping!$E$9,0))</f>
        <v>-5.000000000000001E-2</v>
      </c>
      <c r="J20" s="1">
        <f>IF(Signals_US!H20=1,Signals_US!Q20*Mapping!$E$10,IF(Signals_US!H20=-1,-Signals_US!R20*Mapping!$E$10,0))</f>
        <v>0</v>
      </c>
      <c r="K20" s="1">
        <f>IF(Signals_US!F20=1,Signals_US!Q20*Mapping!$E$11,IF(Signals_US!F20=-1,-Signals_US!R20*Mapping!$E$11,0))</f>
        <v>-1.666666666666667E-2</v>
      </c>
      <c r="L20" s="1">
        <f>IF(Signals_US!N20=1,Signals_US!Q20*Mapping!$E$12,IF(Signals_US!N20=-1,-Signals_US!R20*Mapping!$E$12,0))</f>
        <v>0</v>
      </c>
      <c r="M20" s="1">
        <f>IF(Signals_US!I20=1,Signals_US!Q20*Mapping!$E$13,IF(Signals_US!I20=-1,-Signals_US!R20*Mapping!$E$13,0))</f>
        <v>5.000000000000001E-2</v>
      </c>
      <c r="N20" s="1">
        <f>0</f>
        <v>0</v>
      </c>
      <c r="O20" s="1">
        <f>0</f>
        <v>0</v>
      </c>
      <c r="P20" s="1">
        <f>IF(Signals_US!E20=1,Signals_US!Q20*Mapping!$E$16,IF(Signals_US!E20=-1,-Signals_US!R20*Mapping!$E$16,0))</f>
        <v>0</v>
      </c>
      <c r="Q20" s="1">
        <f>IF(Signals_US!J20=1,Signals_US!Q20*Mapping!$E$17,IF(Signals_US!J20=-1,-Signals_US!R20*Mapping!$E$17,0))</f>
        <v>5.000000000000001E-2</v>
      </c>
      <c r="R20" s="1">
        <f>IF(Signals_US!K20=1,Signals_US!Q20*Mapping!$E$18,IF(Signals_US!K20=-1,-Signals_US!R20*Mapping!$E$18,0))</f>
        <v>0</v>
      </c>
      <c r="S20" s="1">
        <f>IF(Signals_US!M20=1,Signals_US!Q20*Mapping!$E$19,IF(Signals_US!M20=-1,-Signals_US!R20*Mapping!$E$19,0))</f>
        <v>-5.000000000000001E-2</v>
      </c>
      <c r="T20" s="1">
        <f>IF(Signals_US!L20=1,Signals_US!Q20*Mapping!$E$20,IF(Signals_US!L20=-1,-Signals_US!R20*Mapping!$E$20,0))</f>
        <v>0</v>
      </c>
      <c r="U20" s="1">
        <f t="shared" si="0"/>
        <v>0</v>
      </c>
    </row>
    <row r="21" spans="1:21">
      <c r="A21" s="5">
        <f>Signals_US!B21</f>
        <v>39630</v>
      </c>
      <c r="B21" s="1">
        <f>0</f>
        <v>0</v>
      </c>
      <c r="C21" s="1">
        <f>IF(Signals_US!F21=1,Signals_US!Q21*Mapping!$E$3,IF(Signals_US!F21=-1,-Signals_US!R21*Mapping!$E$3,0))</f>
        <v>-1.666666666666667E-2</v>
      </c>
      <c r="D21" s="1">
        <f>IF(Signals_US!C21=1,Signals_US!Q21*Mapping!$E$4,IF(Signals_US!C21=-1,-Signals_US!R21*Mapping!$E$4,0))</f>
        <v>1.666666666666667E-2</v>
      </c>
      <c r="E21" s="1">
        <f>IF(Signals_US!C21=1,Signals_US!Q21*Mapping!$E$5,IF(Signals_US!C21=-1,-Signals_US!R21*Mapping!$E$5,0))</f>
        <v>1.666666666666667E-2</v>
      </c>
      <c r="F21" s="1">
        <f>IF(Signals_US!C21=1,Signals_US!Q21*Mapping!$E$6,IF(Signals_US!C21=-1,-Signals_US!R21*Mapping!$E$6,0))</f>
        <v>1.666666666666667E-2</v>
      </c>
      <c r="G21" s="1">
        <f>IF(Signals_US!F21=1,Signals_US!Q21*Mapping!$E$7,IF(Signals_US!F21=-1,-Signals_US!R21*Mapping!$E$7,0))</f>
        <v>-1.666666666666667E-2</v>
      </c>
      <c r="H21" s="1">
        <f>IF(Signals_US!D21=1,Signals_US!Q21*Mapping!$E$8,IF(Signals_US!D21=-1,-Signals_US!R21*Mapping!$E$8,0))</f>
        <v>0</v>
      </c>
      <c r="I21" s="1">
        <f>IF(Signals_US!G21=1,Signals_US!Q21*Mapping!$E$9,IF(Signals_US!G21=-1,-Signals_US!R21*Mapping!$E$9,0))</f>
        <v>0</v>
      </c>
      <c r="J21" s="1">
        <f>IF(Signals_US!H21=1,Signals_US!Q21*Mapping!$E$10,IF(Signals_US!H21=-1,-Signals_US!R21*Mapping!$E$10,0))</f>
        <v>0</v>
      </c>
      <c r="K21" s="1">
        <f>IF(Signals_US!F21=1,Signals_US!Q21*Mapping!$E$11,IF(Signals_US!F21=-1,-Signals_US!R21*Mapping!$E$11,0))</f>
        <v>-1.666666666666667E-2</v>
      </c>
      <c r="L21" s="1">
        <f>IF(Signals_US!N21=1,Signals_US!Q21*Mapping!$E$12,IF(Signals_US!N21=-1,-Signals_US!R21*Mapping!$E$12,0))</f>
        <v>-5.000000000000001E-2</v>
      </c>
      <c r="M21" s="1">
        <f>IF(Signals_US!I21=1,Signals_US!Q21*Mapping!$E$13,IF(Signals_US!I21=-1,-Signals_US!R21*Mapping!$E$13,0))</f>
        <v>5.000000000000001E-2</v>
      </c>
      <c r="N21" s="1">
        <f>0</f>
        <v>0</v>
      </c>
      <c r="O21" s="1">
        <f>0</f>
        <v>0</v>
      </c>
      <c r="P21" s="1">
        <f>IF(Signals_US!E21=1,Signals_US!Q21*Mapping!$E$16,IF(Signals_US!E21=-1,-Signals_US!R21*Mapping!$E$16,0))</f>
        <v>0</v>
      </c>
      <c r="Q21" s="1">
        <f>IF(Signals_US!J21=1,Signals_US!Q21*Mapping!$E$17,IF(Signals_US!J21=-1,-Signals_US!R21*Mapping!$E$17,0))</f>
        <v>0</v>
      </c>
      <c r="R21" s="1">
        <f>IF(Signals_US!K21=1,Signals_US!Q21*Mapping!$E$18,IF(Signals_US!K21=-1,-Signals_US!R21*Mapping!$E$18,0))</f>
        <v>0</v>
      </c>
      <c r="S21" s="1">
        <f>IF(Signals_US!M21=1,Signals_US!Q21*Mapping!$E$19,IF(Signals_US!M21=-1,-Signals_US!R21*Mapping!$E$19,0))</f>
        <v>-5.000000000000001E-2</v>
      </c>
      <c r="T21" s="1">
        <f>IF(Signals_US!L21=1,Signals_US!Q21*Mapping!$E$20,IF(Signals_US!L21=-1,-Signals_US!R21*Mapping!$E$20,0))</f>
        <v>5.000000000000001E-2</v>
      </c>
      <c r="U21" s="1">
        <f t="shared" si="0"/>
        <v>0</v>
      </c>
    </row>
    <row r="22" spans="1:21">
      <c r="A22" s="5">
        <f>Signals_US!B22</f>
        <v>39661</v>
      </c>
      <c r="B22" s="1">
        <f>0</f>
        <v>0</v>
      </c>
      <c r="C22" s="1">
        <f>IF(Signals_US!F22=1,Signals_US!Q22*Mapping!$E$3,IF(Signals_US!F22=-1,-Signals_US!R22*Mapping!$E$3,0))</f>
        <v>-1.666666666666667E-2</v>
      </c>
      <c r="D22" s="1">
        <f>IF(Signals_US!C22=1,Signals_US!Q22*Mapping!$E$4,IF(Signals_US!C22=-1,-Signals_US!R22*Mapping!$E$4,0))</f>
        <v>1.666666666666667E-2</v>
      </c>
      <c r="E22" s="1">
        <f>IF(Signals_US!C22=1,Signals_US!Q22*Mapping!$E$5,IF(Signals_US!C22=-1,-Signals_US!R22*Mapping!$E$5,0))</f>
        <v>1.666666666666667E-2</v>
      </c>
      <c r="F22" s="1">
        <f>IF(Signals_US!C22=1,Signals_US!Q22*Mapping!$E$6,IF(Signals_US!C22=-1,-Signals_US!R22*Mapping!$E$6,0))</f>
        <v>1.666666666666667E-2</v>
      </c>
      <c r="G22" s="1">
        <f>IF(Signals_US!F22=1,Signals_US!Q22*Mapping!$E$7,IF(Signals_US!F22=-1,-Signals_US!R22*Mapping!$E$7,0))</f>
        <v>-1.666666666666667E-2</v>
      </c>
      <c r="H22" s="1">
        <f>IF(Signals_US!D22=1,Signals_US!Q22*Mapping!$E$8,IF(Signals_US!D22=-1,-Signals_US!R22*Mapping!$E$8,0))</f>
        <v>0</v>
      </c>
      <c r="I22" s="1">
        <f>IF(Signals_US!G22=1,Signals_US!Q22*Mapping!$E$9,IF(Signals_US!G22=-1,-Signals_US!R22*Mapping!$E$9,0))</f>
        <v>0</v>
      </c>
      <c r="J22" s="1">
        <f>IF(Signals_US!H22=1,Signals_US!Q22*Mapping!$E$10,IF(Signals_US!H22=-1,-Signals_US!R22*Mapping!$E$10,0))</f>
        <v>0</v>
      </c>
      <c r="K22" s="1">
        <f>IF(Signals_US!F22=1,Signals_US!Q22*Mapping!$E$11,IF(Signals_US!F22=-1,-Signals_US!R22*Mapping!$E$11,0))</f>
        <v>-1.666666666666667E-2</v>
      </c>
      <c r="L22" s="1">
        <f>IF(Signals_US!N22=1,Signals_US!Q22*Mapping!$E$12,IF(Signals_US!N22=-1,-Signals_US!R22*Mapping!$E$12,0))</f>
        <v>0</v>
      </c>
      <c r="M22" s="1">
        <f>IF(Signals_US!I22=1,Signals_US!Q22*Mapping!$E$13,IF(Signals_US!I22=-1,-Signals_US!R22*Mapping!$E$13,0))</f>
        <v>5.000000000000001E-2</v>
      </c>
      <c r="N22" s="1">
        <f>0</f>
        <v>0</v>
      </c>
      <c r="O22" s="1">
        <f>0</f>
        <v>0</v>
      </c>
      <c r="P22" s="1">
        <f>IF(Signals_US!E22=1,Signals_US!Q22*Mapping!$E$16,IF(Signals_US!E22=-1,-Signals_US!R22*Mapping!$E$16,0))</f>
        <v>0</v>
      </c>
      <c r="Q22" s="1">
        <f>IF(Signals_US!J22=1,Signals_US!Q22*Mapping!$E$17,IF(Signals_US!J22=-1,-Signals_US!R22*Mapping!$E$17,0))</f>
        <v>0</v>
      </c>
      <c r="R22" s="1">
        <f>IF(Signals_US!K22=1,Signals_US!Q22*Mapping!$E$18,IF(Signals_US!K22=-1,-Signals_US!R22*Mapping!$E$18,0))</f>
        <v>-5.000000000000001E-2</v>
      </c>
      <c r="S22" s="1">
        <f>IF(Signals_US!M22=1,Signals_US!Q22*Mapping!$E$19,IF(Signals_US!M22=-1,-Signals_US!R22*Mapping!$E$19,0))</f>
        <v>-5.000000000000001E-2</v>
      </c>
      <c r="T22" s="1">
        <f>IF(Signals_US!L22=1,Signals_US!Q22*Mapping!$E$20,IF(Signals_US!L22=-1,-Signals_US!R22*Mapping!$E$20,0))</f>
        <v>5.000000000000001E-2</v>
      </c>
      <c r="U22" s="1">
        <f t="shared" si="0"/>
        <v>0</v>
      </c>
    </row>
    <row r="23" spans="1:21">
      <c r="A23" s="5">
        <f>Signals_US!B23</f>
        <v>39692</v>
      </c>
      <c r="B23" s="1">
        <f>0</f>
        <v>0</v>
      </c>
      <c r="C23" s="1">
        <f>IF(Signals_US!F23=1,Signals_US!Q23*Mapping!$E$3,IF(Signals_US!F23=-1,-Signals_US!R23*Mapping!$E$3,0))</f>
        <v>-1.666666666666667E-2</v>
      </c>
      <c r="D23" s="1">
        <f>IF(Signals_US!C23=1,Signals_US!Q23*Mapping!$E$4,IF(Signals_US!C23=-1,-Signals_US!R23*Mapping!$E$4,0))</f>
        <v>1.666666666666667E-2</v>
      </c>
      <c r="E23" s="1">
        <f>IF(Signals_US!C23=1,Signals_US!Q23*Mapping!$E$5,IF(Signals_US!C23=-1,-Signals_US!R23*Mapping!$E$5,0))</f>
        <v>1.666666666666667E-2</v>
      </c>
      <c r="F23" s="1">
        <f>IF(Signals_US!C23=1,Signals_US!Q23*Mapping!$E$6,IF(Signals_US!C23=-1,-Signals_US!R23*Mapping!$E$6,0))</f>
        <v>1.666666666666667E-2</v>
      </c>
      <c r="G23" s="1">
        <f>IF(Signals_US!F23=1,Signals_US!Q23*Mapping!$E$7,IF(Signals_US!F23=-1,-Signals_US!R23*Mapping!$E$7,0))</f>
        <v>-1.666666666666667E-2</v>
      </c>
      <c r="H23" s="1">
        <f>IF(Signals_US!D23=1,Signals_US!Q23*Mapping!$E$8,IF(Signals_US!D23=-1,-Signals_US!R23*Mapping!$E$8,0))</f>
        <v>5.000000000000001E-2</v>
      </c>
      <c r="I23" s="1">
        <f>IF(Signals_US!G23=1,Signals_US!Q23*Mapping!$E$9,IF(Signals_US!G23=-1,-Signals_US!R23*Mapping!$E$9,0))</f>
        <v>0</v>
      </c>
      <c r="J23" s="1">
        <f>IF(Signals_US!H23=1,Signals_US!Q23*Mapping!$E$10,IF(Signals_US!H23=-1,-Signals_US!R23*Mapping!$E$10,0))</f>
        <v>0</v>
      </c>
      <c r="K23" s="1">
        <f>IF(Signals_US!F23=1,Signals_US!Q23*Mapping!$E$11,IF(Signals_US!F23=-1,-Signals_US!R23*Mapping!$E$11,0))</f>
        <v>-1.666666666666667E-2</v>
      </c>
      <c r="L23" s="1">
        <f>IF(Signals_US!N23=1,Signals_US!Q23*Mapping!$E$12,IF(Signals_US!N23=-1,-Signals_US!R23*Mapping!$E$12,0))</f>
        <v>-5.000000000000001E-2</v>
      </c>
      <c r="M23" s="1">
        <f>IF(Signals_US!I23=1,Signals_US!Q23*Mapping!$E$13,IF(Signals_US!I23=-1,-Signals_US!R23*Mapping!$E$13,0))</f>
        <v>0</v>
      </c>
      <c r="N23" s="1">
        <f>0</f>
        <v>0</v>
      </c>
      <c r="O23" s="1">
        <f>0</f>
        <v>0</v>
      </c>
      <c r="P23" s="1">
        <f>IF(Signals_US!E23=1,Signals_US!Q23*Mapping!$E$16,IF(Signals_US!E23=-1,-Signals_US!R23*Mapping!$E$16,0))</f>
        <v>5.000000000000001E-2</v>
      </c>
      <c r="Q23" s="1">
        <f>IF(Signals_US!J23=1,Signals_US!Q23*Mapping!$E$17,IF(Signals_US!J23=-1,-Signals_US!R23*Mapping!$E$17,0))</f>
        <v>0</v>
      </c>
      <c r="R23" s="1">
        <f>IF(Signals_US!K23=1,Signals_US!Q23*Mapping!$E$18,IF(Signals_US!K23=-1,-Signals_US!R23*Mapping!$E$18,0))</f>
        <v>0</v>
      </c>
      <c r="S23" s="1">
        <f>IF(Signals_US!M23=1,Signals_US!Q23*Mapping!$E$19,IF(Signals_US!M23=-1,-Signals_US!R23*Mapping!$E$19,0))</f>
        <v>-5.000000000000001E-2</v>
      </c>
      <c r="T23" s="1">
        <f>IF(Signals_US!L23=1,Signals_US!Q23*Mapping!$E$20,IF(Signals_US!L23=-1,-Signals_US!R23*Mapping!$E$20,0))</f>
        <v>0</v>
      </c>
      <c r="U23" s="1">
        <f t="shared" si="0"/>
        <v>0</v>
      </c>
    </row>
    <row r="24" spans="1:21">
      <c r="A24" s="5">
        <f>Signals_US!B24</f>
        <v>39722</v>
      </c>
      <c r="B24" s="1">
        <f>0</f>
        <v>0</v>
      </c>
      <c r="C24" s="1">
        <f>IF(Signals_US!F24=1,Signals_US!Q24*Mapping!$E$3,IF(Signals_US!F24=-1,-Signals_US!R24*Mapping!$E$3,0))</f>
        <v>-1.666666666666667E-2</v>
      </c>
      <c r="D24" s="1">
        <f>IF(Signals_US!C24=1,Signals_US!Q24*Mapping!$E$4,IF(Signals_US!C24=-1,-Signals_US!R24*Mapping!$E$4,0))</f>
        <v>0</v>
      </c>
      <c r="E24" s="1">
        <f>IF(Signals_US!C24=1,Signals_US!Q24*Mapping!$E$5,IF(Signals_US!C24=-1,-Signals_US!R24*Mapping!$E$5,0))</f>
        <v>0</v>
      </c>
      <c r="F24" s="1">
        <f>IF(Signals_US!C24=1,Signals_US!Q24*Mapping!$E$6,IF(Signals_US!C24=-1,-Signals_US!R24*Mapping!$E$6,0))</f>
        <v>0</v>
      </c>
      <c r="G24" s="1">
        <f>IF(Signals_US!F24=1,Signals_US!Q24*Mapping!$E$7,IF(Signals_US!F24=-1,-Signals_US!R24*Mapping!$E$7,0))</f>
        <v>-1.666666666666667E-2</v>
      </c>
      <c r="H24" s="1">
        <f>IF(Signals_US!D24=1,Signals_US!Q24*Mapping!$E$8,IF(Signals_US!D24=-1,-Signals_US!R24*Mapping!$E$8,0))</f>
        <v>0</v>
      </c>
      <c r="I24" s="1">
        <f>IF(Signals_US!G24=1,Signals_US!Q24*Mapping!$E$9,IF(Signals_US!G24=-1,-Signals_US!R24*Mapping!$E$9,0))</f>
        <v>5.000000000000001E-2</v>
      </c>
      <c r="J24" s="1">
        <f>IF(Signals_US!H24=1,Signals_US!Q24*Mapping!$E$10,IF(Signals_US!H24=-1,-Signals_US!R24*Mapping!$E$10,0))</f>
        <v>0</v>
      </c>
      <c r="K24" s="1">
        <f>IF(Signals_US!F24=1,Signals_US!Q24*Mapping!$E$11,IF(Signals_US!F24=-1,-Signals_US!R24*Mapping!$E$11,0))</f>
        <v>-1.666666666666667E-2</v>
      </c>
      <c r="L24" s="1">
        <f>IF(Signals_US!N24=1,Signals_US!Q24*Mapping!$E$12,IF(Signals_US!N24=-1,-Signals_US!R24*Mapping!$E$12,0))</f>
        <v>5.000000000000001E-2</v>
      </c>
      <c r="M24" s="1">
        <f>IF(Signals_US!I24=1,Signals_US!Q24*Mapping!$E$13,IF(Signals_US!I24=-1,-Signals_US!R24*Mapping!$E$13,0))</f>
        <v>0</v>
      </c>
      <c r="N24" s="1">
        <f>0</f>
        <v>0</v>
      </c>
      <c r="O24" s="1">
        <f>0</f>
        <v>0</v>
      </c>
      <c r="P24" s="1">
        <f>IF(Signals_US!E24=1,Signals_US!Q24*Mapping!$E$16,IF(Signals_US!E24=-1,-Signals_US!R24*Mapping!$E$16,0))</f>
        <v>5.000000000000001E-2</v>
      </c>
      <c r="Q24" s="1">
        <f>IF(Signals_US!J24=1,Signals_US!Q24*Mapping!$E$17,IF(Signals_US!J24=-1,-Signals_US!R24*Mapping!$E$17,0))</f>
        <v>-5.000000000000001E-2</v>
      </c>
      <c r="R24" s="1">
        <f>IF(Signals_US!K24=1,Signals_US!Q24*Mapping!$E$18,IF(Signals_US!K24=-1,-Signals_US!R24*Mapping!$E$18,0))</f>
        <v>-5.000000000000001E-2</v>
      </c>
      <c r="S24" s="1">
        <f>IF(Signals_US!M24=1,Signals_US!Q24*Mapping!$E$19,IF(Signals_US!M24=-1,-Signals_US!R24*Mapping!$E$19,0))</f>
        <v>0</v>
      </c>
      <c r="T24" s="1">
        <f>IF(Signals_US!L24=1,Signals_US!Q24*Mapping!$E$20,IF(Signals_US!L24=-1,-Signals_US!R24*Mapping!$E$20,0))</f>
        <v>0</v>
      </c>
      <c r="U24" s="1">
        <f t="shared" si="0"/>
        <v>0</v>
      </c>
    </row>
    <row r="25" spans="1:21">
      <c r="A25" s="5">
        <f>Signals_US!B25</f>
        <v>39753</v>
      </c>
      <c r="B25" s="1">
        <f>0</f>
        <v>0</v>
      </c>
      <c r="C25" s="1">
        <f>IF(Signals_US!F25=1,Signals_US!Q25*Mapping!$E$3,IF(Signals_US!F25=-1,-Signals_US!R25*Mapping!$E$3,0))</f>
        <v>-1.666666666666667E-2</v>
      </c>
      <c r="D25" s="1">
        <f>IF(Signals_US!C25=1,Signals_US!Q25*Mapping!$E$4,IF(Signals_US!C25=-1,-Signals_US!R25*Mapping!$E$4,0))</f>
        <v>-1.666666666666667E-2</v>
      </c>
      <c r="E25" s="1">
        <f>IF(Signals_US!C25=1,Signals_US!Q25*Mapping!$E$5,IF(Signals_US!C25=-1,-Signals_US!R25*Mapping!$E$5,0))</f>
        <v>-1.666666666666667E-2</v>
      </c>
      <c r="F25" s="1">
        <f>IF(Signals_US!C25=1,Signals_US!Q25*Mapping!$E$6,IF(Signals_US!C25=-1,-Signals_US!R25*Mapping!$E$6,0))</f>
        <v>-1.666666666666667E-2</v>
      </c>
      <c r="G25" s="1">
        <f>IF(Signals_US!F25=1,Signals_US!Q25*Mapping!$E$7,IF(Signals_US!F25=-1,-Signals_US!R25*Mapping!$E$7,0))</f>
        <v>-1.666666666666667E-2</v>
      </c>
      <c r="H25" s="1">
        <f>IF(Signals_US!D25=1,Signals_US!Q25*Mapping!$E$8,IF(Signals_US!D25=-1,-Signals_US!R25*Mapping!$E$8,0))</f>
        <v>5.000000000000001E-2</v>
      </c>
      <c r="I25" s="1">
        <f>IF(Signals_US!G25=1,Signals_US!Q25*Mapping!$E$9,IF(Signals_US!G25=-1,-Signals_US!R25*Mapping!$E$9,0))</f>
        <v>5.000000000000001E-2</v>
      </c>
      <c r="J25" s="1">
        <f>IF(Signals_US!H25=1,Signals_US!Q25*Mapping!$E$10,IF(Signals_US!H25=-1,-Signals_US!R25*Mapping!$E$10,0))</f>
        <v>0</v>
      </c>
      <c r="K25" s="1">
        <f>IF(Signals_US!F25=1,Signals_US!Q25*Mapping!$E$11,IF(Signals_US!F25=-1,-Signals_US!R25*Mapping!$E$11,0))</f>
        <v>-1.666666666666667E-2</v>
      </c>
      <c r="L25" s="1">
        <f>IF(Signals_US!N25=1,Signals_US!Q25*Mapping!$E$12,IF(Signals_US!N25=-1,-Signals_US!R25*Mapping!$E$12,0))</f>
        <v>0</v>
      </c>
      <c r="M25" s="1">
        <f>IF(Signals_US!I25=1,Signals_US!Q25*Mapping!$E$13,IF(Signals_US!I25=-1,-Signals_US!R25*Mapping!$E$13,0))</f>
        <v>0</v>
      </c>
      <c r="N25" s="1">
        <f>0</f>
        <v>0</v>
      </c>
      <c r="O25" s="1">
        <f>0</f>
        <v>0</v>
      </c>
      <c r="P25" s="1">
        <f>IF(Signals_US!E25=1,Signals_US!Q25*Mapping!$E$16,IF(Signals_US!E25=-1,-Signals_US!R25*Mapping!$E$16,0))</f>
        <v>5.000000000000001E-2</v>
      </c>
      <c r="Q25" s="1">
        <f>IF(Signals_US!J25=1,Signals_US!Q25*Mapping!$E$17,IF(Signals_US!J25=-1,-Signals_US!R25*Mapping!$E$17,0))</f>
        <v>0</v>
      </c>
      <c r="R25" s="1">
        <f>IF(Signals_US!K25=1,Signals_US!Q25*Mapping!$E$18,IF(Signals_US!K25=-1,-Signals_US!R25*Mapping!$E$18,0))</f>
        <v>-5.000000000000001E-2</v>
      </c>
      <c r="S25" s="1">
        <f>IF(Signals_US!M25=1,Signals_US!Q25*Mapping!$E$19,IF(Signals_US!M25=-1,-Signals_US!R25*Mapping!$E$19,0))</f>
        <v>0</v>
      </c>
      <c r="T25" s="1">
        <f>IF(Signals_US!L25=1,Signals_US!Q25*Mapping!$E$20,IF(Signals_US!L25=-1,-Signals_US!R25*Mapping!$E$20,0))</f>
        <v>0</v>
      </c>
      <c r="U25" s="1">
        <f t="shared" si="0"/>
        <v>0</v>
      </c>
    </row>
    <row r="26" spans="1:21">
      <c r="A26" s="5">
        <f>Signals_US!B26</f>
        <v>39783</v>
      </c>
      <c r="B26" s="1">
        <f>0</f>
        <v>0</v>
      </c>
      <c r="C26" s="1">
        <f>IF(Signals_US!F26=1,Signals_US!Q26*Mapping!$E$3,IF(Signals_US!F26=-1,-Signals_US!R26*Mapping!$E$3,0))</f>
        <v>-1.666666666666667E-2</v>
      </c>
      <c r="D26" s="1">
        <f>IF(Signals_US!C26=1,Signals_US!Q26*Mapping!$E$4,IF(Signals_US!C26=-1,-Signals_US!R26*Mapping!$E$4,0))</f>
        <v>-1.666666666666667E-2</v>
      </c>
      <c r="E26" s="1">
        <f>IF(Signals_US!C26=1,Signals_US!Q26*Mapping!$E$5,IF(Signals_US!C26=-1,-Signals_US!R26*Mapping!$E$5,0))</f>
        <v>-1.666666666666667E-2</v>
      </c>
      <c r="F26" s="1">
        <f>IF(Signals_US!C26=1,Signals_US!Q26*Mapping!$E$6,IF(Signals_US!C26=-1,-Signals_US!R26*Mapping!$E$6,0))</f>
        <v>-1.666666666666667E-2</v>
      </c>
      <c r="G26" s="1">
        <f>IF(Signals_US!F26=1,Signals_US!Q26*Mapping!$E$7,IF(Signals_US!F26=-1,-Signals_US!R26*Mapping!$E$7,0))</f>
        <v>-1.666666666666667E-2</v>
      </c>
      <c r="H26" s="1">
        <f>IF(Signals_US!D26=1,Signals_US!Q26*Mapping!$E$8,IF(Signals_US!D26=-1,-Signals_US!R26*Mapping!$E$8,0))</f>
        <v>5.000000000000001E-2</v>
      </c>
      <c r="I26" s="1">
        <f>IF(Signals_US!G26=1,Signals_US!Q26*Mapping!$E$9,IF(Signals_US!G26=-1,-Signals_US!R26*Mapping!$E$9,0))</f>
        <v>5.000000000000001E-2</v>
      </c>
      <c r="J26" s="1">
        <f>IF(Signals_US!H26=1,Signals_US!Q26*Mapping!$E$10,IF(Signals_US!H26=-1,-Signals_US!R26*Mapping!$E$10,0))</f>
        <v>0</v>
      </c>
      <c r="K26" s="1">
        <f>IF(Signals_US!F26=1,Signals_US!Q26*Mapping!$E$11,IF(Signals_US!F26=-1,-Signals_US!R26*Mapping!$E$11,0))</f>
        <v>-1.666666666666667E-2</v>
      </c>
      <c r="L26" s="1">
        <f>IF(Signals_US!N26=1,Signals_US!Q26*Mapping!$E$12,IF(Signals_US!N26=-1,-Signals_US!R26*Mapping!$E$12,0))</f>
        <v>0</v>
      </c>
      <c r="M26" s="1">
        <f>IF(Signals_US!I26=1,Signals_US!Q26*Mapping!$E$13,IF(Signals_US!I26=-1,-Signals_US!R26*Mapping!$E$13,0))</f>
        <v>0</v>
      </c>
      <c r="N26" s="1">
        <f>0</f>
        <v>0</v>
      </c>
      <c r="O26" s="1">
        <f>0</f>
        <v>0</v>
      </c>
      <c r="P26" s="1">
        <f>IF(Signals_US!E26=1,Signals_US!Q26*Mapping!$E$16,IF(Signals_US!E26=-1,-Signals_US!R26*Mapping!$E$16,0))</f>
        <v>0</v>
      </c>
      <c r="Q26" s="1">
        <f>IF(Signals_US!J26=1,Signals_US!Q26*Mapping!$E$17,IF(Signals_US!J26=-1,-Signals_US!R26*Mapping!$E$17,0))</f>
        <v>-5.000000000000001E-2</v>
      </c>
      <c r="R26" s="1">
        <f>IF(Signals_US!K26=1,Signals_US!Q26*Mapping!$E$18,IF(Signals_US!K26=-1,-Signals_US!R26*Mapping!$E$18,0))</f>
        <v>0</v>
      </c>
      <c r="S26" s="1">
        <f>IF(Signals_US!M26=1,Signals_US!Q26*Mapping!$E$19,IF(Signals_US!M26=-1,-Signals_US!R26*Mapping!$E$19,0))</f>
        <v>0</v>
      </c>
      <c r="T26" s="1">
        <f>IF(Signals_US!L26=1,Signals_US!Q26*Mapping!$E$20,IF(Signals_US!L26=-1,-Signals_US!R26*Mapping!$E$20,0))</f>
        <v>5.000000000000001E-2</v>
      </c>
      <c r="U26" s="1">
        <f t="shared" si="0"/>
        <v>0</v>
      </c>
    </row>
    <row r="27" spans="1:21">
      <c r="A27" s="5">
        <f>Signals_US!B27</f>
        <v>39814</v>
      </c>
      <c r="B27" s="1">
        <f>0</f>
        <v>0</v>
      </c>
      <c r="C27" s="1">
        <f>IF(Signals_US!F27=1,Signals_US!Q27*Mapping!$E$3,IF(Signals_US!F27=-1,-Signals_US!R27*Mapping!$E$3,0))</f>
        <v>-1.666666666666667E-2</v>
      </c>
      <c r="D27" s="1">
        <f>IF(Signals_US!C27=1,Signals_US!Q27*Mapping!$E$4,IF(Signals_US!C27=-1,-Signals_US!R27*Mapping!$E$4,0))</f>
        <v>-1.666666666666667E-2</v>
      </c>
      <c r="E27" s="1">
        <f>IF(Signals_US!C27=1,Signals_US!Q27*Mapping!$E$5,IF(Signals_US!C27=-1,-Signals_US!R27*Mapping!$E$5,0))</f>
        <v>-1.666666666666667E-2</v>
      </c>
      <c r="F27" s="1">
        <f>IF(Signals_US!C27=1,Signals_US!Q27*Mapping!$E$6,IF(Signals_US!C27=-1,-Signals_US!R27*Mapping!$E$6,0))</f>
        <v>-1.666666666666667E-2</v>
      </c>
      <c r="G27" s="1">
        <f>IF(Signals_US!F27=1,Signals_US!Q27*Mapping!$E$7,IF(Signals_US!F27=-1,-Signals_US!R27*Mapping!$E$7,0))</f>
        <v>-1.666666666666667E-2</v>
      </c>
      <c r="H27" s="1">
        <f>IF(Signals_US!D27=1,Signals_US!Q27*Mapping!$E$8,IF(Signals_US!D27=-1,-Signals_US!R27*Mapping!$E$8,0))</f>
        <v>5.000000000000001E-2</v>
      </c>
      <c r="I27" s="1">
        <f>IF(Signals_US!G27=1,Signals_US!Q27*Mapping!$E$9,IF(Signals_US!G27=-1,-Signals_US!R27*Mapping!$E$9,0))</f>
        <v>5.000000000000001E-2</v>
      </c>
      <c r="J27" s="1">
        <f>IF(Signals_US!H27=1,Signals_US!Q27*Mapping!$E$10,IF(Signals_US!H27=-1,-Signals_US!R27*Mapping!$E$10,0))</f>
        <v>0</v>
      </c>
      <c r="K27" s="1">
        <f>IF(Signals_US!F27=1,Signals_US!Q27*Mapping!$E$11,IF(Signals_US!F27=-1,-Signals_US!R27*Mapping!$E$11,0))</f>
        <v>-1.666666666666667E-2</v>
      </c>
      <c r="L27" s="1">
        <f>IF(Signals_US!N27=1,Signals_US!Q27*Mapping!$E$12,IF(Signals_US!N27=-1,-Signals_US!R27*Mapping!$E$12,0))</f>
        <v>0</v>
      </c>
      <c r="M27" s="1">
        <f>IF(Signals_US!I27=1,Signals_US!Q27*Mapping!$E$13,IF(Signals_US!I27=-1,-Signals_US!R27*Mapping!$E$13,0))</f>
        <v>0</v>
      </c>
      <c r="N27" s="1">
        <f>0</f>
        <v>0</v>
      </c>
      <c r="O27" s="1">
        <f>0</f>
        <v>0</v>
      </c>
      <c r="P27" s="1">
        <f>IF(Signals_US!E27=1,Signals_US!Q27*Mapping!$E$16,IF(Signals_US!E27=-1,-Signals_US!R27*Mapping!$E$16,0))</f>
        <v>5.000000000000001E-2</v>
      </c>
      <c r="Q27" s="1">
        <f>IF(Signals_US!J27=1,Signals_US!Q27*Mapping!$E$17,IF(Signals_US!J27=-1,-Signals_US!R27*Mapping!$E$17,0))</f>
        <v>-5.000000000000001E-2</v>
      </c>
      <c r="R27" s="1">
        <f>IF(Signals_US!K27=1,Signals_US!Q27*Mapping!$E$18,IF(Signals_US!K27=-1,-Signals_US!R27*Mapping!$E$18,0))</f>
        <v>0</v>
      </c>
      <c r="S27" s="1">
        <f>IF(Signals_US!M27=1,Signals_US!Q27*Mapping!$E$19,IF(Signals_US!M27=-1,-Signals_US!R27*Mapping!$E$19,0))</f>
        <v>0</v>
      </c>
      <c r="T27" s="1">
        <f>IF(Signals_US!L27=1,Signals_US!Q27*Mapping!$E$20,IF(Signals_US!L27=-1,-Signals_US!R27*Mapping!$E$20,0))</f>
        <v>0</v>
      </c>
      <c r="U27" s="1">
        <f t="shared" si="0"/>
        <v>0</v>
      </c>
    </row>
    <row r="28" spans="1:21">
      <c r="A28" s="5">
        <f>Signals_US!B28</f>
        <v>39845</v>
      </c>
      <c r="B28" s="1">
        <f>0</f>
        <v>0</v>
      </c>
      <c r="C28" s="1">
        <f>IF(Signals_US!F28=1,Signals_US!Q28*Mapping!$E$3,IF(Signals_US!F28=-1,-Signals_US!R28*Mapping!$E$3,0))</f>
        <v>-1.666666666666667E-2</v>
      </c>
      <c r="D28" s="1">
        <f>IF(Signals_US!C28=1,Signals_US!Q28*Mapping!$E$4,IF(Signals_US!C28=-1,-Signals_US!R28*Mapping!$E$4,0))</f>
        <v>-1.666666666666667E-2</v>
      </c>
      <c r="E28" s="1">
        <f>IF(Signals_US!C28=1,Signals_US!Q28*Mapping!$E$5,IF(Signals_US!C28=-1,-Signals_US!R28*Mapping!$E$5,0))</f>
        <v>-1.666666666666667E-2</v>
      </c>
      <c r="F28" s="1">
        <f>IF(Signals_US!C28=1,Signals_US!Q28*Mapping!$E$6,IF(Signals_US!C28=-1,-Signals_US!R28*Mapping!$E$6,0))</f>
        <v>-1.666666666666667E-2</v>
      </c>
      <c r="G28" s="1">
        <f>IF(Signals_US!F28=1,Signals_US!Q28*Mapping!$E$7,IF(Signals_US!F28=-1,-Signals_US!R28*Mapping!$E$7,0))</f>
        <v>-1.666666666666667E-2</v>
      </c>
      <c r="H28" s="1">
        <f>IF(Signals_US!D28=1,Signals_US!Q28*Mapping!$E$8,IF(Signals_US!D28=-1,-Signals_US!R28*Mapping!$E$8,0))</f>
        <v>5.000000000000001E-2</v>
      </c>
      <c r="I28" s="1">
        <f>IF(Signals_US!G28=1,Signals_US!Q28*Mapping!$E$9,IF(Signals_US!G28=-1,-Signals_US!R28*Mapping!$E$9,0))</f>
        <v>5.000000000000001E-2</v>
      </c>
      <c r="J28" s="1">
        <f>IF(Signals_US!H28=1,Signals_US!Q28*Mapping!$E$10,IF(Signals_US!H28=-1,-Signals_US!R28*Mapping!$E$10,0))</f>
        <v>-5.000000000000001E-2</v>
      </c>
      <c r="K28" s="1">
        <f>IF(Signals_US!F28=1,Signals_US!Q28*Mapping!$E$11,IF(Signals_US!F28=-1,-Signals_US!R28*Mapping!$E$11,0))</f>
        <v>-1.666666666666667E-2</v>
      </c>
      <c r="L28" s="1">
        <f>IF(Signals_US!N28=1,Signals_US!Q28*Mapping!$E$12,IF(Signals_US!N28=-1,-Signals_US!R28*Mapping!$E$12,0))</f>
        <v>0</v>
      </c>
      <c r="M28" s="1">
        <f>IF(Signals_US!I28=1,Signals_US!Q28*Mapping!$E$13,IF(Signals_US!I28=-1,-Signals_US!R28*Mapping!$E$13,0))</f>
        <v>0</v>
      </c>
      <c r="N28" s="1">
        <f>0</f>
        <v>0</v>
      </c>
      <c r="O28" s="1">
        <f>0</f>
        <v>0</v>
      </c>
      <c r="P28" s="1">
        <f>IF(Signals_US!E28=1,Signals_US!Q28*Mapping!$E$16,IF(Signals_US!E28=-1,-Signals_US!R28*Mapping!$E$16,0))</f>
        <v>5.000000000000001E-2</v>
      </c>
      <c r="Q28" s="1">
        <f>IF(Signals_US!J28=1,Signals_US!Q28*Mapping!$E$17,IF(Signals_US!J28=-1,-Signals_US!R28*Mapping!$E$17,0))</f>
        <v>0</v>
      </c>
      <c r="R28" s="1">
        <f>IF(Signals_US!K28=1,Signals_US!Q28*Mapping!$E$18,IF(Signals_US!K28=-1,-Signals_US!R28*Mapping!$E$18,0))</f>
        <v>0</v>
      </c>
      <c r="S28" s="1">
        <f>IF(Signals_US!M28=1,Signals_US!Q28*Mapping!$E$19,IF(Signals_US!M28=-1,-Signals_US!R28*Mapping!$E$19,0))</f>
        <v>0</v>
      </c>
      <c r="T28" s="1">
        <f>IF(Signals_US!L28=1,Signals_US!Q28*Mapping!$E$20,IF(Signals_US!L28=-1,-Signals_US!R28*Mapping!$E$20,0))</f>
        <v>0</v>
      </c>
      <c r="U28" s="1">
        <f t="shared" si="0"/>
        <v>0</v>
      </c>
    </row>
    <row r="29" spans="1:21">
      <c r="A29" s="5">
        <f>Signals_US!B29</f>
        <v>39873</v>
      </c>
      <c r="B29" s="1">
        <f>0</f>
        <v>0</v>
      </c>
      <c r="C29" s="1">
        <f>IF(Signals_US!F29=1,Signals_US!Q29*Mapping!$E$3,IF(Signals_US!F29=-1,-Signals_US!R29*Mapping!$E$3,0))</f>
        <v>-1.666666666666667E-2</v>
      </c>
      <c r="D29" s="1">
        <f>IF(Signals_US!C29=1,Signals_US!Q29*Mapping!$E$4,IF(Signals_US!C29=-1,-Signals_US!R29*Mapping!$E$4,0))</f>
        <v>-1.666666666666667E-2</v>
      </c>
      <c r="E29" s="1">
        <f>IF(Signals_US!C29=1,Signals_US!Q29*Mapping!$E$5,IF(Signals_US!C29=-1,-Signals_US!R29*Mapping!$E$5,0))</f>
        <v>-1.666666666666667E-2</v>
      </c>
      <c r="F29" s="1">
        <f>IF(Signals_US!C29=1,Signals_US!Q29*Mapping!$E$6,IF(Signals_US!C29=-1,-Signals_US!R29*Mapping!$E$6,0))</f>
        <v>-1.666666666666667E-2</v>
      </c>
      <c r="G29" s="1">
        <f>IF(Signals_US!F29=1,Signals_US!Q29*Mapping!$E$7,IF(Signals_US!F29=-1,-Signals_US!R29*Mapping!$E$7,0))</f>
        <v>-1.666666666666667E-2</v>
      </c>
      <c r="H29" s="1">
        <f>IF(Signals_US!D29=1,Signals_US!Q29*Mapping!$E$8,IF(Signals_US!D29=-1,-Signals_US!R29*Mapping!$E$8,0))</f>
        <v>0</v>
      </c>
      <c r="I29" s="1">
        <f>IF(Signals_US!G29=1,Signals_US!Q29*Mapping!$E$9,IF(Signals_US!G29=-1,-Signals_US!R29*Mapping!$E$9,0))</f>
        <v>5.000000000000001E-2</v>
      </c>
      <c r="J29" s="1">
        <f>IF(Signals_US!H29=1,Signals_US!Q29*Mapping!$E$10,IF(Signals_US!H29=-1,-Signals_US!R29*Mapping!$E$10,0))</f>
        <v>0</v>
      </c>
      <c r="K29" s="1">
        <f>IF(Signals_US!F29=1,Signals_US!Q29*Mapping!$E$11,IF(Signals_US!F29=-1,-Signals_US!R29*Mapping!$E$11,0))</f>
        <v>-1.666666666666667E-2</v>
      </c>
      <c r="L29" s="1">
        <f>IF(Signals_US!N29=1,Signals_US!Q29*Mapping!$E$12,IF(Signals_US!N29=-1,-Signals_US!R29*Mapping!$E$12,0))</f>
        <v>-5.000000000000001E-2</v>
      </c>
      <c r="M29" s="1">
        <f>IF(Signals_US!I29=1,Signals_US!Q29*Mapping!$E$13,IF(Signals_US!I29=-1,-Signals_US!R29*Mapping!$E$13,0))</f>
        <v>0</v>
      </c>
      <c r="N29" s="1">
        <f>0</f>
        <v>0</v>
      </c>
      <c r="O29" s="1">
        <f>0</f>
        <v>0</v>
      </c>
      <c r="P29" s="1">
        <f>IF(Signals_US!E29=1,Signals_US!Q29*Mapping!$E$16,IF(Signals_US!E29=-1,-Signals_US!R29*Mapping!$E$16,0))</f>
        <v>5.000000000000001E-2</v>
      </c>
      <c r="Q29" s="1">
        <f>IF(Signals_US!J29=1,Signals_US!Q29*Mapping!$E$17,IF(Signals_US!J29=-1,-Signals_US!R29*Mapping!$E$17,0))</f>
        <v>0</v>
      </c>
      <c r="R29" s="1">
        <f>IF(Signals_US!K29=1,Signals_US!Q29*Mapping!$E$18,IF(Signals_US!K29=-1,-Signals_US!R29*Mapping!$E$18,0))</f>
        <v>0</v>
      </c>
      <c r="S29" s="1">
        <f>IF(Signals_US!M29=1,Signals_US!Q29*Mapping!$E$19,IF(Signals_US!M29=-1,-Signals_US!R29*Mapping!$E$19,0))</f>
        <v>0</v>
      </c>
      <c r="T29" s="1">
        <f>IF(Signals_US!L29=1,Signals_US!Q29*Mapping!$E$20,IF(Signals_US!L29=-1,-Signals_US!R29*Mapping!$E$20,0))</f>
        <v>5.000000000000001E-2</v>
      </c>
      <c r="U29" s="1">
        <f t="shared" si="0"/>
        <v>0</v>
      </c>
    </row>
    <row r="30" spans="1:21">
      <c r="A30" s="5">
        <f>Signals_US!B30</f>
        <v>39904</v>
      </c>
      <c r="B30" s="1">
        <f>0</f>
        <v>0</v>
      </c>
      <c r="C30" s="1">
        <f>IF(Signals_US!F30=1,Signals_US!Q30*Mapping!$E$3,IF(Signals_US!F30=-1,-Signals_US!R30*Mapping!$E$3,0))</f>
        <v>-1.666666666666667E-2</v>
      </c>
      <c r="D30" s="1">
        <f>IF(Signals_US!C30=1,Signals_US!Q30*Mapping!$E$4,IF(Signals_US!C30=-1,-Signals_US!R30*Mapping!$E$4,0))</f>
        <v>-1.666666666666667E-2</v>
      </c>
      <c r="E30" s="1">
        <f>IF(Signals_US!C30=1,Signals_US!Q30*Mapping!$E$5,IF(Signals_US!C30=-1,-Signals_US!R30*Mapping!$E$5,0))</f>
        <v>-1.666666666666667E-2</v>
      </c>
      <c r="F30" s="1">
        <f>IF(Signals_US!C30=1,Signals_US!Q30*Mapping!$E$6,IF(Signals_US!C30=-1,-Signals_US!R30*Mapping!$E$6,0))</f>
        <v>-1.666666666666667E-2</v>
      </c>
      <c r="G30" s="1">
        <f>IF(Signals_US!F30=1,Signals_US!Q30*Mapping!$E$7,IF(Signals_US!F30=-1,-Signals_US!R30*Mapping!$E$7,0))</f>
        <v>-1.666666666666667E-2</v>
      </c>
      <c r="H30" s="1">
        <f>IF(Signals_US!D30=1,Signals_US!Q30*Mapping!$E$8,IF(Signals_US!D30=-1,-Signals_US!R30*Mapping!$E$8,0))</f>
        <v>0</v>
      </c>
      <c r="I30" s="1">
        <f>IF(Signals_US!G30=1,Signals_US!Q30*Mapping!$E$9,IF(Signals_US!G30=-1,-Signals_US!R30*Mapping!$E$9,0))</f>
        <v>5.000000000000001E-2</v>
      </c>
      <c r="J30" s="1">
        <f>IF(Signals_US!H30=1,Signals_US!Q30*Mapping!$E$10,IF(Signals_US!H30=-1,-Signals_US!R30*Mapping!$E$10,0))</f>
        <v>-5.000000000000001E-2</v>
      </c>
      <c r="K30" s="1">
        <f>IF(Signals_US!F30=1,Signals_US!Q30*Mapping!$E$11,IF(Signals_US!F30=-1,-Signals_US!R30*Mapping!$E$11,0))</f>
        <v>-1.666666666666667E-2</v>
      </c>
      <c r="L30" s="1">
        <f>IF(Signals_US!N30=1,Signals_US!Q30*Mapping!$E$12,IF(Signals_US!N30=-1,-Signals_US!R30*Mapping!$E$12,0))</f>
        <v>0</v>
      </c>
      <c r="M30" s="1">
        <f>IF(Signals_US!I30=1,Signals_US!Q30*Mapping!$E$13,IF(Signals_US!I30=-1,-Signals_US!R30*Mapping!$E$13,0))</f>
        <v>0</v>
      </c>
      <c r="N30" s="1">
        <f>0</f>
        <v>0</v>
      </c>
      <c r="O30" s="1">
        <f>0</f>
        <v>0</v>
      </c>
      <c r="P30" s="1">
        <f>IF(Signals_US!E30=1,Signals_US!Q30*Mapping!$E$16,IF(Signals_US!E30=-1,-Signals_US!R30*Mapping!$E$16,0))</f>
        <v>0</v>
      </c>
      <c r="Q30" s="1">
        <f>IF(Signals_US!J30=1,Signals_US!Q30*Mapping!$E$17,IF(Signals_US!J30=-1,-Signals_US!R30*Mapping!$E$17,0))</f>
        <v>5.000000000000001E-2</v>
      </c>
      <c r="R30" s="1">
        <f>IF(Signals_US!K30=1,Signals_US!Q30*Mapping!$E$18,IF(Signals_US!K30=-1,-Signals_US!R30*Mapping!$E$18,0))</f>
        <v>5.000000000000001E-2</v>
      </c>
      <c r="S30" s="1">
        <f>IF(Signals_US!M30=1,Signals_US!Q30*Mapping!$E$19,IF(Signals_US!M30=-1,-Signals_US!R30*Mapping!$E$19,0))</f>
        <v>0</v>
      </c>
      <c r="T30" s="1">
        <f>IF(Signals_US!L30=1,Signals_US!Q30*Mapping!$E$20,IF(Signals_US!L30=-1,-Signals_US!R30*Mapping!$E$20,0))</f>
        <v>0</v>
      </c>
      <c r="U30" s="1">
        <f t="shared" si="0"/>
        <v>0</v>
      </c>
    </row>
    <row r="31" spans="1:21">
      <c r="A31" s="5">
        <f>Signals_US!B31</f>
        <v>39934</v>
      </c>
      <c r="B31" s="1">
        <f>0</f>
        <v>0</v>
      </c>
      <c r="C31" s="1">
        <f>IF(Signals_US!F31=1,Signals_US!Q31*Mapping!$E$3,IF(Signals_US!F31=-1,-Signals_US!R31*Mapping!$E$3,0))</f>
        <v>-1.666666666666667E-2</v>
      </c>
      <c r="D31" s="1">
        <f>IF(Signals_US!C31=1,Signals_US!Q31*Mapping!$E$4,IF(Signals_US!C31=-1,-Signals_US!R31*Mapping!$E$4,0))</f>
        <v>-1.666666666666667E-2</v>
      </c>
      <c r="E31" s="1">
        <f>IF(Signals_US!C31=1,Signals_US!Q31*Mapping!$E$5,IF(Signals_US!C31=-1,-Signals_US!R31*Mapping!$E$5,0))</f>
        <v>-1.666666666666667E-2</v>
      </c>
      <c r="F31" s="1">
        <f>IF(Signals_US!C31=1,Signals_US!Q31*Mapping!$E$6,IF(Signals_US!C31=-1,-Signals_US!R31*Mapping!$E$6,0))</f>
        <v>-1.666666666666667E-2</v>
      </c>
      <c r="G31" s="1">
        <f>IF(Signals_US!F31=1,Signals_US!Q31*Mapping!$E$7,IF(Signals_US!F31=-1,-Signals_US!R31*Mapping!$E$7,0))</f>
        <v>-1.666666666666667E-2</v>
      </c>
      <c r="H31" s="1">
        <f>IF(Signals_US!D31=1,Signals_US!Q31*Mapping!$E$8,IF(Signals_US!D31=-1,-Signals_US!R31*Mapping!$E$8,0))</f>
        <v>0</v>
      </c>
      <c r="I31" s="1">
        <f>IF(Signals_US!G31=1,Signals_US!Q31*Mapping!$E$9,IF(Signals_US!G31=-1,-Signals_US!R31*Mapping!$E$9,0))</f>
        <v>5.000000000000001E-2</v>
      </c>
      <c r="J31" s="1">
        <f>IF(Signals_US!H31=1,Signals_US!Q31*Mapping!$E$10,IF(Signals_US!H31=-1,-Signals_US!R31*Mapping!$E$10,0))</f>
        <v>-5.000000000000001E-2</v>
      </c>
      <c r="K31" s="1">
        <f>IF(Signals_US!F31=1,Signals_US!Q31*Mapping!$E$11,IF(Signals_US!F31=-1,-Signals_US!R31*Mapping!$E$11,0))</f>
        <v>-1.666666666666667E-2</v>
      </c>
      <c r="L31" s="1">
        <f>IF(Signals_US!N31=1,Signals_US!Q31*Mapping!$E$12,IF(Signals_US!N31=-1,-Signals_US!R31*Mapping!$E$12,0))</f>
        <v>0</v>
      </c>
      <c r="M31" s="1">
        <f>IF(Signals_US!I31=1,Signals_US!Q31*Mapping!$E$13,IF(Signals_US!I31=-1,-Signals_US!R31*Mapping!$E$13,0))</f>
        <v>0</v>
      </c>
      <c r="N31" s="1">
        <f>0</f>
        <v>0</v>
      </c>
      <c r="O31" s="1">
        <f>0</f>
        <v>0</v>
      </c>
      <c r="P31" s="1">
        <f>IF(Signals_US!E31=1,Signals_US!Q31*Mapping!$E$16,IF(Signals_US!E31=-1,-Signals_US!R31*Mapping!$E$16,0))</f>
        <v>5.000000000000001E-2</v>
      </c>
      <c r="Q31" s="1">
        <f>IF(Signals_US!J31=1,Signals_US!Q31*Mapping!$E$17,IF(Signals_US!J31=-1,-Signals_US!R31*Mapping!$E$17,0))</f>
        <v>5.000000000000001E-2</v>
      </c>
      <c r="R31" s="1">
        <f>IF(Signals_US!K31=1,Signals_US!Q31*Mapping!$E$18,IF(Signals_US!K31=-1,-Signals_US!R31*Mapping!$E$18,0))</f>
        <v>0</v>
      </c>
      <c r="S31" s="1">
        <f>IF(Signals_US!M31=1,Signals_US!Q31*Mapping!$E$19,IF(Signals_US!M31=-1,-Signals_US!R31*Mapping!$E$19,0))</f>
        <v>0</v>
      </c>
      <c r="T31" s="1">
        <f>IF(Signals_US!L31=1,Signals_US!Q31*Mapping!$E$20,IF(Signals_US!L31=-1,-Signals_US!R31*Mapping!$E$20,0))</f>
        <v>0</v>
      </c>
      <c r="U31" s="1">
        <f t="shared" si="0"/>
        <v>0</v>
      </c>
    </row>
    <row r="32" spans="1:21">
      <c r="A32" s="5">
        <f>Signals_US!B32</f>
        <v>39965</v>
      </c>
      <c r="B32" s="1">
        <f>0</f>
        <v>0</v>
      </c>
      <c r="C32" s="1">
        <f>IF(Signals_US!F32=1,Signals_US!Q32*Mapping!$E$3,IF(Signals_US!F32=-1,-Signals_US!R32*Mapping!$E$3,0))</f>
        <v>-1.666666666666667E-2</v>
      </c>
      <c r="D32" s="1">
        <f>IF(Signals_US!C32=1,Signals_US!Q32*Mapping!$E$4,IF(Signals_US!C32=-1,-Signals_US!R32*Mapping!$E$4,0))</f>
        <v>0</v>
      </c>
      <c r="E32" s="1">
        <f>IF(Signals_US!C32=1,Signals_US!Q32*Mapping!$E$5,IF(Signals_US!C32=-1,-Signals_US!R32*Mapping!$E$5,0))</f>
        <v>0</v>
      </c>
      <c r="F32" s="1">
        <f>IF(Signals_US!C32=1,Signals_US!Q32*Mapping!$E$6,IF(Signals_US!C32=-1,-Signals_US!R32*Mapping!$E$6,0))</f>
        <v>0</v>
      </c>
      <c r="G32" s="1">
        <f>IF(Signals_US!F32=1,Signals_US!Q32*Mapping!$E$7,IF(Signals_US!F32=-1,-Signals_US!R32*Mapping!$E$7,0))</f>
        <v>-1.666666666666667E-2</v>
      </c>
      <c r="H32" s="1">
        <f>IF(Signals_US!D32=1,Signals_US!Q32*Mapping!$E$8,IF(Signals_US!D32=-1,-Signals_US!R32*Mapping!$E$8,0))</f>
        <v>0</v>
      </c>
      <c r="I32" s="1">
        <f>IF(Signals_US!G32=1,Signals_US!Q32*Mapping!$E$9,IF(Signals_US!G32=-1,-Signals_US!R32*Mapping!$E$9,0))</f>
        <v>5.000000000000001E-2</v>
      </c>
      <c r="J32" s="1">
        <f>IF(Signals_US!H32=1,Signals_US!Q32*Mapping!$E$10,IF(Signals_US!H32=-1,-Signals_US!R32*Mapping!$E$10,0))</f>
        <v>0</v>
      </c>
      <c r="K32" s="1">
        <f>IF(Signals_US!F32=1,Signals_US!Q32*Mapping!$E$11,IF(Signals_US!F32=-1,-Signals_US!R32*Mapping!$E$11,0))</f>
        <v>-1.666666666666667E-2</v>
      </c>
      <c r="L32" s="1">
        <f>IF(Signals_US!N32=1,Signals_US!Q32*Mapping!$E$12,IF(Signals_US!N32=-1,-Signals_US!R32*Mapping!$E$12,0))</f>
        <v>0</v>
      </c>
      <c r="M32" s="1">
        <f>IF(Signals_US!I32=1,Signals_US!Q32*Mapping!$E$13,IF(Signals_US!I32=-1,-Signals_US!R32*Mapping!$E$13,0))</f>
        <v>-5.000000000000001E-2</v>
      </c>
      <c r="N32" s="1">
        <f>0</f>
        <v>0</v>
      </c>
      <c r="O32" s="1">
        <f>0</f>
        <v>0</v>
      </c>
      <c r="P32" s="1">
        <f>IF(Signals_US!E32=1,Signals_US!Q32*Mapping!$E$16,IF(Signals_US!E32=-1,-Signals_US!R32*Mapping!$E$16,0))</f>
        <v>5.000000000000001E-2</v>
      </c>
      <c r="Q32" s="1">
        <f>IF(Signals_US!J32=1,Signals_US!Q32*Mapping!$E$17,IF(Signals_US!J32=-1,-Signals_US!R32*Mapping!$E$17,0))</f>
        <v>5.000000000000001E-2</v>
      </c>
      <c r="R32" s="1">
        <f>IF(Signals_US!K32=1,Signals_US!Q32*Mapping!$E$18,IF(Signals_US!K32=-1,-Signals_US!R32*Mapping!$E$18,0))</f>
        <v>0</v>
      </c>
      <c r="S32" s="1">
        <f>IF(Signals_US!M32=1,Signals_US!Q32*Mapping!$E$19,IF(Signals_US!M32=-1,-Signals_US!R32*Mapping!$E$19,0))</f>
        <v>0</v>
      </c>
      <c r="T32" s="1">
        <f>IF(Signals_US!L32=1,Signals_US!Q32*Mapping!$E$20,IF(Signals_US!L32=-1,-Signals_US!R32*Mapping!$E$20,0))</f>
        <v>-5.000000000000001E-2</v>
      </c>
      <c r="U32" s="1">
        <f t="shared" si="0"/>
        <v>0</v>
      </c>
    </row>
    <row r="33" spans="1:21">
      <c r="A33" s="5">
        <f>Signals_US!B33</f>
        <v>39995</v>
      </c>
      <c r="B33" s="1">
        <f>0</f>
        <v>0</v>
      </c>
      <c r="C33" s="1">
        <f>IF(Signals_US!F33=1,Signals_US!Q33*Mapping!$E$3,IF(Signals_US!F33=-1,-Signals_US!R33*Mapping!$E$3,0))</f>
        <v>-1.666666666666667E-2</v>
      </c>
      <c r="D33" s="1">
        <f>IF(Signals_US!C33=1,Signals_US!Q33*Mapping!$E$4,IF(Signals_US!C33=-1,-Signals_US!R33*Mapping!$E$4,0))</f>
        <v>0</v>
      </c>
      <c r="E33" s="1">
        <f>IF(Signals_US!C33=1,Signals_US!Q33*Mapping!$E$5,IF(Signals_US!C33=-1,-Signals_US!R33*Mapping!$E$5,0))</f>
        <v>0</v>
      </c>
      <c r="F33" s="1">
        <f>IF(Signals_US!C33=1,Signals_US!Q33*Mapping!$E$6,IF(Signals_US!C33=-1,-Signals_US!R33*Mapping!$E$6,0))</f>
        <v>0</v>
      </c>
      <c r="G33" s="1">
        <f>IF(Signals_US!F33=1,Signals_US!Q33*Mapping!$E$7,IF(Signals_US!F33=-1,-Signals_US!R33*Mapping!$E$7,0))</f>
        <v>-1.666666666666667E-2</v>
      </c>
      <c r="H33" s="1">
        <f>IF(Signals_US!D33=1,Signals_US!Q33*Mapping!$E$8,IF(Signals_US!D33=-1,-Signals_US!R33*Mapping!$E$8,0))</f>
        <v>5.000000000000001E-2</v>
      </c>
      <c r="I33" s="1">
        <f>IF(Signals_US!G33=1,Signals_US!Q33*Mapping!$E$9,IF(Signals_US!G33=-1,-Signals_US!R33*Mapping!$E$9,0))</f>
        <v>0</v>
      </c>
      <c r="J33" s="1">
        <f>IF(Signals_US!H33=1,Signals_US!Q33*Mapping!$E$10,IF(Signals_US!H33=-1,-Signals_US!R33*Mapping!$E$10,0))</f>
        <v>-5.000000000000001E-2</v>
      </c>
      <c r="K33" s="1">
        <f>IF(Signals_US!F33=1,Signals_US!Q33*Mapping!$E$11,IF(Signals_US!F33=-1,-Signals_US!R33*Mapping!$E$11,0))</f>
        <v>-1.666666666666667E-2</v>
      </c>
      <c r="L33" s="1">
        <f>IF(Signals_US!N33=1,Signals_US!Q33*Mapping!$E$12,IF(Signals_US!N33=-1,-Signals_US!R33*Mapping!$E$12,0))</f>
        <v>0</v>
      </c>
      <c r="M33" s="1">
        <f>IF(Signals_US!I33=1,Signals_US!Q33*Mapping!$E$13,IF(Signals_US!I33=-1,-Signals_US!R33*Mapping!$E$13,0))</f>
        <v>0</v>
      </c>
      <c r="N33" s="1">
        <f>0</f>
        <v>0</v>
      </c>
      <c r="O33" s="1">
        <f>0</f>
        <v>0</v>
      </c>
      <c r="P33" s="1">
        <f>IF(Signals_US!E33=1,Signals_US!Q33*Mapping!$E$16,IF(Signals_US!E33=-1,-Signals_US!R33*Mapping!$E$16,0))</f>
        <v>5.000000000000001E-2</v>
      </c>
      <c r="Q33" s="1">
        <f>IF(Signals_US!J33=1,Signals_US!Q33*Mapping!$E$17,IF(Signals_US!J33=-1,-Signals_US!R33*Mapping!$E$17,0))</f>
        <v>5.000000000000001E-2</v>
      </c>
      <c r="R33" s="1">
        <f>IF(Signals_US!K33=1,Signals_US!Q33*Mapping!$E$18,IF(Signals_US!K33=-1,-Signals_US!R33*Mapping!$E$18,0))</f>
        <v>0</v>
      </c>
      <c r="S33" s="1">
        <f>IF(Signals_US!M33=1,Signals_US!Q33*Mapping!$E$19,IF(Signals_US!M33=-1,-Signals_US!R33*Mapping!$E$19,0))</f>
        <v>0</v>
      </c>
      <c r="T33" s="1">
        <f>IF(Signals_US!L33=1,Signals_US!Q33*Mapping!$E$20,IF(Signals_US!L33=-1,-Signals_US!R33*Mapping!$E$20,0))</f>
        <v>-5.000000000000001E-2</v>
      </c>
      <c r="U33" s="1">
        <f t="shared" si="0"/>
        <v>0</v>
      </c>
    </row>
    <row r="34" spans="1:21">
      <c r="A34" s="5">
        <f>Signals_US!B34</f>
        <v>40026</v>
      </c>
      <c r="B34" s="1">
        <f>0</f>
        <v>0</v>
      </c>
      <c r="C34" s="1">
        <f>IF(Signals_US!F34=1,Signals_US!Q34*Mapping!$E$3,IF(Signals_US!F34=-1,-Signals_US!R34*Mapping!$E$3,0))</f>
        <v>0</v>
      </c>
      <c r="D34" s="1">
        <f>IF(Signals_US!C34=1,Signals_US!Q34*Mapping!$E$4,IF(Signals_US!C34=-1,-Signals_US!R34*Mapping!$E$4,0))</f>
        <v>1.666666666666667E-2</v>
      </c>
      <c r="E34" s="1">
        <f>IF(Signals_US!C34=1,Signals_US!Q34*Mapping!$E$5,IF(Signals_US!C34=-1,-Signals_US!R34*Mapping!$E$5,0))</f>
        <v>1.666666666666667E-2</v>
      </c>
      <c r="F34" s="1">
        <f>IF(Signals_US!C34=1,Signals_US!Q34*Mapping!$E$6,IF(Signals_US!C34=-1,-Signals_US!R34*Mapping!$E$6,0))</f>
        <v>1.666666666666667E-2</v>
      </c>
      <c r="G34" s="1">
        <f>IF(Signals_US!F34=1,Signals_US!Q34*Mapping!$E$7,IF(Signals_US!F34=-1,-Signals_US!R34*Mapping!$E$7,0))</f>
        <v>0</v>
      </c>
      <c r="H34" s="1">
        <f>IF(Signals_US!D34=1,Signals_US!Q34*Mapping!$E$8,IF(Signals_US!D34=-1,-Signals_US!R34*Mapping!$E$8,0))</f>
        <v>0</v>
      </c>
      <c r="I34" s="1">
        <f>IF(Signals_US!G34=1,Signals_US!Q34*Mapping!$E$9,IF(Signals_US!G34=-1,-Signals_US!R34*Mapping!$E$9,0))</f>
        <v>0</v>
      </c>
      <c r="J34" s="1">
        <f>IF(Signals_US!H34=1,Signals_US!Q34*Mapping!$E$10,IF(Signals_US!H34=-1,-Signals_US!R34*Mapping!$E$10,0))</f>
        <v>0</v>
      </c>
      <c r="K34" s="1">
        <f>IF(Signals_US!F34=1,Signals_US!Q34*Mapping!$E$11,IF(Signals_US!F34=-1,-Signals_US!R34*Mapping!$E$11,0))</f>
        <v>0</v>
      </c>
      <c r="L34" s="1">
        <f>IF(Signals_US!N34=1,Signals_US!Q34*Mapping!$E$12,IF(Signals_US!N34=-1,-Signals_US!R34*Mapping!$E$12,0))</f>
        <v>0</v>
      </c>
      <c r="M34" s="1">
        <f>IF(Signals_US!I34=1,Signals_US!Q34*Mapping!$E$13,IF(Signals_US!I34=-1,-Signals_US!R34*Mapping!$E$13,0))</f>
        <v>-5.000000000000001E-2</v>
      </c>
      <c r="N34" s="1">
        <f>0</f>
        <v>0</v>
      </c>
      <c r="O34" s="1">
        <f>0</f>
        <v>0</v>
      </c>
      <c r="P34" s="1">
        <f>IF(Signals_US!E34=1,Signals_US!Q34*Mapping!$E$16,IF(Signals_US!E34=-1,-Signals_US!R34*Mapping!$E$16,0))</f>
        <v>5.000000000000001E-2</v>
      </c>
      <c r="Q34" s="1">
        <f>IF(Signals_US!J34=1,Signals_US!Q34*Mapping!$E$17,IF(Signals_US!J34=-1,-Signals_US!R34*Mapping!$E$17,0))</f>
        <v>5.000000000000001E-2</v>
      </c>
      <c r="R34" s="1">
        <f>IF(Signals_US!K34=1,Signals_US!Q34*Mapping!$E$18,IF(Signals_US!K34=-1,-Signals_US!R34*Mapping!$E$18,0))</f>
        <v>-5.000000000000001E-2</v>
      </c>
      <c r="S34" s="1">
        <f>IF(Signals_US!M34=1,Signals_US!Q34*Mapping!$E$19,IF(Signals_US!M34=-1,-Signals_US!R34*Mapping!$E$19,0))</f>
        <v>0</v>
      </c>
      <c r="T34" s="1">
        <f>IF(Signals_US!L34=1,Signals_US!Q34*Mapping!$E$20,IF(Signals_US!L34=-1,-Signals_US!R34*Mapping!$E$20,0))</f>
        <v>-5.000000000000001E-2</v>
      </c>
      <c r="U34" s="1">
        <f t="shared" si="0"/>
        <v>0</v>
      </c>
    </row>
    <row r="35" spans="1:21">
      <c r="A35" s="5">
        <f>Signals_US!B35</f>
        <v>40057</v>
      </c>
      <c r="B35" s="1">
        <f>0</f>
        <v>0</v>
      </c>
      <c r="C35" s="1">
        <f>IF(Signals_US!F35=1,Signals_US!Q35*Mapping!$E$3,IF(Signals_US!F35=-1,-Signals_US!R35*Mapping!$E$3,0))</f>
        <v>-1.666666666666667E-2</v>
      </c>
      <c r="D35" s="1">
        <f>IF(Signals_US!C35=1,Signals_US!Q35*Mapping!$E$4,IF(Signals_US!C35=-1,-Signals_US!R35*Mapping!$E$4,0))</f>
        <v>1.666666666666667E-2</v>
      </c>
      <c r="E35" s="1">
        <f>IF(Signals_US!C35=1,Signals_US!Q35*Mapping!$E$5,IF(Signals_US!C35=-1,-Signals_US!R35*Mapping!$E$5,0))</f>
        <v>1.666666666666667E-2</v>
      </c>
      <c r="F35" s="1">
        <f>IF(Signals_US!C35=1,Signals_US!Q35*Mapping!$E$6,IF(Signals_US!C35=-1,-Signals_US!R35*Mapping!$E$6,0))</f>
        <v>1.666666666666667E-2</v>
      </c>
      <c r="G35" s="1">
        <f>IF(Signals_US!F35=1,Signals_US!Q35*Mapping!$E$7,IF(Signals_US!F35=-1,-Signals_US!R35*Mapping!$E$7,0))</f>
        <v>-1.666666666666667E-2</v>
      </c>
      <c r="H35" s="1">
        <f>IF(Signals_US!D35=1,Signals_US!Q35*Mapping!$E$8,IF(Signals_US!D35=-1,-Signals_US!R35*Mapping!$E$8,0))</f>
        <v>0</v>
      </c>
      <c r="I35" s="1">
        <f>IF(Signals_US!G35=1,Signals_US!Q35*Mapping!$E$9,IF(Signals_US!G35=-1,-Signals_US!R35*Mapping!$E$9,0))</f>
        <v>0</v>
      </c>
      <c r="J35" s="1">
        <f>IF(Signals_US!H35=1,Signals_US!Q35*Mapping!$E$10,IF(Signals_US!H35=-1,-Signals_US!R35*Mapping!$E$10,0))</f>
        <v>-5.000000000000001E-2</v>
      </c>
      <c r="K35" s="1">
        <f>IF(Signals_US!F35=1,Signals_US!Q35*Mapping!$E$11,IF(Signals_US!F35=-1,-Signals_US!R35*Mapping!$E$11,0))</f>
        <v>-1.666666666666667E-2</v>
      </c>
      <c r="L35" s="1">
        <f>IF(Signals_US!N35=1,Signals_US!Q35*Mapping!$E$12,IF(Signals_US!N35=-1,-Signals_US!R35*Mapping!$E$12,0))</f>
        <v>0</v>
      </c>
      <c r="M35" s="1">
        <f>IF(Signals_US!I35=1,Signals_US!Q35*Mapping!$E$13,IF(Signals_US!I35=-1,-Signals_US!R35*Mapping!$E$13,0))</f>
        <v>0</v>
      </c>
      <c r="N35" s="1">
        <f>0</f>
        <v>0</v>
      </c>
      <c r="O35" s="1">
        <f>0</f>
        <v>0</v>
      </c>
      <c r="P35" s="1">
        <f>IF(Signals_US!E35=1,Signals_US!Q35*Mapping!$E$16,IF(Signals_US!E35=-1,-Signals_US!R35*Mapping!$E$16,0))</f>
        <v>5.000000000000001E-2</v>
      </c>
      <c r="Q35" s="1">
        <f>IF(Signals_US!J35=1,Signals_US!Q35*Mapping!$E$17,IF(Signals_US!J35=-1,-Signals_US!R35*Mapping!$E$17,0))</f>
        <v>5.000000000000001E-2</v>
      </c>
      <c r="R35" s="1">
        <f>IF(Signals_US!K35=1,Signals_US!Q35*Mapping!$E$18,IF(Signals_US!K35=-1,-Signals_US!R35*Mapping!$E$18,0))</f>
        <v>-5.000000000000001E-2</v>
      </c>
      <c r="S35" s="1">
        <f>IF(Signals_US!M35=1,Signals_US!Q35*Mapping!$E$19,IF(Signals_US!M35=-1,-Signals_US!R35*Mapping!$E$19,0))</f>
        <v>0</v>
      </c>
      <c r="T35" s="1">
        <f>IF(Signals_US!L35=1,Signals_US!Q35*Mapping!$E$20,IF(Signals_US!L35=-1,-Signals_US!R35*Mapping!$E$20,0))</f>
        <v>0</v>
      </c>
      <c r="U35" s="1">
        <f t="shared" si="0"/>
        <v>0</v>
      </c>
    </row>
    <row r="36" spans="1:21">
      <c r="A36" s="5">
        <f>Signals_US!B36</f>
        <v>40087</v>
      </c>
      <c r="B36" s="1">
        <f>0</f>
        <v>0</v>
      </c>
      <c r="C36" s="1">
        <f>IF(Signals_US!F36=1,Signals_US!Q36*Mapping!$E$3,IF(Signals_US!F36=-1,-Signals_US!R36*Mapping!$E$3,0))</f>
        <v>0</v>
      </c>
      <c r="D36" s="1">
        <f>IF(Signals_US!C36=1,Signals_US!Q36*Mapping!$E$4,IF(Signals_US!C36=-1,-Signals_US!R36*Mapping!$E$4,0))</f>
        <v>1.666666666666667E-2</v>
      </c>
      <c r="E36" s="1">
        <f>IF(Signals_US!C36=1,Signals_US!Q36*Mapping!$E$5,IF(Signals_US!C36=-1,-Signals_US!R36*Mapping!$E$5,0))</f>
        <v>1.666666666666667E-2</v>
      </c>
      <c r="F36" s="1">
        <f>IF(Signals_US!C36=1,Signals_US!Q36*Mapping!$E$6,IF(Signals_US!C36=-1,-Signals_US!R36*Mapping!$E$6,0))</f>
        <v>1.666666666666667E-2</v>
      </c>
      <c r="G36" s="1">
        <f>IF(Signals_US!F36=1,Signals_US!Q36*Mapping!$E$7,IF(Signals_US!F36=-1,-Signals_US!R36*Mapping!$E$7,0))</f>
        <v>0</v>
      </c>
      <c r="H36" s="1">
        <f>IF(Signals_US!D36=1,Signals_US!Q36*Mapping!$E$8,IF(Signals_US!D36=-1,-Signals_US!R36*Mapping!$E$8,0))</f>
        <v>0</v>
      </c>
      <c r="I36" s="1">
        <f>IF(Signals_US!G36=1,Signals_US!Q36*Mapping!$E$9,IF(Signals_US!G36=-1,-Signals_US!R36*Mapping!$E$9,0))</f>
        <v>0</v>
      </c>
      <c r="J36" s="1">
        <f>IF(Signals_US!H36=1,Signals_US!Q36*Mapping!$E$10,IF(Signals_US!H36=-1,-Signals_US!R36*Mapping!$E$10,0))</f>
        <v>0</v>
      </c>
      <c r="K36" s="1">
        <f>IF(Signals_US!F36=1,Signals_US!Q36*Mapping!$E$11,IF(Signals_US!F36=-1,-Signals_US!R36*Mapping!$E$11,0))</f>
        <v>0</v>
      </c>
      <c r="L36" s="1">
        <f>IF(Signals_US!N36=1,Signals_US!Q36*Mapping!$E$12,IF(Signals_US!N36=-1,-Signals_US!R36*Mapping!$E$12,0))</f>
        <v>0</v>
      </c>
      <c r="M36" s="1">
        <f>IF(Signals_US!I36=1,Signals_US!Q36*Mapping!$E$13,IF(Signals_US!I36=-1,-Signals_US!R36*Mapping!$E$13,0))</f>
        <v>-5.000000000000001E-2</v>
      </c>
      <c r="N36" s="1">
        <f>0</f>
        <v>0</v>
      </c>
      <c r="O36" s="1">
        <f>0</f>
        <v>0</v>
      </c>
      <c r="P36" s="1">
        <f>IF(Signals_US!E36=1,Signals_US!Q36*Mapping!$E$16,IF(Signals_US!E36=-1,-Signals_US!R36*Mapping!$E$16,0))</f>
        <v>0</v>
      </c>
      <c r="Q36" s="1">
        <f>IF(Signals_US!J36=1,Signals_US!Q36*Mapping!$E$17,IF(Signals_US!J36=-1,-Signals_US!R36*Mapping!$E$17,0))</f>
        <v>5.000000000000001E-2</v>
      </c>
      <c r="R36" s="1">
        <f>IF(Signals_US!K36=1,Signals_US!Q36*Mapping!$E$18,IF(Signals_US!K36=-1,-Signals_US!R36*Mapping!$E$18,0))</f>
        <v>-5.000000000000001E-2</v>
      </c>
      <c r="S36" s="1">
        <f>IF(Signals_US!M36=1,Signals_US!Q36*Mapping!$E$19,IF(Signals_US!M36=-1,-Signals_US!R36*Mapping!$E$19,0))</f>
        <v>5.000000000000001E-2</v>
      </c>
      <c r="T36" s="1">
        <f>IF(Signals_US!L36=1,Signals_US!Q36*Mapping!$E$20,IF(Signals_US!L36=-1,-Signals_US!R36*Mapping!$E$20,0))</f>
        <v>-5.000000000000001E-2</v>
      </c>
      <c r="U36" s="1">
        <f t="shared" si="0"/>
        <v>0</v>
      </c>
    </row>
    <row r="37" spans="1:21">
      <c r="A37" s="5">
        <f>Signals_US!B37</f>
        <v>40118</v>
      </c>
      <c r="B37" s="1">
        <f>0</f>
        <v>0</v>
      </c>
      <c r="C37" s="1">
        <f>IF(Signals_US!F37=1,Signals_US!Q37*Mapping!$E$3,IF(Signals_US!F37=-1,-Signals_US!R37*Mapping!$E$3,0))</f>
        <v>0</v>
      </c>
      <c r="D37" s="1">
        <f>IF(Signals_US!C37=1,Signals_US!Q37*Mapping!$E$4,IF(Signals_US!C37=-1,-Signals_US!R37*Mapping!$E$4,0))</f>
        <v>1.666666666666667E-2</v>
      </c>
      <c r="E37" s="1">
        <f>IF(Signals_US!C37=1,Signals_US!Q37*Mapping!$E$5,IF(Signals_US!C37=-1,-Signals_US!R37*Mapping!$E$5,0))</f>
        <v>1.666666666666667E-2</v>
      </c>
      <c r="F37" s="1">
        <f>IF(Signals_US!C37=1,Signals_US!Q37*Mapping!$E$6,IF(Signals_US!C37=-1,-Signals_US!R37*Mapping!$E$6,0))</f>
        <v>1.666666666666667E-2</v>
      </c>
      <c r="G37" s="1">
        <f>IF(Signals_US!F37=1,Signals_US!Q37*Mapping!$E$7,IF(Signals_US!F37=-1,-Signals_US!R37*Mapping!$E$7,0))</f>
        <v>0</v>
      </c>
      <c r="H37" s="1">
        <f>IF(Signals_US!D37=1,Signals_US!Q37*Mapping!$E$8,IF(Signals_US!D37=-1,-Signals_US!R37*Mapping!$E$8,0))</f>
        <v>0</v>
      </c>
      <c r="I37" s="1">
        <f>IF(Signals_US!G37=1,Signals_US!Q37*Mapping!$E$9,IF(Signals_US!G37=-1,-Signals_US!R37*Mapping!$E$9,0))</f>
        <v>0</v>
      </c>
      <c r="J37" s="1">
        <f>IF(Signals_US!H37=1,Signals_US!Q37*Mapping!$E$10,IF(Signals_US!H37=-1,-Signals_US!R37*Mapping!$E$10,0))</f>
        <v>0</v>
      </c>
      <c r="K37" s="1">
        <f>IF(Signals_US!F37=1,Signals_US!Q37*Mapping!$E$11,IF(Signals_US!F37=-1,-Signals_US!R37*Mapping!$E$11,0))</f>
        <v>0</v>
      </c>
      <c r="L37" s="1">
        <f>IF(Signals_US!N37=1,Signals_US!Q37*Mapping!$E$12,IF(Signals_US!N37=-1,-Signals_US!R37*Mapping!$E$12,0))</f>
        <v>5.000000000000001E-2</v>
      </c>
      <c r="M37" s="1">
        <f>IF(Signals_US!I37=1,Signals_US!Q37*Mapping!$E$13,IF(Signals_US!I37=-1,-Signals_US!R37*Mapping!$E$13,0))</f>
        <v>-5.000000000000001E-2</v>
      </c>
      <c r="N37" s="1">
        <f>0</f>
        <v>0</v>
      </c>
      <c r="O37" s="1">
        <f>0</f>
        <v>0</v>
      </c>
      <c r="P37" s="1">
        <f>IF(Signals_US!E37=1,Signals_US!Q37*Mapping!$E$16,IF(Signals_US!E37=-1,-Signals_US!R37*Mapping!$E$16,0))</f>
        <v>0</v>
      </c>
      <c r="Q37" s="1">
        <f>IF(Signals_US!J37=1,Signals_US!Q37*Mapping!$E$17,IF(Signals_US!J37=-1,-Signals_US!R37*Mapping!$E$17,0))</f>
        <v>5.000000000000001E-2</v>
      </c>
      <c r="R37" s="1">
        <f>IF(Signals_US!K37=1,Signals_US!Q37*Mapping!$E$18,IF(Signals_US!K37=-1,-Signals_US!R37*Mapping!$E$18,0))</f>
        <v>-5.000000000000001E-2</v>
      </c>
      <c r="S37" s="1">
        <f>IF(Signals_US!M37=1,Signals_US!Q37*Mapping!$E$19,IF(Signals_US!M37=-1,-Signals_US!R37*Mapping!$E$19,0))</f>
        <v>0</v>
      </c>
      <c r="T37" s="1">
        <f>IF(Signals_US!L37=1,Signals_US!Q37*Mapping!$E$20,IF(Signals_US!L37=-1,-Signals_US!R37*Mapping!$E$20,0))</f>
        <v>-5.000000000000001E-2</v>
      </c>
      <c r="U37" s="1">
        <f t="shared" si="0"/>
        <v>0</v>
      </c>
    </row>
    <row r="38" spans="1:21">
      <c r="A38" s="5">
        <f>Signals_US!B38</f>
        <v>40148</v>
      </c>
      <c r="B38" s="1">
        <f>0</f>
        <v>0</v>
      </c>
      <c r="C38" s="1">
        <f>IF(Signals_US!F38=1,Signals_US!Q38*Mapping!$E$3,IF(Signals_US!F38=-1,-Signals_US!R38*Mapping!$E$3,0))</f>
        <v>0</v>
      </c>
      <c r="D38" s="1">
        <f>IF(Signals_US!C38=1,Signals_US!Q38*Mapping!$E$4,IF(Signals_US!C38=-1,-Signals_US!R38*Mapping!$E$4,0))</f>
        <v>0</v>
      </c>
      <c r="E38" s="1">
        <f>IF(Signals_US!C38=1,Signals_US!Q38*Mapping!$E$5,IF(Signals_US!C38=-1,-Signals_US!R38*Mapping!$E$5,0))</f>
        <v>0</v>
      </c>
      <c r="F38" s="1">
        <f>IF(Signals_US!C38=1,Signals_US!Q38*Mapping!$E$6,IF(Signals_US!C38=-1,-Signals_US!R38*Mapping!$E$6,0))</f>
        <v>0</v>
      </c>
      <c r="G38" s="1">
        <f>IF(Signals_US!F38=1,Signals_US!Q38*Mapping!$E$7,IF(Signals_US!F38=-1,-Signals_US!R38*Mapping!$E$7,0))</f>
        <v>0</v>
      </c>
      <c r="H38" s="1">
        <f>IF(Signals_US!D38=1,Signals_US!Q38*Mapping!$E$8,IF(Signals_US!D38=-1,-Signals_US!R38*Mapping!$E$8,0))</f>
        <v>0</v>
      </c>
      <c r="I38" s="1">
        <f>IF(Signals_US!G38=1,Signals_US!Q38*Mapping!$E$9,IF(Signals_US!G38=-1,-Signals_US!R38*Mapping!$E$9,0))</f>
        <v>0</v>
      </c>
      <c r="J38" s="1">
        <f>IF(Signals_US!H38=1,Signals_US!Q38*Mapping!$E$10,IF(Signals_US!H38=-1,-Signals_US!R38*Mapping!$E$10,0))</f>
        <v>0</v>
      </c>
      <c r="K38" s="1">
        <f>IF(Signals_US!F38=1,Signals_US!Q38*Mapping!$E$11,IF(Signals_US!F38=-1,-Signals_US!R38*Mapping!$E$11,0))</f>
        <v>0</v>
      </c>
      <c r="L38" s="1">
        <f>IF(Signals_US!N38=1,Signals_US!Q38*Mapping!$E$12,IF(Signals_US!N38=-1,-Signals_US!R38*Mapping!$E$12,0))</f>
        <v>5.000000000000001E-2</v>
      </c>
      <c r="M38" s="1">
        <f>IF(Signals_US!I38=1,Signals_US!Q38*Mapping!$E$13,IF(Signals_US!I38=-1,-Signals_US!R38*Mapping!$E$13,0))</f>
        <v>-5.000000000000001E-2</v>
      </c>
      <c r="N38" s="1">
        <f>0</f>
        <v>0</v>
      </c>
      <c r="O38" s="1">
        <f>0</f>
        <v>0</v>
      </c>
      <c r="P38" s="1">
        <f>IF(Signals_US!E38=1,Signals_US!Q38*Mapping!$E$16,IF(Signals_US!E38=-1,-Signals_US!R38*Mapping!$E$16,0))</f>
        <v>5.000000000000001E-2</v>
      </c>
      <c r="Q38" s="1">
        <f>IF(Signals_US!J38=1,Signals_US!Q38*Mapping!$E$17,IF(Signals_US!J38=-1,-Signals_US!R38*Mapping!$E$17,0))</f>
        <v>5.000000000000001E-2</v>
      </c>
      <c r="R38" s="1">
        <f>IF(Signals_US!K38=1,Signals_US!Q38*Mapping!$E$18,IF(Signals_US!K38=-1,-Signals_US!R38*Mapping!$E$18,0))</f>
        <v>-5.000000000000001E-2</v>
      </c>
      <c r="S38" s="1">
        <f>IF(Signals_US!M38=1,Signals_US!Q38*Mapping!$E$19,IF(Signals_US!M38=-1,-Signals_US!R38*Mapping!$E$19,0))</f>
        <v>0</v>
      </c>
      <c r="T38" s="1">
        <f>IF(Signals_US!L38=1,Signals_US!Q38*Mapping!$E$20,IF(Signals_US!L38=-1,-Signals_US!R38*Mapping!$E$20,0))</f>
        <v>-5.000000000000001E-2</v>
      </c>
      <c r="U38" s="1">
        <f t="shared" si="0"/>
        <v>0</v>
      </c>
    </row>
    <row r="39" spans="1:21">
      <c r="A39" s="5">
        <f>Signals_US!B39</f>
        <v>40179</v>
      </c>
      <c r="B39" s="1">
        <f>0</f>
        <v>0</v>
      </c>
      <c r="C39" s="1">
        <f>IF(Signals_US!F39=1,Signals_US!Q39*Mapping!$E$3,IF(Signals_US!F39=-1,-Signals_US!R39*Mapping!$E$3,0))</f>
        <v>0</v>
      </c>
      <c r="D39" s="1">
        <f>IF(Signals_US!C39=1,Signals_US!Q39*Mapping!$E$4,IF(Signals_US!C39=-1,-Signals_US!R39*Mapping!$E$4,0))</f>
        <v>1.111111111111111E-2</v>
      </c>
      <c r="E39" s="1">
        <f>IF(Signals_US!C39=1,Signals_US!Q39*Mapping!$E$5,IF(Signals_US!C39=-1,-Signals_US!R39*Mapping!$E$5,0))</f>
        <v>1.111111111111111E-2</v>
      </c>
      <c r="F39" s="1">
        <f>IF(Signals_US!C39=1,Signals_US!Q39*Mapping!$E$6,IF(Signals_US!C39=-1,-Signals_US!R39*Mapping!$E$6,0))</f>
        <v>1.111111111111111E-2</v>
      </c>
      <c r="G39" s="1">
        <f>IF(Signals_US!F39=1,Signals_US!Q39*Mapping!$E$7,IF(Signals_US!F39=-1,-Signals_US!R39*Mapping!$E$7,0))</f>
        <v>0</v>
      </c>
      <c r="H39" s="1">
        <f>IF(Signals_US!D39=1,Signals_US!Q39*Mapping!$E$8,IF(Signals_US!D39=-1,-Signals_US!R39*Mapping!$E$8,0))</f>
        <v>0</v>
      </c>
      <c r="I39" s="1">
        <f>IF(Signals_US!G39=1,Signals_US!Q39*Mapping!$E$9,IF(Signals_US!G39=-1,-Signals_US!R39*Mapping!$E$9,0))</f>
        <v>0</v>
      </c>
      <c r="J39" s="1">
        <f>IF(Signals_US!H39=1,Signals_US!Q39*Mapping!$E$10,IF(Signals_US!H39=-1,-Signals_US!R39*Mapping!$E$10,0))</f>
        <v>0</v>
      </c>
      <c r="K39" s="1">
        <f>IF(Signals_US!F39=1,Signals_US!Q39*Mapping!$E$11,IF(Signals_US!F39=-1,-Signals_US!R39*Mapping!$E$11,0))</f>
        <v>0</v>
      </c>
      <c r="L39" s="1">
        <f>IF(Signals_US!N39=1,Signals_US!Q39*Mapping!$E$12,IF(Signals_US!N39=-1,-Signals_US!R39*Mapping!$E$12,0))</f>
        <v>0</v>
      </c>
      <c r="M39" s="1">
        <f>IF(Signals_US!I39=1,Signals_US!Q39*Mapping!$E$13,IF(Signals_US!I39=-1,-Signals_US!R39*Mapping!$E$13,0))</f>
        <v>-0.05</v>
      </c>
      <c r="N39" s="1">
        <f>0</f>
        <v>0</v>
      </c>
      <c r="O39" s="1">
        <f>0</f>
        <v>0</v>
      </c>
      <c r="P39" s="1">
        <f>IF(Signals_US!E39=1,Signals_US!Q39*Mapping!$E$16,IF(Signals_US!E39=-1,-Signals_US!R39*Mapping!$E$16,0))</f>
        <v>0</v>
      </c>
      <c r="Q39" s="1">
        <f>IF(Signals_US!J39=1,Signals_US!Q39*Mapping!$E$17,IF(Signals_US!J39=-1,-Signals_US!R39*Mapping!$E$17,0))</f>
        <v>3.3333333333333333E-2</v>
      </c>
      <c r="R39" s="1">
        <f>IF(Signals_US!K39=1,Signals_US!Q39*Mapping!$E$18,IF(Signals_US!K39=-1,-Signals_US!R39*Mapping!$E$18,0))</f>
        <v>-0.05</v>
      </c>
      <c r="S39" s="1">
        <f>IF(Signals_US!M39=1,Signals_US!Q39*Mapping!$E$19,IF(Signals_US!M39=-1,-Signals_US!R39*Mapping!$E$19,0))</f>
        <v>3.3333333333333333E-2</v>
      </c>
      <c r="T39" s="1">
        <f>IF(Signals_US!L39=1,Signals_US!Q39*Mapping!$E$20,IF(Signals_US!L39=-1,-Signals_US!R39*Mapping!$E$20,0))</f>
        <v>0</v>
      </c>
      <c r="U39" s="1">
        <f t="shared" si="0"/>
        <v>0</v>
      </c>
    </row>
    <row r="40" spans="1:21">
      <c r="A40" s="5">
        <f>Signals_US!B40</f>
        <v>40210</v>
      </c>
      <c r="B40" s="1">
        <f>0</f>
        <v>0</v>
      </c>
      <c r="C40" s="1">
        <f>IF(Signals_US!F40=1,Signals_US!Q40*Mapping!$E$3,IF(Signals_US!F40=-1,-Signals_US!R40*Mapping!$E$3,0))</f>
        <v>0</v>
      </c>
      <c r="D40" s="1">
        <f>IF(Signals_US!C40=1,Signals_US!Q40*Mapping!$E$4,IF(Signals_US!C40=-1,-Signals_US!R40*Mapping!$E$4,0))</f>
        <v>1.666666666666667E-2</v>
      </c>
      <c r="E40" s="1">
        <f>IF(Signals_US!C40=1,Signals_US!Q40*Mapping!$E$5,IF(Signals_US!C40=-1,-Signals_US!R40*Mapping!$E$5,0))</f>
        <v>1.666666666666667E-2</v>
      </c>
      <c r="F40" s="1">
        <f>IF(Signals_US!C40=1,Signals_US!Q40*Mapping!$E$6,IF(Signals_US!C40=-1,-Signals_US!R40*Mapping!$E$6,0))</f>
        <v>1.666666666666667E-2</v>
      </c>
      <c r="G40" s="1">
        <f>IF(Signals_US!F40=1,Signals_US!Q40*Mapping!$E$7,IF(Signals_US!F40=-1,-Signals_US!R40*Mapping!$E$7,0))</f>
        <v>0</v>
      </c>
      <c r="H40" s="1">
        <f>IF(Signals_US!D40=1,Signals_US!Q40*Mapping!$E$8,IF(Signals_US!D40=-1,-Signals_US!R40*Mapping!$E$8,0))</f>
        <v>0</v>
      </c>
      <c r="I40" s="1">
        <f>IF(Signals_US!G40=1,Signals_US!Q40*Mapping!$E$9,IF(Signals_US!G40=-1,-Signals_US!R40*Mapping!$E$9,0))</f>
        <v>0</v>
      </c>
      <c r="J40" s="1">
        <f>IF(Signals_US!H40=1,Signals_US!Q40*Mapping!$E$10,IF(Signals_US!H40=-1,-Signals_US!R40*Mapping!$E$10,0))</f>
        <v>0</v>
      </c>
      <c r="K40" s="1">
        <f>IF(Signals_US!F40=1,Signals_US!Q40*Mapping!$E$11,IF(Signals_US!F40=-1,-Signals_US!R40*Mapping!$E$11,0))</f>
        <v>0</v>
      </c>
      <c r="L40" s="1">
        <f>IF(Signals_US!N40=1,Signals_US!Q40*Mapping!$E$12,IF(Signals_US!N40=-1,-Signals_US!R40*Mapping!$E$12,0))</f>
        <v>5.000000000000001E-2</v>
      </c>
      <c r="M40" s="1">
        <f>IF(Signals_US!I40=1,Signals_US!Q40*Mapping!$E$13,IF(Signals_US!I40=-1,-Signals_US!R40*Mapping!$E$13,0))</f>
        <v>-5.000000000000001E-2</v>
      </c>
      <c r="N40" s="1">
        <f>0</f>
        <v>0</v>
      </c>
      <c r="O40" s="1">
        <f>0</f>
        <v>0</v>
      </c>
      <c r="P40" s="1">
        <f>IF(Signals_US!E40=1,Signals_US!Q40*Mapping!$E$16,IF(Signals_US!E40=-1,-Signals_US!R40*Mapping!$E$16,0))</f>
        <v>0</v>
      </c>
      <c r="Q40" s="1">
        <f>IF(Signals_US!J40=1,Signals_US!Q40*Mapping!$E$17,IF(Signals_US!J40=-1,-Signals_US!R40*Mapping!$E$17,0))</f>
        <v>-5.000000000000001E-2</v>
      </c>
      <c r="R40" s="1">
        <f>IF(Signals_US!K40=1,Signals_US!Q40*Mapping!$E$18,IF(Signals_US!K40=-1,-Signals_US!R40*Mapping!$E$18,0))</f>
        <v>-5.000000000000001E-2</v>
      </c>
      <c r="S40" s="1">
        <f>IF(Signals_US!M40=1,Signals_US!Q40*Mapping!$E$19,IF(Signals_US!M40=-1,-Signals_US!R40*Mapping!$E$19,0))</f>
        <v>5.000000000000001E-2</v>
      </c>
      <c r="T40" s="1">
        <f>IF(Signals_US!L40=1,Signals_US!Q40*Mapping!$E$20,IF(Signals_US!L40=-1,-Signals_US!R40*Mapping!$E$20,0))</f>
        <v>0</v>
      </c>
      <c r="U40" s="1">
        <f t="shared" si="0"/>
        <v>0</v>
      </c>
    </row>
    <row r="41" spans="1:21">
      <c r="A41" s="5">
        <f>Signals_US!B41</f>
        <v>40238</v>
      </c>
      <c r="B41" s="1">
        <f>0</f>
        <v>0</v>
      </c>
      <c r="C41" s="1">
        <f>IF(Signals_US!F41=1,Signals_US!Q41*Mapping!$E$3,IF(Signals_US!F41=-1,-Signals_US!R41*Mapping!$E$3,0))</f>
        <v>-1.666666666666667E-2</v>
      </c>
      <c r="D41" s="1">
        <f>IF(Signals_US!C41=1,Signals_US!Q41*Mapping!$E$4,IF(Signals_US!C41=-1,-Signals_US!R41*Mapping!$E$4,0))</f>
        <v>0</v>
      </c>
      <c r="E41" s="1">
        <f>IF(Signals_US!C41=1,Signals_US!Q41*Mapping!$E$5,IF(Signals_US!C41=-1,-Signals_US!R41*Mapping!$E$5,0))</f>
        <v>0</v>
      </c>
      <c r="F41" s="1">
        <f>IF(Signals_US!C41=1,Signals_US!Q41*Mapping!$E$6,IF(Signals_US!C41=-1,-Signals_US!R41*Mapping!$E$6,0))</f>
        <v>0</v>
      </c>
      <c r="G41" s="1">
        <f>IF(Signals_US!F41=1,Signals_US!Q41*Mapping!$E$7,IF(Signals_US!F41=-1,-Signals_US!R41*Mapping!$E$7,0))</f>
        <v>-1.666666666666667E-2</v>
      </c>
      <c r="H41" s="1">
        <f>IF(Signals_US!D41=1,Signals_US!Q41*Mapping!$E$8,IF(Signals_US!D41=-1,-Signals_US!R41*Mapping!$E$8,0))</f>
        <v>0</v>
      </c>
      <c r="I41" s="1">
        <f>IF(Signals_US!G41=1,Signals_US!Q41*Mapping!$E$9,IF(Signals_US!G41=-1,-Signals_US!R41*Mapping!$E$9,0))</f>
        <v>5.000000000000001E-2</v>
      </c>
      <c r="J41" s="1">
        <f>IF(Signals_US!H41=1,Signals_US!Q41*Mapping!$E$10,IF(Signals_US!H41=-1,-Signals_US!R41*Mapping!$E$10,0))</f>
        <v>0</v>
      </c>
      <c r="K41" s="1">
        <f>IF(Signals_US!F41=1,Signals_US!Q41*Mapping!$E$11,IF(Signals_US!F41=-1,-Signals_US!R41*Mapping!$E$11,0))</f>
        <v>-1.666666666666667E-2</v>
      </c>
      <c r="L41" s="1">
        <f>IF(Signals_US!N41=1,Signals_US!Q41*Mapping!$E$12,IF(Signals_US!N41=-1,-Signals_US!R41*Mapping!$E$12,0))</f>
        <v>5.000000000000001E-2</v>
      </c>
      <c r="M41" s="1">
        <f>IF(Signals_US!I41=1,Signals_US!Q41*Mapping!$E$13,IF(Signals_US!I41=-1,-Signals_US!R41*Mapping!$E$13,0))</f>
        <v>-5.000000000000001E-2</v>
      </c>
      <c r="N41" s="1">
        <f>0</f>
        <v>0</v>
      </c>
      <c r="O41" s="1">
        <f>0</f>
        <v>0</v>
      </c>
      <c r="P41" s="1">
        <f>IF(Signals_US!E41=1,Signals_US!Q41*Mapping!$E$16,IF(Signals_US!E41=-1,-Signals_US!R41*Mapping!$E$16,0))</f>
        <v>0</v>
      </c>
      <c r="Q41" s="1">
        <f>IF(Signals_US!J41=1,Signals_US!Q41*Mapping!$E$17,IF(Signals_US!J41=-1,-Signals_US!R41*Mapping!$E$17,0))</f>
        <v>5.000000000000001E-2</v>
      </c>
      <c r="R41" s="1">
        <f>IF(Signals_US!K41=1,Signals_US!Q41*Mapping!$E$18,IF(Signals_US!K41=-1,-Signals_US!R41*Mapping!$E$18,0))</f>
        <v>-5.000000000000001E-2</v>
      </c>
      <c r="S41" s="1">
        <f>IF(Signals_US!M41=1,Signals_US!Q41*Mapping!$E$19,IF(Signals_US!M41=-1,-Signals_US!R41*Mapping!$E$19,0))</f>
        <v>0</v>
      </c>
      <c r="T41" s="1">
        <f>IF(Signals_US!L41=1,Signals_US!Q41*Mapping!$E$20,IF(Signals_US!L41=-1,-Signals_US!R41*Mapping!$E$20,0))</f>
        <v>0</v>
      </c>
      <c r="U41" s="1">
        <f t="shared" si="0"/>
        <v>0</v>
      </c>
    </row>
    <row r="42" spans="1:21">
      <c r="A42" s="5">
        <f>Signals_US!B42</f>
        <v>40269</v>
      </c>
      <c r="B42" s="1">
        <f>0</f>
        <v>0</v>
      </c>
      <c r="C42" s="1">
        <f>IF(Signals_US!F42=1,Signals_US!Q42*Mapping!$E$3,IF(Signals_US!F42=-1,-Signals_US!R42*Mapping!$E$3,0))</f>
        <v>0</v>
      </c>
      <c r="D42" s="1">
        <f>IF(Signals_US!C42=1,Signals_US!Q42*Mapping!$E$4,IF(Signals_US!C42=-1,-Signals_US!R42*Mapping!$E$4,0))</f>
        <v>1.666666666666667E-2</v>
      </c>
      <c r="E42" s="1">
        <f>IF(Signals_US!C42=1,Signals_US!Q42*Mapping!$E$5,IF(Signals_US!C42=-1,-Signals_US!R42*Mapping!$E$5,0))</f>
        <v>1.666666666666667E-2</v>
      </c>
      <c r="F42" s="1">
        <f>IF(Signals_US!C42=1,Signals_US!Q42*Mapping!$E$6,IF(Signals_US!C42=-1,-Signals_US!R42*Mapping!$E$6,0))</f>
        <v>1.666666666666667E-2</v>
      </c>
      <c r="G42" s="1">
        <f>IF(Signals_US!F42=1,Signals_US!Q42*Mapping!$E$7,IF(Signals_US!F42=-1,-Signals_US!R42*Mapping!$E$7,0))</f>
        <v>0</v>
      </c>
      <c r="H42" s="1">
        <f>IF(Signals_US!D42=1,Signals_US!Q42*Mapping!$E$8,IF(Signals_US!D42=-1,-Signals_US!R42*Mapping!$E$8,0))</f>
        <v>0</v>
      </c>
      <c r="I42" s="1">
        <f>IF(Signals_US!G42=1,Signals_US!Q42*Mapping!$E$9,IF(Signals_US!G42=-1,-Signals_US!R42*Mapping!$E$9,0))</f>
        <v>0</v>
      </c>
      <c r="J42" s="1">
        <f>IF(Signals_US!H42=1,Signals_US!Q42*Mapping!$E$10,IF(Signals_US!H42=-1,-Signals_US!R42*Mapping!$E$10,0))</f>
        <v>0</v>
      </c>
      <c r="K42" s="1">
        <f>IF(Signals_US!F42=1,Signals_US!Q42*Mapping!$E$11,IF(Signals_US!F42=-1,-Signals_US!R42*Mapping!$E$11,0))</f>
        <v>0</v>
      </c>
      <c r="L42" s="1">
        <f>IF(Signals_US!N42=1,Signals_US!Q42*Mapping!$E$12,IF(Signals_US!N42=-1,-Signals_US!R42*Mapping!$E$12,0))</f>
        <v>5.000000000000001E-2</v>
      </c>
      <c r="M42" s="1">
        <f>IF(Signals_US!I42=1,Signals_US!Q42*Mapping!$E$13,IF(Signals_US!I42=-1,-Signals_US!R42*Mapping!$E$13,0))</f>
        <v>-5.000000000000001E-2</v>
      </c>
      <c r="N42" s="1">
        <f>0</f>
        <v>0</v>
      </c>
      <c r="O42" s="1">
        <f>0</f>
        <v>0</v>
      </c>
      <c r="P42" s="1">
        <f>IF(Signals_US!E42=1,Signals_US!Q42*Mapping!$E$16,IF(Signals_US!E42=-1,-Signals_US!R42*Mapping!$E$16,0))</f>
        <v>0</v>
      </c>
      <c r="Q42" s="1">
        <f>IF(Signals_US!J42=1,Signals_US!Q42*Mapping!$E$17,IF(Signals_US!J42=-1,-Signals_US!R42*Mapping!$E$17,0))</f>
        <v>5.000000000000001E-2</v>
      </c>
      <c r="R42" s="1">
        <f>IF(Signals_US!K42=1,Signals_US!Q42*Mapping!$E$18,IF(Signals_US!K42=-1,-Signals_US!R42*Mapping!$E$18,0))</f>
        <v>-5.000000000000001E-2</v>
      </c>
      <c r="S42" s="1">
        <f>IF(Signals_US!M42=1,Signals_US!Q42*Mapping!$E$19,IF(Signals_US!M42=-1,-Signals_US!R42*Mapping!$E$19,0))</f>
        <v>0</v>
      </c>
      <c r="T42" s="1">
        <f>IF(Signals_US!L42=1,Signals_US!Q42*Mapping!$E$20,IF(Signals_US!L42=-1,-Signals_US!R42*Mapping!$E$20,0))</f>
        <v>-5.000000000000001E-2</v>
      </c>
      <c r="U42" s="1">
        <f t="shared" si="0"/>
        <v>0</v>
      </c>
    </row>
    <row r="43" spans="1:21">
      <c r="A43" s="5">
        <f>Signals_US!B43</f>
        <v>40299</v>
      </c>
      <c r="B43" s="1">
        <f>0</f>
        <v>0</v>
      </c>
      <c r="C43" s="1">
        <f>IF(Signals_US!F43=1,Signals_US!Q43*Mapping!$E$3,IF(Signals_US!F43=-1,-Signals_US!R43*Mapping!$E$3,0))</f>
        <v>0</v>
      </c>
      <c r="D43" s="1">
        <f>IF(Signals_US!C43=1,Signals_US!Q43*Mapping!$E$4,IF(Signals_US!C43=-1,-Signals_US!R43*Mapping!$E$4,0))</f>
        <v>1.666666666666667E-2</v>
      </c>
      <c r="E43" s="1">
        <f>IF(Signals_US!C43=1,Signals_US!Q43*Mapping!$E$5,IF(Signals_US!C43=-1,-Signals_US!R43*Mapping!$E$5,0))</f>
        <v>1.666666666666667E-2</v>
      </c>
      <c r="F43" s="1">
        <f>IF(Signals_US!C43=1,Signals_US!Q43*Mapping!$E$6,IF(Signals_US!C43=-1,-Signals_US!R43*Mapping!$E$6,0))</f>
        <v>1.666666666666667E-2</v>
      </c>
      <c r="G43" s="1">
        <f>IF(Signals_US!F43=1,Signals_US!Q43*Mapping!$E$7,IF(Signals_US!F43=-1,-Signals_US!R43*Mapping!$E$7,0))</f>
        <v>0</v>
      </c>
      <c r="H43" s="1">
        <f>IF(Signals_US!D43=1,Signals_US!Q43*Mapping!$E$8,IF(Signals_US!D43=-1,-Signals_US!R43*Mapping!$E$8,0))</f>
        <v>5.000000000000001E-2</v>
      </c>
      <c r="I43" s="1">
        <f>IF(Signals_US!G43=1,Signals_US!Q43*Mapping!$E$9,IF(Signals_US!G43=-1,-Signals_US!R43*Mapping!$E$9,0))</f>
        <v>0</v>
      </c>
      <c r="J43" s="1">
        <f>IF(Signals_US!H43=1,Signals_US!Q43*Mapping!$E$10,IF(Signals_US!H43=-1,-Signals_US!R43*Mapping!$E$10,0))</f>
        <v>0</v>
      </c>
      <c r="K43" s="1">
        <f>IF(Signals_US!F43=1,Signals_US!Q43*Mapping!$E$11,IF(Signals_US!F43=-1,-Signals_US!R43*Mapping!$E$11,0))</f>
        <v>0</v>
      </c>
      <c r="L43" s="1">
        <f>IF(Signals_US!N43=1,Signals_US!Q43*Mapping!$E$12,IF(Signals_US!N43=-1,-Signals_US!R43*Mapping!$E$12,0))</f>
        <v>0</v>
      </c>
      <c r="M43" s="1">
        <f>IF(Signals_US!I43=1,Signals_US!Q43*Mapping!$E$13,IF(Signals_US!I43=-1,-Signals_US!R43*Mapping!$E$13,0))</f>
        <v>-5.000000000000001E-2</v>
      </c>
      <c r="N43" s="1">
        <f>0</f>
        <v>0</v>
      </c>
      <c r="O43" s="1">
        <f>0</f>
        <v>0</v>
      </c>
      <c r="P43" s="1">
        <f>IF(Signals_US!E43=1,Signals_US!Q43*Mapping!$E$16,IF(Signals_US!E43=-1,-Signals_US!R43*Mapping!$E$16,0))</f>
        <v>5.000000000000001E-2</v>
      </c>
      <c r="Q43" s="1">
        <f>IF(Signals_US!J43=1,Signals_US!Q43*Mapping!$E$17,IF(Signals_US!J43=-1,-Signals_US!R43*Mapping!$E$17,0))</f>
        <v>-5.000000000000001E-2</v>
      </c>
      <c r="R43" s="1">
        <f>IF(Signals_US!K43=1,Signals_US!Q43*Mapping!$E$18,IF(Signals_US!K43=-1,-Signals_US!R43*Mapping!$E$18,0))</f>
        <v>-5.000000000000001E-2</v>
      </c>
      <c r="S43" s="1">
        <f>IF(Signals_US!M43=1,Signals_US!Q43*Mapping!$E$19,IF(Signals_US!M43=-1,-Signals_US!R43*Mapping!$E$19,0))</f>
        <v>0</v>
      </c>
      <c r="T43" s="1">
        <f>IF(Signals_US!L43=1,Signals_US!Q43*Mapping!$E$20,IF(Signals_US!L43=-1,-Signals_US!R43*Mapping!$E$20,0))</f>
        <v>0</v>
      </c>
      <c r="U43" s="1">
        <f t="shared" si="0"/>
        <v>0</v>
      </c>
    </row>
    <row r="44" spans="1:21">
      <c r="A44" s="5">
        <f>Signals_US!B44</f>
        <v>40330</v>
      </c>
      <c r="B44" s="1">
        <f>0</f>
        <v>0</v>
      </c>
      <c r="C44" s="1">
        <f>IF(Signals_US!F44=1,Signals_US!Q44*Mapping!$E$3,IF(Signals_US!F44=-1,-Signals_US!R44*Mapping!$E$3,0))</f>
        <v>0</v>
      </c>
      <c r="D44" s="1">
        <f>IF(Signals_US!C44=1,Signals_US!Q44*Mapping!$E$4,IF(Signals_US!C44=-1,-Signals_US!R44*Mapping!$E$4,0))</f>
        <v>0</v>
      </c>
      <c r="E44" s="1">
        <f>IF(Signals_US!C44=1,Signals_US!Q44*Mapping!$E$5,IF(Signals_US!C44=-1,-Signals_US!R44*Mapping!$E$5,0))</f>
        <v>0</v>
      </c>
      <c r="F44" s="1">
        <f>IF(Signals_US!C44=1,Signals_US!Q44*Mapping!$E$6,IF(Signals_US!C44=-1,-Signals_US!R44*Mapping!$E$6,0))</f>
        <v>0</v>
      </c>
      <c r="G44" s="1">
        <f>IF(Signals_US!F44=1,Signals_US!Q44*Mapping!$E$7,IF(Signals_US!F44=-1,-Signals_US!R44*Mapping!$E$7,0))</f>
        <v>0</v>
      </c>
      <c r="H44" s="1">
        <f>IF(Signals_US!D44=1,Signals_US!Q44*Mapping!$E$8,IF(Signals_US!D44=-1,-Signals_US!R44*Mapping!$E$8,0))</f>
        <v>0</v>
      </c>
      <c r="I44" s="1">
        <f>IF(Signals_US!G44=1,Signals_US!Q44*Mapping!$E$9,IF(Signals_US!G44=-1,-Signals_US!R44*Mapping!$E$9,0))</f>
        <v>-5.000000000000001E-2</v>
      </c>
      <c r="J44" s="1">
        <f>IF(Signals_US!H44=1,Signals_US!Q44*Mapping!$E$10,IF(Signals_US!H44=-1,-Signals_US!R44*Mapping!$E$10,0))</f>
        <v>5.000000000000001E-2</v>
      </c>
      <c r="K44" s="1">
        <f>IF(Signals_US!F44=1,Signals_US!Q44*Mapping!$E$11,IF(Signals_US!F44=-1,-Signals_US!R44*Mapping!$E$11,0))</f>
        <v>0</v>
      </c>
      <c r="L44" s="1">
        <f>IF(Signals_US!N44=1,Signals_US!Q44*Mapping!$E$12,IF(Signals_US!N44=-1,-Signals_US!R44*Mapping!$E$12,0))</f>
        <v>5.000000000000001E-2</v>
      </c>
      <c r="M44" s="1">
        <f>IF(Signals_US!I44=1,Signals_US!Q44*Mapping!$E$13,IF(Signals_US!I44=-1,-Signals_US!R44*Mapping!$E$13,0))</f>
        <v>0</v>
      </c>
      <c r="N44" s="1">
        <f>0</f>
        <v>0</v>
      </c>
      <c r="O44" s="1">
        <f>0</f>
        <v>0</v>
      </c>
      <c r="P44" s="1">
        <f>IF(Signals_US!E44=1,Signals_US!Q44*Mapping!$E$16,IF(Signals_US!E44=-1,-Signals_US!R44*Mapping!$E$16,0))</f>
        <v>0</v>
      </c>
      <c r="Q44" s="1">
        <f>IF(Signals_US!J44=1,Signals_US!Q44*Mapping!$E$17,IF(Signals_US!J44=-1,-Signals_US!R44*Mapping!$E$17,0))</f>
        <v>-5.000000000000001E-2</v>
      </c>
      <c r="R44" s="1">
        <f>IF(Signals_US!K44=1,Signals_US!Q44*Mapping!$E$18,IF(Signals_US!K44=-1,-Signals_US!R44*Mapping!$E$18,0))</f>
        <v>-5.000000000000001E-2</v>
      </c>
      <c r="S44" s="1">
        <f>IF(Signals_US!M44=1,Signals_US!Q44*Mapping!$E$19,IF(Signals_US!M44=-1,-Signals_US!R44*Mapping!$E$19,0))</f>
        <v>5.000000000000001E-2</v>
      </c>
      <c r="T44" s="1">
        <f>IF(Signals_US!L44=1,Signals_US!Q44*Mapping!$E$20,IF(Signals_US!L44=-1,-Signals_US!R44*Mapping!$E$20,0))</f>
        <v>0</v>
      </c>
      <c r="U44" s="1">
        <f t="shared" si="0"/>
        <v>0</v>
      </c>
    </row>
    <row r="45" spans="1:21">
      <c r="A45" s="5">
        <f>Signals_US!B45</f>
        <v>40360</v>
      </c>
      <c r="B45" s="1">
        <f>0</f>
        <v>0</v>
      </c>
      <c r="C45" s="1">
        <f>IF(Signals_US!F45=1,Signals_US!Q45*Mapping!$E$3,IF(Signals_US!F45=-1,-Signals_US!R45*Mapping!$E$3,0))</f>
        <v>0</v>
      </c>
      <c r="D45" s="1">
        <f>IF(Signals_US!C45=1,Signals_US!Q45*Mapping!$E$4,IF(Signals_US!C45=-1,-Signals_US!R45*Mapping!$E$4,0))</f>
        <v>0</v>
      </c>
      <c r="E45" s="1">
        <f>IF(Signals_US!C45=1,Signals_US!Q45*Mapping!$E$5,IF(Signals_US!C45=-1,-Signals_US!R45*Mapping!$E$5,0))</f>
        <v>0</v>
      </c>
      <c r="F45" s="1">
        <f>IF(Signals_US!C45=1,Signals_US!Q45*Mapping!$E$6,IF(Signals_US!C45=-1,-Signals_US!R45*Mapping!$E$6,0))</f>
        <v>0</v>
      </c>
      <c r="G45" s="1">
        <f>IF(Signals_US!F45=1,Signals_US!Q45*Mapping!$E$7,IF(Signals_US!F45=-1,-Signals_US!R45*Mapping!$E$7,0))</f>
        <v>0</v>
      </c>
      <c r="H45" s="1">
        <f>IF(Signals_US!D45=1,Signals_US!Q45*Mapping!$E$8,IF(Signals_US!D45=-1,-Signals_US!R45*Mapping!$E$8,0))</f>
        <v>0</v>
      </c>
      <c r="I45" s="1">
        <f>IF(Signals_US!G45=1,Signals_US!Q45*Mapping!$E$9,IF(Signals_US!G45=-1,-Signals_US!R45*Mapping!$E$9,0))</f>
        <v>0</v>
      </c>
      <c r="J45" s="1">
        <f>IF(Signals_US!H45=1,Signals_US!Q45*Mapping!$E$10,IF(Signals_US!H45=-1,-Signals_US!R45*Mapping!$E$10,0))</f>
        <v>5.000000000000001E-2</v>
      </c>
      <c r="K45" s="1">
        <f>IF(Signals_US!F45=1,Signals_US!Q45*Mapping!$E$11,IF(Signals_US!F45=-1,-Signals_US!R45*Mapping!$E$11,0))</f>
        <v>0</v>
      </c>
      <c r="L45" s="1">
        <f>IF(Signals_US!N45=1,Signals_US!Q45*Mapping!$E$12,IF(Signals_US!N45=-1,-Signals_US!R45*Mapping!$E$12,0))</f>
        <v>5.000000000000001E-2</v>
      </c>
      <c r="M45" s="1">
        <f>IF(Signals_US!I45=1,Signals_US!Q45*Mapping!$E$13,IF(Signals_US!I45=-1,-Signals_US!R45*Mapping!$E$13,0))</f>
        <v>-5.000000000000001E-2</v>
      </c>
      <c r="N45" s="1">
        <f>0</f>
        <v>0</v>
      </c>
      <c r="O45" s="1">
        <f>0</f>
        <v>0</v>
      </c>
      <c r="P45" s="1">
        <f>IF(Signals_US!E45=1,Signals_US!Q45*Mapping!$E$16,IF(Signals_US!E45=-1,-Signals_US!R45*Mapping!$E$16,0))</f>
        <v>0</v>
      </c>
      <c r="Q45" s="1">
        <f>IF(Signals_US!J45=1,Signals_US!Q45*Mapping!$E$17,IF(Signals_US!J45=-1,-Signals_US!R45*Mapping!$E$17,0))</f>
        <v>-5.000000000000001E-2</v>
      </c>
      <c r="R45" s="1">
        <f>IF(Signals_US!K45=1,Signals_US!Q45*Mapping!$E$18,IF(Signals_US!K45=-1,-Signals_US!R45*Mapping!$E$18,0))</f>
        <v>-5.000000000000001E-2</v>
      </c>
      <c r="S45" s="1">
        <f>IF(Signals_US!M45=1,Signals_US!Q45*Mapping!$E$19,IF(Signals_US!M45=-1,-Signals_US!R45*Mapping!$E$19,0))</f>
        <v>5.000000000000001E-2</v>
      </c>
      <c r="T45" s="1">
        <f>IF(Signals_US!L45=1,Signals_US!Q45*Mapping!$E$20,IF(Signals_US!L45=-1,-Signals_US!R45*Mapping!$E$20,0))</f>
        <v>0</v>
      </c>
      <c r="U45" s="1">
        <f t="shared" si="0"/>
        <v>0</v>
      </c>
    </row>
    <row r="46" spans="1:21">
      <c r="A46" s="5">
        <f>Signals_US!B46</f>
        <v>40391</v>
      </c>
      <c r="B46" s="1">
        <f>0</f>
        <v>0</v>
      </c>
      <c r="C46" s="1">
        <f>IF(Signals_US!F46=1,Signals_US!Q46*Mapping!$E$3,IF(Signals_US!F46=-1,-Signals_US!R46*Mapping!$E$3,0))</f>
        <v>0</v>
      </c>
      <c r="D46" s="1">
        <f>IF(Signals_US!C46=1,Signals_US!Q46*Mapping!$E$4,IF(Signals_US!C46=-1,-Signals_US!R46*Mapping!$E$4,0))</f>
        <v>0</v>
      </c>
      <c r="E46" s="1">
        <f>IF(Signals_US!C46=1,Signals_US!Q46*Mapping!$E$5,IF(Signals_US!C46=-1,-Signals_US!R46*Mapping!$E$5,0))</f>
        <v>0</v>
      </c>
      <c r="F46" s="1">
        <f>IF(Signals_US!C46=1,Signals_US!Q46*Mapping!$E$6,IF(Signals_US!C46=-1,-Signals_US!R46*Mapping!$E$6,0))</f>
        <v>0</v>
      </c>
      <c r="G46" s="1">
        <f>IF(Signals_US!F46=1,Signals_US!Q46*Mapping!$E$7,IF(Signals_US!F46=-1,-Signals_US!R46*Mapping!$E$7,0))</f>
        <v>0</v>
      </c>
      <c r="H46" s="1">
        <f>IF(Signals_US!D46=1,Signals_US!Q46*Mapping!$E$8,IF(Signals_US!D46=-1,-Signals_US!R46*Mapping!$E$8,0))</f>
        <v>0</v>
      </c>
      <c r="I46" s="1">
        <f>IF(Signals_US!G46=1,Signals_US!Q46*Mapping!$E$9,IF(Signals_US!G46=-1,-Signals_US!R46*Mapping!$E$9,0))</f>
        <v>-5.000000000000001E-2</v>
      </c>
      <c r="J46" s="1">
        <f>IF(Signals_US!H46=1,Signals_US!Q46*Mapping!$E$10,IF(Signals_US!H46=-1,-Signals_US!R46*Mapping!$E$10,0))</f>
        <v>5.000000000000001E-2</v>
      </c>
      <c r="K46" s="1">
        <f>IF(Signals_US!F46=1,Signals_US!Q46*Mapping!$E$11,IF(Signals_US!F46=-1,-Signals_US!R46*Mapping!$E$11,0))</f>
        <v>0</v>
      </c>
      <c r="L46" s="1">
        <f>IF(Signals_US!N46=1,Signals_US!Q46*Mapping!$E$12,IF(Signals_US!N46=-1,-Signals_US!R46*Mapping!$E$12,0))</f>
        <v>5.000000000000001E-2</v>
      </c>
      <c r="M46" s="1">
        <f>IF(Signals_US!I46=1,Signals_US!Q46*Mapping!$E$13,IF(Signals_US!I46=-1,-Signals_US!R46*Mapping!$E$13,0))</f>
        <v>-5.000000000000001E-2</v>
      </c>
      <c r="N46" s="1">
        <f>0</f>
        <v>0</v>
      </c>
      <c r="O46" s="1">
        <f>0</f>
        <v>0</v>
      </c>
      <c r="P46" s="1">
        <f>IF(Signals_US!E46=1,Signals_US!Q46*Mapping!$E$16,IF(Signals_US!E46=-1,-Signals_US!R46*Mapping!$E$16,0))</f>
        <v>-5.000000000000001E-2</v>
      </c>
      <c r="Q46" s="1">
        <f>IF(Signals_US!J46=1,Signals_US!Q46*Mapping!$E$17,IF(Signals_US!J46=-1,-Signals_US!R46*Mapping!$E$17,0))</f>
        <v>0</v>
      </c>
      <c r="R46" s="1">
        <f>IF(Signals_US!K46=1,Signals_US!Q46*Mapping!$E$18,IF(Signals_US!K46=-1,-Signals_US!R46*Mapping!$E$18,0))</f>
        <v>0</v>
      </c>
      <c r="S46" s="1">
        <f>IF(Signals_US!M46=1,Signals_US!Q46*Mapping!$E$19,IF(Signals_US!M46=-1,-Signals_US!R46*Mapping!$E$19,0))</f>
        <v>5.000000000000001E-2</v>
      </c>
      <c r="T46" s="1">
        <f>IF(Signals_US!L46=1,Signals_US!Q46*Mapping!$E$20,IF(Signals_US!L46=-1,-Signals_US!R46*Mapping!$E$20,0))</f>
        <v>0</v>
      </c>
      <c r="U46" s="1">
        <f t="shared" si="0"/>
        <v>0</v>
      </c>
    </row>
    <row r="47" spans="1:21">
      <c r="A47" s="5">
        <f>Signals_US!B47</f>
        <v>40422</v>
      </c>
      <c r="B47" s="1">
        <f>0</f>
        <v>0</v>
      </c>
      <c r="C47" s="1">
        <f>IF(Signals_US!F47=1,Signals_US!Q47*Mapping!$E$3,IF(Signals_US!F47=-1,-Signals_US!R47*Mapping!$E$3,0))</f>
        <v>-1.666666666666667E-2</v>
      </c>
      <c r="D47" s="1">
        <f>IF(Signals_US!C47=1,Signals_US!Q47*Mapping!$E$4,IF(Signals_US!C47=-1,-Signals_US!R47*Mapping!$E$4,0))</f>
        <v>1.666666666666667E-2</v>
      </c>
      <c r="E47" s="1">
        <f>IF(Signals_US!C47=1,Signals_US!Q47*Mapping!$E$5,IF(Signals_US!C47=-1,-Signals_US!R47*Mapping!$E$5,0))</f>
        <v>1.666666666666667E-2</v>
      </c>
      <c r="F47" s="1">
        <f>IF(Signals_US!C47=1,Signals_US!Q47*Mapping!$E$6,IF(Signals_US!C47=-1,-Signals_US!R47*Mapping!$E$6,0))</f>
        <v>1.666666666666667E-2</v>
      </c>
      <c r="G47" s="1">
        <f>IF(Signals_US!F47=1,Signals_US!Q47*Mapping!$E$7,IF(Signals_US!F47=-1,-Signals_US!R47*Mapping!$E$7,0))</f>
        <v>-1.666666666666667E-2</v>
      </c>
      <c r="H47" s="1">
        <f>IF(Signals_US!D47=1,Signals_US!Q47*Mapping!$E$8,IF(Signals_US!D47=-1,-Signals_US!R47*Mapping!$E$8,0))</f>
        <v>0</v>
      </c>
      <c r="I47" s="1">
        <f>IF(Signals_US!G47=1,Signals_US!Q47*Mapping!$E$9,IF(Signals_US!G47=-1,-Signals_US!R47*Mapping!$E$9,0))</f>
        <v>-5.000000000000001E-2</v>
      </c>
      <c r="J47" s="1">
        <f>IF(Signals_US!H47=1,Signals_US!Q47*Mapping!$E$10,IF(Signals_US!H47=-1,-Signals_US!R47*Mapping!$E$10,0))</f>
        <v>5.000000000000001E-2</v>
      </c>
      <c r="K47" s="1">
        <f>IF(Signals_US!F47=1,Signals_US!Q47*Mapping!$E$11,IF(Signals_US!F47=-1,-Signals_US!R47*Mapping!$E$11,0))</f>
        <v>-1.666666666666667E-2</v>
      </c>
      <c r="L47" s="1">
        <f>IF(Signals_US!N47=1,Signals_US!Q47*Mapping!$E$12,IF(Signals_US!N47=-1,-Signals_US!R47*Mapping!$E$12,0))</f>
        <v>5.000000000000001E-2</v>
      </c>
      <c r="M47" s="1">
        <f>IF(Signals_US!I47=1,Signals_US!Q47*Mapping!$E$13,IF(Signals_US!I47=-1,-Signals_US!R47*Mapping!$E$13,0))</f>
        <v>0</v>
      </c>
      <c r="N47" s="1">
        <f>0</f>
        <v>0</v>
      </c>
      <c r="O47" s="1">
        <f>0</f>
        <v>0</v>
      </c>
      <c r="P47" s="1">
        <f>IF(Signals_US!E47=1,Signals_US!Q47*Mapping!$E$16,IF(Signals_US!E47=-1,-Signals_US!R47*Mapping!$E$16,0))</f>
        <v>-5.000000000000001E-2</v>
      </c>
      <c r="Q47" s="1">
        <f>IF(Signals_US!J47=1,Signals_US!Q47*Mapping!$E$17,IF(Signals_US!J47=-1,-Signals_US!R47*Mapping!$E$17,0))</f>
        <v>0</v>
      </c>
      <c r="R47" s="1">
        <f>IF(Signals_US!K47=1,Signals_US!Q47*Mapping!$E$18,IF(Signals_US!K47=-1,-Signals_US!R47*Mapping!$E$18,0))</f>
        <v>0</v>
      </c>
      <c r="S47" s="1">
        <f>IF(Signals_US!M47=1,Signals_US!Q47*Mapping!$E$19,IF(Signals_US!M47=-1,-Signals_US!R47*Mapping!$E$19,0))</f>
        <v>0</v>
      </c>
      <c r="T47" s="1">
        <f>IF(Signals_US!L47=1,Signals_US!Q47*Mapping!$E$20,IF(Signals_US!L47=-1,-Signals_US!R47*Mapping!$E$20,0))</f>
        <v>0</v>
      </c>
      <c r="U47" s="1">
        <f t="shared" si="0"/>
        <v>0</v>
      </c>
    </row>
    <row r="48" spans="1:21">
      <c r="A48" s="5">
        <f>Signals_US!B48</f>
        <v>40452</v>
      </c>
      <c r="B48" s="1">
        <f>0</f>
        <v>0</v>
      </c>
      <c r="C48" s="1">
        <f>IF(Signals_US!F48=1,Signals_US!Q48*Mapping!$E$3,IF(Signals_US!F48=-1,-Signals_US!R48*Mapping!$E$3,0))</f>
        <v>-1.666666666666667E-2</v>
      </c>
      <c r="D48" s="1">
        <f>IF(Signals_US!C48=1,Signals_US!Q48*Mapping!$E$4,IF(Signals_US!C48=-1,-Signals_US!R48*Mapping!$E$4,0))</f>
        <v>0</v>
      </c>
      <c r="E48" s="1">
        <f>IF(Signals_US!C48=1,Signals_US!Q48*Mapping!$E$5,IF(Signals_US!C48=-1,-Signals_US!R48*Mapping!$E$5,0))</f>
        <v>0</v>
      </c>
      <c r="F48" s="1">
        <f>IF(Signals_US!C48=1,Signals_US!Q48*Mapping!$E$6,IF(Signals_US!C48=-1,-Signals_US!R48*Mapping!$E$6,0))</f>
        <v>0</v>
      </c>
      <c r="G48" s="1">
        <f>IF(Signals_US!F48=1,Signals_US!Q48*Mapping!$E$7,IF(Signals_US!F48=-1,-Signals_US!R48*Mapping!$E$7,0))</f>
        <v>-1.666666666666667E-2</v>
      </c>
      <c r="H48" s="1">
        <f>IF(Signals_US!D48=1,Signals_US!Q48*Mapping!$E$8,IF(Signals_US!D48=-1,-Signals_US!R48*Mapping!$E$8,0))</f>
        <v>5.000000000000001E-2</v>
      </c>
      <c r="I48" s="1">
        <f>IF(Signals_US!G48=1,Signals_US!Q48*Mapping!$E$9,IF(Signals_US!G48=-1,-Signals_US!R48*Mapping!$E$9,0))</f>
        <v>-5.000000000000001E-2</v>
      </c>
      <c r="J48" s="1">
        <f>IF(Signals_US!H48=1,Signals_US!Q48*Mapping!$E$10,IF(Signals_US!H48=-1,-Signals_US!R48*Mapping!$E$10,0))</f>
        <v>0</v>
      </c>
      <c r="K48" s="1">
        <f>IF(Signals_US!F48=1,Signals_US!Q48*Mapping!$E$11,IF(Signals_US!F48=-1,-Signals_US!R48*Mapping!$E$11,0))</f>
        <v>-1.666666666666667E-2</v>
      </c>
      <c r="L48" s="1">
        <f>IF(Signals_US!N48=1,Signals_US!Q48*Mapping!$E$12,IF(Signals_US!N48=-1,-Signals_US!R48*Mapping!$E$12,0))</f>
        <v>5.000000000000001E-2</v>
      </c>
      <c r="M48" s="1">
        <f>IF(Signals_US!I48=1,Signals_US!Q48*Mapping!$E$13,IF(Signals_US!I48=-1,-Signals_US!R48*Mapping!$E$13,0))</f>
        <v>-5.000000000000001E-2</v>
      </c>
      <c r="N48" s="1">
        <f>0</f>
        <v>0</v>
      </c>
      <c r="O48" s="1">
        <f>0</f>
        <v>0</v>
      </c>
      <c r="P48" s="1">
        <f>IF(Signals_US!E48=1,Signals_US!Q48*Mapping!$E$16,IF(Signals_US!E48=-1,-Signals_US!R48*Mapping!$E$16,0))</f>
        <v>0</v>
      </c>
      <c r="Q48" s="1">
        <f>IF(Signals_US!J48=1,Signals_US!Q48*Mapping!$E$17,IF(Signals_US!J48=-1,-Signals_US!R48*Mapping!$E$17,0))</f>
        <v>0</v>
      </c>
      <c r="R48" s="1">
        <f>IF(Signals_US!K48=1,Signals_US!Q48*Mapping!$E$18,IF(Signals_US!K48=-1,-Signals_US!R48*Mapping!$E$18,0))</f>
        <v>0</v>
      </c>
      <c r="S48" s="1">
        <f>IF(Signals_US!M48=1,Signals_US!Q48*Mapping!$E$19,IF(Signals_US!M48=-1,-Signals_US!R48*Mapping!$E$19,0))</f>
        <v>5.000000000000001E-2</v>
      </c>
      <c r="T48" s="1">
        <f>IF(Signals_US!L48=1,Signals_US!Q48*Mapping!$E$20,IF(Signals_US!L48=-1,-Signals_US!R48*Mapping!$E$20,0))</f>
        <v>0</v>
      </c>
      <c r="U48" s="1">
        <f t="shared" si="0"/>
        <v>0</v>
      </c>
    </row>
    <row r="49" spans="1:21">
      <c r="A49" s="5">
        <f>Signals_US!B49</f>
        <v>40483</v>
      </c>
      <c r="B49" s="1">
        <f>0</f>
        <v>0</v>
      </c>
      <c r="C49" s="1">
        <f>IF(Signals_US!F49=1,Signals_US!Q49*Mapping!$E$3,IF(Signals_US!F49=-1,-Signals_US!R49*Mapping!$E$3,0))</f>
        <v>-1.666666666666667E-2</v>
      </c>
      <c r="D49" s="1">
        <f>IF(Signals_US!C49=1,Signals_US!Q49*Mapping!$E$4,IF(Signals_US!C49=-1,-Signals_US!R49*Mapping!$E$4,0))</f>
        <v>1.666666666666667E-2</v>
      </c>
      <c r="E49" s="1">
        <f>IF(Signals_US!C49=1,Signals_US!Q49*Mapping!$E$5,IF(Signals_US!C49=-1,-Signals_US!R49*Mapping!$E$5,0))</f>
        <v>1.666666666666667E-2</v>
      </c>
      <c r="F49" s="1">
        <f>IF(Signals_US!C49=1,Signals_US!Q49*Mapping!$E$6,IF(Signals_US!C49=-1,-Signals_US!R49*Mapping!$E$6,0))</f>
        <v>1.666666666666667E-2</v>
      </c>
      <c r="G49" s="1">
        <f>IF(Signals_US!F49=1,Signals_US!Q49*Mapping!$E$7,IF(Signals_US!F49=-1,-Signals_US!R49*Mapping!$E$7,0))</f>
        <v>-1.666666666666667E-2</v>
      </c>
      <c r="H49" s="1">
        <f>IF(Signals_US!D49=1,Signals_US!Q49*Mapping!$E$8,IF(Signals_US!D49=-1,-Signals_US!R49*Mapping!$E$8,0))</f>
        <v>0</v>
      </c>
      <c r="I49" s="1">
        <f>IF(Signals_US!G49=1,Signals_US!Q49*Mapping!$E$9,IF(Signals_US!G49=-1,-Signals_US!R49*Mapping!$E$9,0))</f>
        <v>0</v>
      </c>
      <c r="J49" s="1">
        <f>IF(Signals_US!H49=1,Signals_US!Q49*Mapping!$E$10,IF(Signals_US!H49=-1,-Signals_US!R49*Mapping!$E$10,0))</f>
        <v>0</v>
      </c>
      <c r="K49" s="1">
        <f>IF(Signals_US!F49=1,Signals_US!Q49*Mapping!$E$11,IF(Signals_US!F49=-1,-Signals_US!R49*Mapping!$E$11,0))</f>
        <v>-1.666666666666667E-2</v>
      </c>
      <c r="L49" s="1">
        <f>IF(Signals_US!N49=1,Signals_US!Q49*Mapping!$E$12,IF(Signals_US!N49=-1,-Signals_US!R49*Mapping!$E$12,0))</f>
        <v>0</v>
      </c>
      <c r="M49" s="1">
        <f>IF(Signals_US!I49=1,Signals_US!Q49*Mapping!$E$13,IF(Signals_US!I49=-1,-Signals_US!R49*Mapping!$E$13,0))</f>
        <v>-5.000000000000001E-2</v>
      </c>
      <c r="N49" s="1">
        <f>0</f>
        <v>0</v>
      </c>
      <c r="O49" s="1">
        <f>0</f>
        <v>0</v>
      </c>
      <c r="P49" s="1">
        <f>IF(Signals_US!E49=1,Signals_US!Q49*Mapping!$E$16,IF(Signals_US!E49=-1,-Signals_US!R49*Mapping!$E$16,0))</f>
        <v>-5.000000000000001E-2</v>
      </c>
      <c r="Q49" s="1">
        <f>IF(Signals_US!J49=1,Signals_US!Q49*Mapping!$E$17,IF(Signals_US!J49=-1,-Signals_US!R49*Mapping!$E$17,0))</f>
        <v>5.000000000000001E-2</v>
      </c>
      <c r="R49" s="1">
        <f>IF(Signals_US!K49=1,Signals_US!Q49*Mapping!$E$18,IF(Signals_US!K49=-1,-Signals_US!R49*Mapping!$E$18,0))</f>
        <v>0</v>
      </c>
      <c r="S49" s="1">
        <f>IF(Signals_US!M49=1,Signals_US!Q49*Mapping!$E$19,IF(Signals_US!M49=-1,-Signals_US!R49*Mapping!$E$19,0))</f>
        <v>5.000000000000001E-2</v>
      </c>
      <c r="T49" s="1">
        <f>IF(Signals_US!L49=1,Signals_US!Q49*Mapping!$E$20,IF(Signals_US!L49=-1,-Signals_US!R49*Mapping!$E$20,0))</f>
        <v>0</v>
      </c>
      <c r="U49" s="1">
        <f t="shared" si="0"/>
        <v>0</v>
      </c>
    </row>
    <row r="50" spans="1:21">
      <c r="A50" s="5">
        <f>Signals_US!B50</f>
        <v>40513</v>
      </c>
      <c r="B50" s="1">
        <f>0</f>
        <v>0</v>
      </c>
      <c r="C50" s="1">
        <f>IF(Signals_US!F50=1,Signals_US!Q50*Mapping!$E$3,IF(Signals_US!F50=-1,-Signals_US!R50*Mapping!$E$3,0))</f>
        <v>-1.666666666666667E-2</v>
      </c>
      <c r="D50" s="1">
        <f>IF(Signals_US!C50=1,Signals_US!Q50*Mapping!$E$4,IF(Signals_US!C50=-1,-Signals_US!R50*Mapping!$E$4,0))</f>
        <v>0</v>
      </c>
      <c r="E50" s="1">
        <f>IF(Signals_US!C50=1,Signals_US!Q50*Mapping!$E$5,IF(Signals_US!C50=-1,-Signals_US!R50*Mapping!$E$5,0))</f>
        <v>0</v>
      </c>
      <c r="F50" s="1">
        <f>IF(Signals_US!C50=1,Signals_US!Q50*Mapping!$E$6,IF(Signals_US!C50=-1,-Signals_US!R50*Mapping!$E$6,0))</f>
        <v>0</v>
      </c>
      <c r="G50" s="1">
        <f>IF(Signals_US!F50=1,Signals_US!Q50*Mapping!$E$7,IF(Signals_US!F50=-1,-Signals_US!R50*Mapping!$E$7,0))</f>
        <v>-1.666666666666667E-2</v>
      </c>
      <c r="H50" s="1">
        <f>IF(Signals_US!D50=1,Signals_US!Q50*Mapping!$E$8,IF(Signals_US!D50=-1,-Signals_US!R50*Mapping!$E$8,0))</f>
        <v>0</v>
      </c>
      <c r="I50" s="1">
        <f>IF(Signals_US!G50=1,Signals_US!Q50*Mapping!$E$9,IF(Signals_US!G50=-1,-Signals_US!R50*Mapping!$E$9,0))</f>
        <v>-5.000000000000001E-2</v>
      </c>
      <c r="J50" s="1">
        <f>IF(Signals_US!H50=1,Signals_US!Q50*Mapping!$E$10,IF(Signals_US!H50=-1,-Signals_US!R50*Mapping!$E$10,0))</f>
        <v>-5.000000000000001E-2</v>
      </c>
      <c r="K50" s="1">
        <f>IF(Signals_US!F50=1,Signals_US!Q50*Mapping!$E$11,IF(Signals_US!F50=-1,-Signals_US!R50*Mapping!$E$11,0))</f>
        <v>-1.666666666666667E-2</v>
      </c>
      <c r="L50" s="1">
        <f>IF(Signals_US!N50=1,Signals_US!Q50*Mapping!$E$12,IF(Signals_US!N50=-1,-Signals_US!R50*Mapping!$E$12,0))</f>
        <v>5.000000000000001E-2</v>
      </c>
      <c r="M50" s="1">
        <f>IF(Signals_US!I50=1,Signals_US!Q50*Mapping!$E$13,IF(Signals_US!I50=-1,-Signals_US!R50*Mapping!$E$13,0))</f>
        <v>0</v>
      </c>
      <c r="N50" s="1">
        <f>0</f>
        <v>0</v>
      </c>
      <c r="O50" s="1">
        <f>0</f>
        <v>0</v>
      </c>
      <c r="P50" s="1">
        <f>IF(Signals_US!E50=1,Signals_US!Q50*Mapping!$E$16,IF(Signals_US!E50=-1,-Signals_US!R50*Mapping!$E$16,0))</f>
        <v>0</v>
      </c>
      <c r="Q50" s="1">
        <f>IF(Signals_US!J50=1,Signals_US!Q50*Mapping!$E$17,IF(Signals_US!J50=-1,-Signals_US!R50*Mapping!$E$17,0))</f>
        <v>0</v>
      </c>
      <c r="R50" s="1">
        <f>IF(Signals_US!K50=1,Signals_US!Q50*Mapping!$E$18,IF(Signals_US!K50=-1,-Signals_US!R50*Mapping!$E$18,0))</f>
        <v>5.000000000000001E-2</v>
      </c>
      <c r="S50" s="1">
        <f>IF(Signals_US!M50=1,Signals_US!Q50*Mapping!$E$19,IF(Signals_US!M50=-1,-Signals_US!R50*Mapping!$E$19,0))</f>
        <v>5.000000000000001E-2</v>
      </c>
      <c r="T50" s="1">
        <f>IF(Signals_US!L50=1,Signals_US!Q50*Mapping!$E$20,IF(Signals_US!L50=-1,-Signals_US!R50*Mapping!$E$20,0))</f>
        <v>0</v>
      </c>
      <c r="U50" s="1">
        <f t="shared" si="0"/>
        <v>0</v>
      </c>
    </row>
    <row r="51" spans="1:21">
      <c r="A51" s="5">
        <f>Signals_US!B51</f>
        <v>40544</v>
      </c>
      <c r="B51" s="1">
        <f>0</f>
        <v>0</v>
      </c>
      <c r="C51" s="1">
        <f>IF(Signals_US!F51=1,Signals_US!Q51*Mapping!$E$3,IF(Signals_US!F51=-1,-Signals_US!R51*Mapping!$E$3,0))</f>
        <v>-1.666666666666667E-2</v>
      </c>
      <c r="D51" s="1">
        <f>IF(Signals_US!C51=1,Signals_US!Q51*Mapping!$E$4,IF(Signals_US!C51=-1,-Signals_US!R51*Mapping!$E$4,0))</f>
        <v>1.666666666666667E-2</v>
      </c>
      <c r="E51" s="1">
        <f>IF(Signals_US!C51=1,Signals_US!Q51*Mapping!$E$5,IF(Signals_US!C51=-1,-Signals_US!R51*Mapping!$E$5,0))</f>
        <v>1.666666666666667E-2</v>
      </c>
      <c r="F51" s="1">
        <f>IF(Signals_US!C51=1,Signals_US!Q51*Mapping!$E$6,IF(Signals_US!C51=-1,-Signals_US!R51*Mapping!$E$6,0))</f>
        <v>1.666666666666667E-2</v>
      </c>
      <c r="G51" s="1">
        <f>IF(Signals_US!F51=1,Signals_US!Q51*Mapping!$E$7,IF(Signals_US!F51=-1,-Signals_US!R51*Mapping!$E$7,0))</f>
        <v>-1.666666666666667E-2</v>
      </c>
      <c r="H51" s="1">
        <f>IF(Signals_US!D51=1,Signals_US!Q51*Mapping!$E$8,IF(Signals_US!D51=-1,-Signals_US!R51*Mapping!$E$8,0))</f>
        <v>0</v>
      </c>
      <c r="I51" s="1">
        <f>IF(Signals_US!G51=1,Signals_US!Q51*Mapping!$E$9,IF(Signals_US!G51=-1,-Signals_US!R51*Mapping!$E$9,0))</f>
        <v>-5.000000000000001E-2</v>
      </c>
      <c r="J51" s="1">
        <f>IF(Signals_US!H51=1,Signals_US!Q51*Mapping!$E$10,IF(Signals_US!H51=-1,-Signals_US!R51*Mapping!$E$10,0))</f>
        <v>0</v>
      </c>
      <c r="K51" s="1">
        <f>IF(Signals_US!F51=1,Signals_US!Q51*Mapping!$E$11,IF(Signals_US!F51=-1,-Signals_US!R51*Mapping!$E$11,0))</f>
        <v>-1.666666666666667E-2</v>
      </c>
      <c r="L51" s="1">
        <f>IF(Signals_US!N51=1,Signals_US!Q51*Mapping!$E$12,IF(Signals_US!N51=-1,-Signals_US!R51*Mapping!$E$12,0))</f>
        <v>0</v>
      </c>
      <c r="M51" s="1">
        <f>IF(Signals_US!I51=1,Signals_US!Q51*Mapping!$E$13,IF(Signals_US!I51=-1,-Signals_US!R51*Mapping!$E$13,0))</f>
        <v>0</v>
      </c>
      <c r="N51" s="1">
        <f>0</f>
        <v>0</v>
      </c>
      <c r="O51" s="1">
        <f>0</f>
        <v>0</v>
      </c>
      <c r="P51" s="1">
        <f>IF(Signals_US!E51=1,Signals_US!Q51*Mapping!$E$16,IF(Signals_US!E51=-1,-Signals_US!R51*Mapping!$E$16,0))</f>
        <v>5.000000000000001E-2</v>
      </c>
      <c r="Q51" s="1">
        <f>IF(Signals_US!J51=1,Signals_US!Q51*Mapping!$E$17,IF(Signals_US!J51=-1,-Signals_US!R51*Mapping!$E$17,0))</f>
        <v>-5.000000000000001E-2</v>
      </c>
      <c r="R51" s="1">
        <f>IF(Signals_US!K51=1,Signals_US!Q51*Mapping!$E$18,IF(Signals_US!K51=-1,-Signals_US!R51*Mapping!$E$18,0))</f>
        <v>0</v>
      </c>
      <c r="S51" s="1">
        <f>IF(Signals_US!M51=1,Signals_US!Q51*Mapping!$E$19,IF(Signals_US!M51=-1,-Signals_US!R51*Mapping!$E$19,0))</f>
        <v>5.000000000000001E-2</v>
      </c>
      <c r="T51" s="1">
        <f>IF(Signals_US!L51=1,Signals_US!Q51*Mapping!$E$20,IF(Signals_US!L51=-1,-Signals_US!R51*Mapping!$E$20,0))</f>
        <v>0</v>
      </c>
      <c r="U51" s="1">
        <f t="shared" si="0"/>
        <v>0</v>
      </c>
    </row>
    <row r="52" spans="1:21">
      <c r="A52" s="5">
        <f>Signals_US!B52</f>
        <v>40575</v>
      </c>
      <c r="B52" s="1">
        <f>0</f>
        <v>0</v>
      </c>
      <c r="C52" s="1">
        <f>IF(Signals_US!F52=1,Signals_US!Q52*Mapping!$E$3,IF(Signals_US!F52=-1,-Signals_US!R52*Mapping!$E$3,0))</f>
        <v>-1.666666666666667E-2</v>
      </c>
      <c r="D52" s="1">
        <f>IF(Signals_US!C52=1,Signals_US!Q52*Mapping!$E$4,IF(Signals_US!C52=-1,-Signals_US!R52*Mapping!$E$4,0))</f>
        <v>1.666666666666667E-2</v>
      </c>
      <c r="E52" s="1">
        <f>IF(Signals_US!C52=1,Signals_US!Q52*Mapping!$E$5,IF(Signals_US!C52=-1,-Signals_US!R52*Mapping!$E$5,0))</f>
        <v>1.666666666666667E-2</v>
      </c>
      <c r="F52" s="1">
        <f>IF(Signals_US!C52=1,Signals_US!Q52*Mapping!$E$6,IF(Signals_US!C52=-1,-Signals_US!R52*Mapping!$E$6,0))</f>
        <v>1.666666666666667E-2</v>
      </c>
      <c r="G52" s="1">
        <f>IF(Signals_US!F52=1,Signals_US!Q52*Mapping!$E$7,IF(Signals_US!F52=-1,-Signals_US!R52*Mapping!$E$7,0))</f>
        <v>-1.666666666666667E-2</v>
      </c>
      <c r="H52" s="1">
        <f>IF(Signals_US!D52=1,Signals_US!Q52*Mapping!$E$8,IF(Signals_US!D52=-1,-Signals_US!R52*Mapping!$E$8,0))</f>
        <v>0</v>
      </c>
      <c r="I52" s="1">
        <f>IF(Signals_US!G52=1,Signals_US!Q52*Mapping!$E$9,IF(Signals_US!G52=-1,-Signals_US!R52*Mapping!$E$9,0))</f>
        <v>-5.000000000000001E-2</v>
      </c>
      <c r="J52" s="1">
        <f>IF(Signals_US!H52=1,Signals_US!Q52*Mapping!$E$10,IF(Signals_US!H52=-1,-Signals_US!R52*Mapping!$E$10,0))</f>
        <v>0</v>
      </c>
      <c r="K52" s="1">
        <f>IF(Signals_US!F52=1,Signals_US!Q52*Mapping!$E$11,IF(Signals_US!F52=-1,-Signals_US!R52*Mapping!$E$11,0))</f>
        <v>-1.666666666666667E-2</v>
      </c>
      <c r="L52" s="1">
        <f>IF(Signals_US!N52=1,Signals_US!Q52*Mapping!$E$12,IF(Signals_US!N52=-1,-Signals_US!R52*Mapping!$E$12,0))</f>
        <v>0</v>
      </c>
      <c r="M52" s="1">
        <f>IF(Signals_US!I52=1,Signals_US!Q52*Mapping!$E$13,IF(Signals_US!I52=-1,-Signals_US!R52*Mapping!$E$13,0))</f>
        <v>5.000000000000001E-2</v>
      </c>
      <c r="N52" s="1">
        <f>0</f>
        <v>0</v>
      </c>
      <c r="O52" s="1">
        <f>0</f>
        <v>0</v>
      </c>
      <c r="P52" s="1">
        <f>IF(Signals_US!E52=1,Signals_US!Q52*Mapping!$E$16,IF(Signals_US!E52=-1,-Signals_US!R52*Mapping!$E$16,0))</f>
        <v>0</v>
      </c>
      <c r="Q52" s="1">
        <f>IF(Signals_US!J52=1,Signals_US!Q52*Mapping!$E$17,IF(Signals_US!J52=-1,-Signals_US!R52*Mapping!$E$17,0))</f>
        <v>-5.000000000000001E-2</v>
      </c>
      <c r="R52" s="1">
        <f>IF(Signals_US!K52=1,Signals_US!Q52*Mapping!$E$18,IF(Signals_US!K52=-1,-Signals_US!R52*Mapping!$E$18,0))</f>
        <v>0</v>
      </c>
      <c r="S52" s="1">
        <f>IF(Signals_US!M52=1,Signals_US!Q52*Mapping!$E$19,IF(Signals_US!M52=-1,-Signals_US!R52*Mapping!$E$19,0))</f>
        <v>5.000000000000001E-2</v>
      </c>
      <c r="T52" s="1">
        <f>IF(Signals_US!L52=1,Signals_US!Q52*Mapping!$E$20,IF(Signals_US!L52=-1,-Signals_US!R52*Mapping!$E$20,0))</f>
        <v>0</v>
      </c>
      <c r="U52" s="1">
        <f t="shared" si="0"/>
        <v>0</v>
      </c>
    </row>
    <row r="53" spans="1:21">
      <c r="A53" s="5">
        <f>Signals_US!B53</f>
        <v>40603</v>
      </c>
      <c r="B53" s="1">
        <f>0</f>
        <v>0</v>
      </c>
      <c r="C53" s="1">
        <f>IF(Signals_US!F53=1,Signals_US!Q53*Mapping!$E$3,IF(Signals_US!F53=-1,-Signals_US!R53*Mapping!$E$3,0))</f>
        <v>-1.666666666666667E-2</v>
      </c>
      <c r="D53" s="1">
        <f>IF(Signals_US!C53=1,Signals_US!Q53*Mapping!$E$4,IF(Signals_US!C53=-1,-Signals_US!R53*Mapping!$E$4,0))</f>
        <v>1.666666666666667E-2</v>
      </c>
      <c r="E53" s="1">
        <f>IF(Signals_US!C53=1,Signals_US!Q53*Mapping!$E$5,IF(Signals_US!C53=-1,-Signals_US!R53*Mapping!$E$5,0))</f>
        <v>1.666666666666667E-2</v>
      </c>
      <c r="F53" s="1">
        <f>IF(Signals_US!C53=1,Signals_US!Q53*Mapping!$E$6,IF(Signals_US!C53=-1,-Signals_US!R53*Mapping!$E$6,0))</f>
        <v>1.666666666666667E-2</v>
      </c>
      <c r="G53" s="1">
        <f>IF(Signals_US!F53=1,Signals_US!Q53*Mapping!$E$7,IF(Signals_US!F53=-1,-Signals_US!R53*Mapping!$E$7,0))</f>
        <v>-1.666666666666667E-2</v>
      </c>
      <c r="H53" s="1">
        <f>IF(Signals_US!D53=1,Signals_US!Q53*Mapping!$E$8,IF(Signals_US!D53=-1,-Signals_US!R53*Mapping!$E$8,0))</f>
        <v>-5.000000000000001E-2</v>
      </c>
      <c r="I53" s="1">
        <f>IF(Signals_US!G53=1,Signals_US!Q53*Mapping!$E$9,IF(Signals_US!G53=-1,-Signals_US!R53*Mapping!$E$9,0))</f>
        <v>0</v>
      </c>
      <c r="J53" s="1">
        <f>IF(Signals_US!H53=1,Signals_US!Q53*Mapping!$E$10,IF(Signals_US!H53=-1,-Signals_US!R53*Mapping!$E$10,0))</f>
        <v>0</v>
      </c>
      <c r="K53" s="1">
        <f>IF(Signals_US!F53=1,Signals_US!Q53*Mapping!$E$11,IF(Signals_US!F53=-1,-Signals_US!R53*Mapping!$E$11,0))</f>
        <v>-1.666666666666667E-2</v>
      </c>
      <c r="L53" s="1">
        <f>IF(Signals_US!N53=1,Signals_US!Q53*Mapping!$E$12,IF(Signals_US!N53=-1,-Signals_US!R53*Mapping!$E$12,0))</f>
        <v>5.000000000000001E-2</v>
      </c>
      <c r="M53" s="1">
        <f>IF(Signals_US!I53=1,Signals_US!Q53*Mapping!$E$13,IF(Signals_US!I53=-1,-Signals_US!R53*Mapping!$E$13,0))</f>
        <v>0</v>
      </c>
      <c r="N53" s="1">
        <f>0</f>
        <v>0</v>
      </c>
      <c r="O53" s="1">
        <f>0</f>
        <v>0</v>
      </c>
      <c r="P53" s="1">
        <f>IF(Signals_US!E53=1,Signals_US!Q53*Mapping!$E$16,IF(Signals_US!E53=-1,-Signals_US!R53*Mapping!$E$16,0))</f>
        <v>0</v>
      </c>
      <c r="Q53" s="1">
        <f>IF(Signals_US!J53=1,Signals_US!Q53*Mapping!$E$17,IF(Signals_US!J53=-1,-Signals_US!R53*Mapping!$E$17,0))</f>
        <v>-5.000000000000001E-2</v>
      </c>
      <c r="R53" s="1">
        <f>IF(Signals_US!K53=1,Signals_US!Q53*Mapping!$E$18,IF(Signals_US!K53=-1,-Signals_US!R53*Mapping!$E$18,0))</f>
        <v>0</v>
      </c>
      <c r="S53" s="1">
        <f>IF(Signals_US!M53=1,Signals_US!Q53*Mapping!$E$19,IF(Signals_US!M53=-1,-Signals_US!R53*Mapping!$E$19,0))</f>
        <v>5.000000000000001E-2</v>
      </c>
      <c r="T53" s="1">
        <f>IF(Signals_US!L53=1,Signals_US!Q53*Mapping!$E$20,IF(Signals_US!L53=-1,-Signals_US!R53*Mapping!$E$20,0))</f>
        <v>0</v>
      </c>
      <c r="U53" s="1">
        <f t="shared" si="0"/>
        <v>0</v>
      </c>
    </row>
    <row r="54" spans="1:21">
      <c r="A54" s="5">
        <f>Signals_US!B54</f>
        <v>40634</v>
      </c>
      <c r="B54" s="1">
        <f>0</f>
        <v>0</v>
      </c>
      <c r="C54" s="1">
        <f>IF(Signals_US!F54=1,Signals_US!Q54*Mapping!$E$3,IF(Signals_US!F54=-1,-Signals_US!R54*Mapping!$E$3,0))</f>
        <v>-1.666666666666667E-2</v>
      </c>
      <c r="D54" s="1">
        <f>IF(Signals_US!C54=1,Signals_US!Q54*Mapping!$E$4,IF(Signals_US!C54=-1,-Signals_US!R54*Mapping!$E$4,0))</f>
        <v>1.666666666666667E-2</v>
      </c>
      <c r="E54" s="1">
        <f>IF(Signals_US!C54=1,Signals_US!Q54*Mapping!$E$5,IF(Signals_US!C54=-1,-Signals_US!R54*Mapping!$E$5,0))</f>
        <v>1.666666666666667E-2</v>
      </c>
      <c r="F54" s="1">
        <f>IF(Signals_US!C54=1,Signals_US!Q54*Mapping!$E$6,IF(Signals_US!C54=-1,-Signals_US!R54*Mapping!$E$6,0))</f>
        <v>1.666666666666667E-2</v>
      </c>
      <c r="G54" s="1">
        <f>IF(Signals_US!F54=1,Signals_US!Q54*Mapping!$E$7,IF(Signals_US!F54=-1,-Signals_US!R54*Mapping!$E$7,0))</f>
        <v>-1.666666666666667E-2</v>
      </c>
      <c r="H54" s="1">
        <f>IF(Signals_US!D54=1,Signals_US!Q54*Mapping!$E$8,IF(Signals_US!D54=-1,-Signals_US!R54*Mapping!$E$8,0))</f>
        <v>-5.000000000000001E-2</v>
      </c>
      <c r="I54" s="1">
        <f>IF(Signals_US!G54=1,Signals_US!Q54*Mapping!$E$9,IF(Signals_US!G54=-1,-Signals_US!R54*Mapping!$E$9,0))</f>
        <v>-5.000000000000001E-2</v>
      </c>
      <c r="J54" s="1">
        <f>IF(Signals_US!H54=1,Signals_US!Q54*Mapping!$E$10,IF(Signals_US!H54=-1,-Signals_US!R54*Mapping!$E$10,0))</f>
        <v>0</v>
      </c>
      <c r="K54" s="1">
        <f>IF(Signals_US!F54=1,Signals_US!Q54*Mapping!$E$11,IF(Signals_US!F54=-1,-Signals_US!R54*Mapping!$E$11,0))</f>
        <v>-1.666666666666667E-2</v>
      </c>
      <c r="L54" s="1">
        <f>IF(Signals_US!N54=1,Signals_US!Q54*Mapping!$E$12,IF(Signals_US!N54=-1,-Signals_US!R54*Mapping!$E$12,0))</f>
        <v>5.000000000000001E-2</v>
      </c>
      <c r="M54" s="1">
        <f>IF(Signals_US!I54=1,Signals_US!Q54*Mapping!$E$13,IF(Signals_US!I54=-1,-Signals_US!R54*Mapping!$E$13,0))</f>
        <v>5.000000000000001E-2</v>
      </c>
      <c r="N54" s="1">
        <f>0</f>
        <v>0</v>
      </c>
      <c r="O54" s="1">
        <f>0</f>
        <v>0</v>
      </c>
      <c r="P54" s="1">
        <f>IF(Signals_US!E54=1,Signals_US!Q54*Mapping!$E$16,IF(Signals_US!E54=-1,-Signals_US!R54*Mapping!$E$16,0))</f>
        <v>0</v>
      </c>
      <c r="Q54" s="1">
        <f>IF(Signals_US!J54=1,Signals_US!Q54*Mapping!$E$17,IF(Signals_US!J54=-1,-Signals_US!R54*Mapping!$E$17,0))</f>
        <v>0</v>
      </c>
      <c r="R54" s="1">
        <f>IF(Signals_US!K54=1,Signals_US!Q54*Mapping!$E$18,IF(Signals_US!K54=-1,-Signals_US!R54*Mapping!$E$18,0))</f>
        <v>0</v>
      </c>
      <c r="S54" s="1">
        <f>IF(Signals_US!M54=1,Signals_US!Q54*Mapping!$E$19,IF(Signals_US!M54=-1,-Signals_US!R54*Mapping!$E$19,0))</f>
        <v>0</v>
      </c>
      <c r="T54" s="1">
        <f>IF(Signals_US!L54=1,Signals_US!Q54*Mapping!$E$20,IF(Signals_US!L54=-1,-Signals_US!R54*Mapping!$E$20,0))</f>
        <v>0</v>
      </c>
      <c r="U54" s="1">
        <f t="shared" si="0"/>
        <v>0</v>
      </c>
    </row>
    <row r="55" spans="1:21">
      <c r="A55" s="5">
        <f>Signals_US!B55</f>
        <v>40664</v>
      </c>
      <c r="B55" s="1">
        <f>0</f>
        <v>0</v>
      </c>
      <c r="C55" s="1">
        <f>IF(Signals_US!F55=1,Signals_US!Q55*Mapping!$E$3,IF(Signals_US!F55=-1,-Signals_US!R55*Mapping!$E$3,0))</f>
        <v>-1.666666666666667E-2</v>
      </c>
      <c r="D55" s="1">
        <f>IF(Signals_US!C55=1,Signals_US!Q55*Mapping!$E$4,IF(Signals_US!C55=-1,-Signals_US!R55*Mapping!$E$4,0))</f>
        <v>1.666666666666667E-2</v>
      </c>
      <c r="E55" s="1">
        <f>IF(Signals_US!C55=1,Signals_US!Q55*Mapping!$E$5,IF(Signals_US!C55=-1,-Signals_US!R55*Mapping!$E$5,0))</f>
        <v>1.666666666666667E-2</v>
      </c>
      <c r="F55" s="1">
        <f>IF(Signals_US!C55=1,Signals_US!Q55*Mapping!$E$6,IF(Signals_US!C55=-1,-Signals_US!R55*Mapping!$E$6,0))</f>
        <v>1.666666666666667E-2</v>
      </c>
      <c r="G55" s="1">
        <f>IF(Signals_US!F55=1,Signals_US!Q55*Mapping!$E$7,IF(Signals_US!F55=-1,-Signals_US!R55*Mapping!$E$7,0))</f>
        <v>-1.666666666666667E-2</v>
      </c>
      <c r="H55" s="1">
        <f>IF(Signals_US!D55=1,Signals_US!Q55*Mapping!$E$8,IF(Signals_US!D55=-1,-Signals_US!R55*Mapping!$E$8,0))</f>
        <v>0</v>
      </c>
      <c r="I55" s="1">
        <f>IF(Signals_US!G55=1,Signals_US!Q55*Mapping!$E$9,IF(Signals_US!G55=-1,-Signals_US!R55*Mapping!$E$9,0))</f>
        <v>0</v>
      </c>
      <c r="J55" s="1">
        <f>IF(Signals_US!H55=1,Signals_US!Q55*Mapping!$E$10,IF(Signals_US!H55=-1,-Signals_US!R55*Mapping!$E$10,0))</f>
        <v>5.000000000000001E-2</v>
      </c>
      <c r="K55" s="1">
        <f>IF(Signals_US!F55=1,Signals_US!Q55*Mapping!$E$11,IF(Signals_US!F55=-1,-Signals_US!R55*Mapping!$E$11,0))</f>
        <v>-1.666666666666667E-2</v>
      </c>
      <c r="L55" s="1">
        <f>IF(Signals_US!N55=1,Signals_US!Q55*Mapping!$E$12,IF(Signals_US!N55=-1,-Signals_US!R55*Mapping!$E$12,0))</f>
        <v>0</v>
      </c>
      <c r="M55" s="1">
        <f>IF(Signals_US!I55=1,Signals_US!Q55*Mapping!$E$13,IF(Signals_US!I55=-1,-Signals_US!R55*Mapping!$E$13,0))</f>
        <v>5.000000000000001E-2</v>
      </c>
      <c r="N55" s="1">
        <f>0</f>
        <v>0</v>
      </c>
      <c r="O55" s="1">
        <f>0</f>
        <v>0</v>
      </c>
      <c r="P55" s="1">
        <f>IF(Signals_US!E55=1,Signals_US!Q55*Mapping!$E$16,IF(Signals_US!E55=-1,-Signals_US!R55*Mapping!$E$16,0))</f>
        <v>0</v>
      </c>
      <c r="Q55" s="1">
        <f>IF(Signals_US!J55=1,Signals_US!Q55*Mapping!$E$17,IF(Signals_US!J55=-1,-Signals_US!R55*Mapping!$E$17,0))</f>
        <v>-5.000000000000001E-2</v>
      </c>
      <c r="R55" s="1">
        <f>IF(Signals_US!K55=1,Signals_US!Q55*Mapping!$E$18,IF(Signals_US!K55=-1,-Signals_US!R55*Mapping!$E$18,0))</f>
        <v>0</v>
      </c>
      <c r="S55" s="1">
        <f>IF(Signals_US!M55=1,Signals_US!Q55*Mapping!$E$19,IF(Signals_US!M55=-1,-Signals_US!R55*Mapping!$E$19,0))</f>
        <v>0</v>
      </c>
      <c r="T55" s="1">
        <f>IF(Signals_US!L55=1,Signals_US!Q55*Mapping!$E$20,IF(Signals_US!L55=-1,-Signals_US!R55*Mapping!$E$20,0))</f>
        <v>-5.000000000000001E-2</v>
      </c>
      <c r="U55" s="1">
        <f t="shared" si="0"/>
        <v>0</v>
      </c>
    </row>
    <row r="56" spans="1:21">
      <c r="A56" s="5">
        <f>Signals_US!B56</f>
        <v>40695</v>
      </c>
      <c r="B56" s="1">
        <f>0</f>
        <v>0</v>
      </c>
      <c r="C56" s="1">
        <f>IF(Signals_US!F56=1,Signals_US!Q56*Mapping!$E$3,IF(Signals_US!F56=-1,-Signals_US!R56*Mapping!$E$3,0))</f>
        <v>-1.666666666666667E-2</v>
      </c>
      <c r="D56" s="1">
        <f>IF(Signals_US!C56=1,Signals_US!Q56*Mapping!$E$4,IF(Signals_US!C56=-1,-Signals_US!R56*Mapping!$E$4,0))</f>
        <v>1.666666666666667E-2</v>
      </c>
      <c r="E56" s="1">
        <f>IF(Signals_US!C56=1,Signals_US!Q56*Mapping!$E$5,IF(Signals_US!C56=-1,-Signals_US!R56*Mapping!$E$5,0))</f>
        <v>1.666666666666667E-2</v>
      </c>
      <c r="F56" s="1">
        <f>IF(Signals_US!C56=1,Signals_US!Q56*Mapping!$E$6,IF(Signals_US!C56=-1,-Signals_US!R56*Mapping!$E$6,0))</f>
        <v>1.666666666666667E-2</v>
      </c>
      <c r="G56" s="1">
        <f>IF(Signals_US!F56=1,Signals_US!Q56*Mapping!$E$7,IF(Signals_US!F56=-1,-Signals_US!R56*Mapping!$E$7,0))</f>
        <v>-1.666666666666667E-2</v>
      </c>
      <c r="H56" s="1">
        <f>IF(Signals_US!D56=1,Signals_US!Q56*Mapping!$E$8,IF(Signals_US!D56=-1,-Signals_US!R56*Mapping!$E$8,0))</f>
        <v>5.000000000000001E-2</v>
      </c>
      <c r="I56" s="1">
        <f>IF(Signals_US!G56=1,Signals_US!Q56*Mapping!$E$9,IF(Signals_US!G56=-1,-Signals_US!R56*Mapping!$E$9,0))</f>
        <v>0</v>
      </c>
      <c r="J56" s="1">
        <f>IF(Signals_US!H56=1,Signals_US!Q56*Mapping!$E$10,IF(Signals_US!H56=-1,-Signals_US!R56*Mapping!$E$10,0))</f>
        <v>0</v>
      </c>
      <c r="K56" s="1">
        <f>IF(Signals_US!F56=1,Signals_US!Q56*Mapping!$E$11,IF(Signals_US!F56=-1,-Signals_US!R56*Mapping!$E$11,0))</f>
        <v>-1.666666666666667E-2</v>
      </c>
      <c r="L56" s="1">
        <f>IF(Signals_US!N56=1,Signals_US!Q56*Mapping!$E$12,IF(Signals_US!N56=-1,-Signals_US!R56*Mapping!$E$12,0))</f>
        <v>0</v>
      </c>
      <c r="M56" s="1">
        <f>IF(Signals_US!I56=1,Signals_US!Q56*Mapping!$E$13,IF(Signals_US!I56=-1,-Signals_US!R56*Mapping!$E$13,0))</f>
        <v>5.000000000000001E-2</v>
      </c>
      <c r="N56" s="1">
        <f>0</f>
        <v>0</v>
      </c>
      <c r="O56" s="1">
        <f>0</f>
        <v>0</v>
      </c>
      <c r="P56" s="1">
        <f>IF(Signals_US!E56=1,Signals_US!Q56*Mapping!$E$16,IF(Signals_US!E56=-1,-Signals_US!R56*Mapping!$E$16,0))</f>
        <v>-5.000000000000001E-2</v>
      </c>
      <c r="Q56" s="1">
        <f>IF(Signals_US!J56=1,Signals_US!Q56*Mapping!$E$17,IF(Signals_US!J56=-1,-Signals_US!R56*Mapping!$E$17,0))</f>
        <v>-5.000000000000001E-2</v>
      </c>
      <c r="R56" s="1">
        <f>IF(Signals_US!K56=1,Signals_US!Q56*Mapping!$E$18,IF(Signals_US!K56=-1,-Signals_US!R56*Mapping!$E$18,0))</f>
        <v>0</v>
      </c>
      <c r="S56" s="1">
        <f>IF(Signals_US!M56=1,Signals_US!Q56*Mapping!$E$19,IF(Signals_US!M56=-1,-Signals_US!R56*Mapping!$E$19,0))</f>
        <v>0</v>
      </c>
      <c r="T56" s="1">
        <f>IF(Signals_US!L56=1,Signals_US!Q56*Mapping!$E$20,IF(Signals_US!L56=-1,-Signals_US!R56*Mapping!$E$20,0))</f>
        <v>0</v>
      </c>
      <c r="U56" s="1">
        <f t="shared" si="0"/>
        <v>0</v>
      </c>
    </row>
    <row r="57" spans="1:21">
      <c r="A57" s="5">
        <f>Signals_US!B57</f>
        <v>40725</v>
      </c>
      <c r="B57" s="1">
        <f>0</f>
        <v>0</v>
      </c>
      <c r="C57" s="1">
        <f>IF(Signals_US!F57=1,Signals_US!Q57*Mapping!$E$3,IF(Signals_US!F57=-1,-Signals_US!R57*Mapping!$E$3,0))</f>
        <v>-1.666666666666667E-2</v>
      </c>
      <c r="D57" s="1">
        <f>IF(Signals_US!C57=1,Signals_US!Q57*Mapping!$E$4,IF(Signals_US!C57=-1,-Signals_US!R57*Mapping!$E$4,0))</f>
        <v>0</v>
      </c>
      <c r="E57" s="1">
        <f>IF(Signals_US!C57=1,Signals_US!Q57*Mapping!$E$5,IF(Signals_US!C57=-1,-Signals_US!R57*Mapping!$E$5,0))</f>
        <v>0</v>
      </c>
      <c r="F57" s="1">
        <f>IF(Signals_US!C57=1,Signals_US!Q57*Mapping!$E$6,IF(Signals_US!C57=-1,-Signals_US!R57*Mapping!$E$6,0))</f>
        <v>0</v>
      </c>
      <c r="G57" s="1">
        <f>IF(Signals_US!F57=1,Signals_US!Q57*Mapping!$E$7,IF(Signals_US!F57=-1,-Signals_US!R57*Mapping!$E$7,0))</f>
        <v>-1.666666666666667E-2</v>
      </c>
      <c r="H57" s="1">
        <f>IF(Signals_US!D57=1,Signals_US!Q57*Mapping!$E$8,IF(Signals_US!D57=-1,-Signals_US!R57*Mapping!$E$8,0))</f>
        <v>0</v>
      </c>
      <c r="I57" s="1">
        <f>IF(Signals_US!G57=1,Signals_US!Q57*Mapping!$E$9,IF(Signals_US!G57=-1,-Signals_US!R57*Mapping!$E$9,0))</f>
        <v>0</v>
      </c>
      <c r="J57" s="1">
        <f>IF(Signals_US!H57=1,Signals_US!Q57*Mapping!$E$10,IF(Signals_US!H57=-1,-Signals_US!R57*Mapping!$E$10,0))</f>
        <v>5.000000000000001E-2</v>
      </c>
      <c r="K57" s="1">
        <f>IF(Signals_US!F57=1,Signals_US!Q57*Mapping!$E$11,IF(Signals_US!F57=-1,-Signals_US!R57*Mapping!$E$11,0))</f>
        <v>-1.666666666666667E-2</v>
      </c>
      <c r="L57" s="1">
        <f>IF(Signals_US!N57=1,Signals_US!Q57*Mapping!$E$12,IF(Signals_US!N57=-1,-Signals_US!R57*Mapping!$E$12,0))</f>
        <v>5.000000000000001E-2</v>
      </c>
      <c r="M57" s="1">
        <f>IF(Signals_US!I57=1,Signals_US!Q57*Mapping!$E$13,IF(Signals_US!I57=-1,-Signals_US!R57*Mapping!$E$13,0))</f>
        <v>5.000000000000001E-2</v>
      </c>
      <c r="N57" s="1">
        <f>0</f>
        <v>0</v>
      </c>
      <c r="O57" s="1">
        <f>0</f>
        <v>0</v>
      </c>
      <c r="P57" s="1">
        <f>IF(Signals_US!E57=1,Signals_US!Q57*Mapping!$E$16,IF(Signals_US!E57=-1,-Signals_US!R57*Mapping!$E$16,0))</f>
        <v>0</v>
      </c>
      <c r="Q57" s="1">
        <f>IF(Signals_US!J57=1,Signals_US!Q57*Mapping!$E$17,IF(Signals_US!J57=-1,-Signals_US!R57*Mapping!$E$17,0))</f>
        <v>-5.000000000000001E-2</v>
      </c>
      <c r="R57" s="1">
        <f>IF(Signals_US!K57=1,Signals_US!Q57*Mapping!$E$18,IF(Signals_US!K57=-1,-Signals_US!R57*Mapping!$E$18,0))</f>
        <v>0</v>
      </c>
      <c r="S57" s="1">
        <f>IF(Signals_US!M57=1,Signals_US!Q57*Mapping!$E$19,IF(Signals_US!M57=-1,-Signals_US!R57*Mapping!$E$19,0))</f>
        <v>0</v>
      </c>
      <c r="T57" s="1">
        <f>IF(Signals_US!L57=1,Signals_US!Q57*Mapping!$E$20,IF(Signals_US!L57=-1,-Signals_US!R57*Mapping!$E$20,0))</f>
        <v>-5.000000000000001E-2</v>
      </c>
      <c r="U57" s="1">
        <f t="shared" si="0"/>
        <v>0</v>
      </c>
    </row>
    <row r="58" spans="1:21">
      <c r="A58" s="5">
        <f>Signals_US!B58</f>
        <v>40756</v>
      </c>
      <c r="B58" s="1">
        <f>0</f>
        <v>0</v>
      </c>
      <c r="C58" s="1">
        <f>IF(Signals_US!F58=1,Signals_US!Q58*Mapping!$E$3,IF(Signals_US!F58=-1,-Signals_US!R58*Mapping!$E$3,0))</f>
        <v>-1.666666666666667E-2</v>
      </c>
      <c r="D58" s="1">
        <f>IF(Signals_US!C58=1,Signals_US!Q58*Mapping!$E$4,IF(Signals_US!C58=-1,-Signals_US!R58*Mapping!$E$4,0))</f>
        <v>0</v>
      </c>
      <c r="E58" s="1">
        <f>IF(Signals_US!C58=1,Signals_US!Q58*Mapping!$E$5,IF(Signals_US!C58=-1,-Signals_US!R58*Mapping!$E$5,0))</f>
        <v>0</v>
      </c>
      <c r="F58" s="1">
        <f>IF(Signals_US!C58=1,Signals_US!Q58*Mapping!$E$6,IF(Signals_US!C58=-1,-Signals_US!R58*Mapping!$E$6,0))</f>
        <v>0</v>
      </c>
      <c r="G58" s="1">
        <f>IF(Signals_US!F58=1,Signals_US!Q58*Mapping!$E$7,IF(Signals_US!F58=-1,-Signals_US!R58*Mapping!$E$7,0))</f>
        <v>-1.666666666666667E-2</v>
      </c>
      <c r="H58" s="1">
        <f>IF(Signals_US!D58=1,Signals_US!Q58*Mapping!$E$8,IF(Signals_US!D58=-1,-Signals_US!R58*Mapping!$E$8,0))</f>
        <v>0</v>
      </c>
      <c r="I58" s="1">
        <f>IF(Signals_US!G58=1,Signals_US!Q58*Mapping!$E$9,IF(Signals_US!G58=-1,-Signals_US!R58*Mapping!$E$9,0))</f>
        <v>5.000000000000001E-2</v>
      </c>
      <c r="J58" s="1">
        <f>IF(Signals_US!H58=1,Signals_US!Q58*Mapping!$E$10,IF(Signals_US!H58=-1,-Signals_US!R58*Mapping!$E$10,0))</f>
        <v>0</v>
      </c>
      <c r="K58" s="1">
        <f>IF(Signals_US!F58=1,Signals_US!Q58*Mapping!$E$11,IF(Signals_US!F58=-1,-Signals_US!R58*Mapping!$E$11,0))</f>
        <v>-1.666666666666667E-2</v>
      </c>
      <c r="L58" s="1">
        <f>IF(Signals_US!N58=1,Signals_US!Q58*Mapping!$E$12,IF(Signals_US!N58=-1,-Signals_US!R58*Mapping!$E$12,0))</f>
        <v>5.000000000000001E-2</v>
      </c>
      <c r="M58" s="1">
        <f>IF(Signals_US!I58=1,Signals_US!Q58*Mapping!$E$13,IF(Signals_US!I58=-1,-Signals_US!R58*Mapping!$E$13,0))</f>
        <v>0</v>
      </c>
      <c r="N58" s="1">
        <f>0</f>
        <v>0</v>
      </c>
      <c r="O58" s="1">
        <f>0</f>
        <v>0</v>
      </c>
      <c r="P58" s="1">
        <f>IF(Signals_US!E58=1,Signals_US!Q58*Mapping!$E$16,IF(Signals_US!E58=-1,-Signals_US!R58*Mapping!$E$16,0))</f>
        <v>0</v>
      </c>
      <c r="Q58" s="1">
        <f>IF(Signals_US!J58=1,Signals_US!Q58*Mapping!$E$17,IF(Signals_US!J58=-1,-Signals_US!R58*Mapping!$E$17,0))</f>
        <v>-5.000000000000001E-2</v>
      </c>
      <c r="R58" s="1">
        <f>IF(Signals_US!K58=1,Signals_US!Q58*Mapping!$E$18,IF(Signals_US!K58=-1,-Signals_US!R58*Mapping!$E$18,0))</f>
        <v>-5.000000000000001E-2</v>
      </c>
      <c r="S58" s="1">
        <f>IF(Signals_US!M58=1,Signals_US!Q58*Mapping!$E$19,IF(Signals_US!M58=-1,-Signals_US!R58*Mapping!$E$19,0))</f>
        <v>5.000000000000001E-2</v>
      </c>
      <c r="T58" s="1">
        <f>IF(Signals_US!L58=1,Signals_US!Q58*Mapping!$E$20,IF(Signals_US!L58=-1,-Signals_US!R58*Mapping!$E$20,0))</f>
        <v>0</v>
      </c>
      <c r="U58" s="1">
        <f t="shared" si="0"/>
        <v>0</v>
      </c>
    </row>
    <row r="59" spans="1:21">
      <c r="A59" s="5">
        <f>Signals_US!B59</f>
        <v>40787</v>
      </c>
      <c r="B59" s="1">
        <f>0</f>
        <v>0</v>
      </c>
      <c r="C59" s="1">
        <f>IF(Signals_US!F59=1,Signals_US!Q59*Mapping!$E$3,IF(Signals_US!F59=-1,-Signals_US!R59*Mapping!$E$3,0))</f>
        <v>-1.666666666666667E-2</v>
      </c>
      <c r="D59" s="1">
        <f>IF(Signals_US!C59=1,Signals_US!Q59*Mapping!$E$4,IF(Signals_US!C59=-1,-Signals_US!R59*Mapping!$E$4,0))</f>
        <v>0</v>
      </c>
      <c r="E59" s="1">
        <f>IF(Signals_US!C59=1,Signals_US!Q59*Mapping!$E$5,IF(Signals_US!C59=-1,-Signals_US!R59*Mapping!$E$5,0))</f>
        <v>0</v>
      </c>
      <c r="F59" s="1">
        <f>IF(Signals_US!C59=1,Signals_US!Q59*Mapping!$E$6,IF(Signals_US!C59=-1,-Signals_US!R59*Mapping!$E$6,0))</f>
        <v>0</v>
      </c>
      <c r="G59" s="1">
        <f>IF(Signals_US!F59=1,Signals_US!Q59*Mapping!$E$7,IF(Signals_US!F59=-1,-Signals_US!R59*Mapping!$E$7,0))</f>
        <v>-1.666666666666667E-2</v>
      </c>
      <c r="H59" s="1">
        <f>IF(Signals_US!D59=1,Signals_US!Q59*Mapping!$E$8,IF(Signals_US!D59=-1,-Signals_US!R59*Mapping!$E$8,0))</f>
        <v>0</v>
      </c>
      <c r="I59" s="1">
        <f>IF(Signals_US!G59=1,Signals_US!Q59*Mapping!$E$9,IF(Signals_US!G59=-1,-Signals_US!R59*Mapping!$E$9,0))</f>
        <v>5.000000000000001E-2</v>
      </c>
      <c r="J59" s="1">
        <f>IF(Signals_US!H59=1,Signals_US!Q59*Mapping!$E$10,IF(Signals_US!H59=-1,-Signals_US!R59*Mapping!$E$10,0))</f>
        <v>-5.000000000000001E-2</v>
      </c>
      <c r="K59" s="1">
        <f>IF(Signals_US!F59=1,Signals_US!Q59*Mapping!$E$11,IF(Signals_US!F59=-1,-Signals_US!R59*Mapping!$E$11,0))</f>
        <v>-1.666666666666667E-2</v>
      </c>
      <c r="L59" s="1">
        <f>IF(Signals_US!N59=1,Signals_US!Q59*Mapping!$E$12,IF(Signals_US!N59=-1,-Signals_US!R59*Mapping!$E$12,0))</f>
        <v>0</v>
      </c>
      <c r="M59" s="1">
        <f>IF(Signals_US!I59=1,Signals_US!Q59*Mapping!$E$13,IF(Signals_US!I59=-1,-Signals_US!R59*Mapping!$E$13,0))</f>
        <v>0</v>
      </c>
      <c r="N59" s="1">
        <f>0</f>
        <v>0</v>
      </c>
      <c r="O59" s="1">
        <f>0</f>
        <v>0</v>
      </c>
      <c r="P59" s="1">
        <f>IF(Signals_US!E59=1,Signals_US!Q59*Mapping!$E$16,IF(Signals_US!E59=-1,-Signals_US!R59*Mapping!$E$16,0))</f>
        <v>5.000000000000001E-2</v>
      </c>
      <c r="Q59" s="1">
        <f>IF(Signals_US!J59=1,Signals_US!Q59*Mapping!$E$17,IF(Signals_US!J59=-1,-Signals_US!R59*Mapping!$E$17,0))</f>
        <v>-5.000000000000001E-2</v>
      </c>
      <c r="R59" s="1">
        <f>IF(Signals_US!K59=1,Signals_US!Q59*Mapping!$E$18,IF(Signals_US!K59=-1,-Signals_US!R59*Mapping!$E$18,0))</f>
        <v>0</v>
      </c>
      <c r="S59" s="1">
        <f>IF(Signals_US!M59=1,Signals_US!Q59*Mapping!$E$19,IF(Signals_US!M59=-1,-Signals_US!R59*Mapping!$E$19,0))</f>
        <v>5.000000000000001E-2</v>
      </c>
      <c r="T59" s="1">
        <f>IF(Signals_US!L59=1,Signals_US!Q59*Mapping!$E$20,IF(Signals_US!L59=-1,-Signals_US!R59*Mapping!$E$20,0))</f>
        <v>0</v>
      </c>
      <c r="U59" s="1">
        <f t="shared" si="0"/>
        <v>0</v>
      </c>
    </row>
    <row r="60" spans="1:21">
      <c r="A60" s="5">
        <f>Signals_US!B60</f>
        <v>40817</v>
      </c>
      <c r="B60" s="1">
        <f>0</f>
        <v>0</v>
      </c>
      <c r="C60" s="1">
        <f>IF(Signals_US!F60=1,Signals_US!Q60*Mapping!$E$3,IF(Signals_US!F60=-1,-Signals_US!R60*Mapping!$E$3,0))</f>
        <v>-1.666666666666667E-2</v>
      </c>
      <c r="D60" s="1">
        <f>IF(Signals_US!C60=1,Signals_US!Q60*Mapping!$E$4,IF(Signals_US!C60=-1,-Signals_US!R60*Mapping!$E$4,0))</f>
        <v>-1.666666666666667E-2</v>
      </c>
      <c r="E60" s="1">
        <f>IF(Signals_US!C60=1,Signals_US!Q60*Mapping!$E$5,IF(Signals_US!C60=-1,-Signals_US!R60*Mapping!$E$5,0))</f>
        <v>-1.666666666666667E-2</v>
      </c>
      <c r="F60" s="1">
        <f>IF(Signals_US!C60=1,Signals_US!Q60*Mapping!$E$6,IF(Signals_US!C60=-1,-Signals_US!R60*Mapping!$E$6,0))</f>
        <v>-1.666666666666667E-2</v>
      </c>
      <c r="G60" s="1">
        <f>IF(Signals_US!F60=1,Signals_US!Q60*Mapping!$E$7,IF(Signals_US!F60=-1,-Signals_US!R60*Mapping!$E$7,0))</f>
        <v>-1.666666666666667E-2</v>
      </c>
      <c r="H60" s="1">
        <f>IF(Signals_US!D60=1,Signals_US!Q60*Mapping!$E$8,IF(Signals_US!D60=-1,-Signals_US!R60*Mapping!$E$8,0))</f>
        <v>0</v>
      </c>
      <c r="I60" s="1">
        <f>IF(Signals_US!G60=1,Signals_US!Q60*Mapping!$E$9,IF(Signals_US!G60=-1,-Signals_US!R60*Mapping!$E$9,0))</f>
        <v>0</v>
      </c>
      <c r="J60" s="1">
        <f>IF(Signals_US!H60=1,Signals_US!Q60*Mapping!$E$10,IF(Signals_US!H60=-1,-Signals_US!R60*Mapping!$E$10,0))</f>
        <v>-5.000000000000001E-2</v>
      </c>
      <c r="K60" s="1">
        <f>IF(Signals_US!F60=1,Signals_US!Q60*Mapping!$E$11,IF(Signals_US!F60=-1,-Signals_US!R60*Mapping!$E$11,0))</f>
        <v>-1.666666666666667E-2</v>
      </c>
      <c r="L60" s="1">
        <f>IF(Signals_US!N60=1,Signals_US!Q60*Mapping!$E$12,IF(Signals_US!N60=-1,-Signals_US!R60*Mapping!$E$12,0))</f>
        <v>0</v>
      </c>
      <c r="M60" s="1">
        <f>IF(Signals_US!I60=1,Signals_US!Q60*Mapping!$E$13,IF(Signals_US!I60=-1,-Signals_US!R60*Mapping!$E$13,0))</f>
        <v>0</v>
      </c>
      <c r="N60" s="1">
        <f>0</f>
        <v>0</v>
      </c>
      <c r="O60" s="1">
        <f>0</f>
        <v>0</v>
      </c>
      <c r="P60" s="1">
        <f>IF(Signals_US!E60=1,Signals_US!Q60*Mapping!$E$16,IF(Signals_US!E60=-1,-Signals_US!R60*Mapping!$E$16,0))</f>
        <v>5.000000000000001E-2</v>
      </c>
      <c r="Q60" s="1">
        <f>IF(Signals_US!J60=1,Signals_US!Q60*Mapping!$E$17,IF(Signals_US!J60=-1,-Signals_US!R60*Mapping!$E$17,0))</f>
        <v>0</v>
      </c>
      <c r="R60" s="1">
        <f>IF(Signals_US!K60=1,Signals_US!Q60*Mapping!$E$18,IF(Signals_US!K60=-1,-Signals_US!R60*Mapping!$E$18,0))</f>
        <v>0</v>
      </c>
      <c r="S60" s="1">
        <f>IF(Signals_US!M60=1,Signals_US!Q60*Mapping!$E$19,IF(Signals_US!M60=-1,-Signals_US!R60*Mapping!$E$19,0))</f>
        <v>5.000000000000001E-2</v>
      </c>
      <c r="T60" s="1">
        <f>IF(Signals_US!L60=1,Signals_US!Q60*Mapping!$E$20,IF(Signals_US!L60=-1,-Signals_US!R60*Mapping!$E$20,0))</f>
        <v>5.000000000000001E-2</v>
      </c>
      <c r="U60" s="1">
        <f t="shared" si="0"/>
        <v>0</v>
      </c>
    </row>
    <row r="61" spans="1:21">
      <c r="A61" s="5">
        <f>Signals_US!B61</f>
        <v>40848</v>
      </c>
      <c r="B61" s="1">
        <f>0</f>
        <v>0</v>
      </c>
      <c r="C61" s="1">
        <f>IF(Signals_US!F61=1,Signals_US!Q61*Mapping!$E$3,IF(Signals_US!F61=-1,-Signals_US!R61*Mapping!$E$3,0))</f>
        <v>-1.666666666666667E-2</v>
      </c>
      <c r="D61" s="1">
        <f>IF(Signals_US!C61=1,Signals_US!Q61*Mapping!$E$4,IF(Signals_US!C61=-1,-Signals_US!R61*Mapping!$E$4,0))</f>
        <v>0</v>
      </c>
      <c r="E61" s="1">
        <f>IF(Signals_US!C61=1,Signals_US!Q61*Mapping!$E$5,IF(Signals_US!C61=-1,-Signals_US!R61*Mapping!$E$5,0))</f>
        <v>0</v>
      </c>
      <c r="F61" s="1">
        <f>IF(Signals_US!C61=1,Signals_US!Q61*Mapping!$E$6,IF(Signals_US!C61=-1,-Signals_US!R61*Mapping!$E$6,0))</f>
        <v>0</v>
      </c>
      <c r="G61" s="1">
        <f>IF(Signals_US!F61=1,Signals_US!Q61*Mapping!$E$7,IF(Signals_US!F61=-1,-Signals_US!R61*Mapping!$E$7,0))</f>
        <v>-1.666666666666667E-2</v>
      </c>
      <c r="H61" s="1">
        <f>IF(Signals_US!D61=1,Signals_US!Q61*Mapping!$E$8,IF(Signals_US!D61=-1,-Signals_US!R61*Mapping!$E$8,0))</f>
        <v>0</v>
      </c>
      <c r="I61" s="1">
        <f>IF(Signals_US!G61=1,Signals_US!Q61*Mapping!$E$9,IF(Signals_US!G61=-1,-Signals_US!R61*Mapping!$E$9,0))</f>
        <v>0</v>
      </c>
      <c r="J61" s="1">
        <f>IF(Signals_US!H61=1,Signals_US!Q61*Mapping!$E$10,IF(Signals_US!H61=-1,-Signals_US!R61*Mapping!$E$10,0))</f>
        <v>0</v>
      </c>
      <c r="K61" s="1">
        <f>IF(Signals_US!F61=1,Signals_US!Q61*Mapping!$E$11,IF(Signals_US!F61=-1,-Signals_US!R61*Mapping!$E$11,0))</f>
        <v>-1.666666666666667E-2</v>
      </c>
      <c r="L61" s="1">
        <f>IF(Signals_US!N61=1,Signals_US!Q61*Mapping!$E$12,IF(Signals_US!N61=-1,-Signals_US!R61*Mapping!$E$12,0))</f>
        <v>5.000000000000001E-2</v>
      </c>
      <c r="M61" s="1">
        <f>IF(Signals_US!I61=1,Signals_US!Q61*Mapping!$E$13,IF(Signals_US!I61=-1,-Signals_US!R61*Mapping!$E$13,0))</f>
        <v>0</v>
      </c>
      <c r="N61" s="1">
        <f>0</f>
        <v>0</v>
      </c>
      <c r="O61" s="1">
        <f>0</f>
        <v>0</v>
      </c>
      <c r="P61" s="1">
        <f>IF(Signals_US!E61=1,Signals_US!Q61*Mapping!$E$16,IF(Signals_US!E61=-1,-Signals_US!R61*Mapping!$E$16,0))</f>
        <v>5.000000000000001E-2</v>
      </c>
      <c r="Q61" s="1">
        <f>IF(Signals_US!J61=1,Signals_US!Q61*Mapping!$E$17,IF(Signals_US!J61=-1,-Signals_US!R61*Mapping!$E$17,0))</f>
        <v>5.000000000000001E-2</v>
      </c>
      <c r="R61" s="1">
        <f>IF(Signals_US!K61=1,Signals_US!Q61*Mapping!$E$18,IF(Signals_US!K61=-1,-Signals_US!R61*Mapping!$E$18,0))</f>
        <v>-5.000000000000001E-2</v>
      </c>
      <c r="S61" s="1">
        <f>IF(Signals_US!M61=1,Signals_US!Q61*Mapping!$E$19,IF(Signals_US!M61=-1,-Signals_US!R61*Mapping!$E$19,0))</f>
        <v>0</v>
      </c>
      <c r="T61" s="1">
        <f>IF(Signals_US!L61=1,Signals_US!Q61*Mapping!$E$20,IF(Signals_US!L61=-1,-Signals_US!R61*Mapping!$E$20,0))</f>
        <v>-5.000000000000001E-2</v>
      </c>
      <c r="U61" s="1">
        <f t="shared" si="0"/>
        <v>0</v>
      </c>
    </row>
    <row r="62" spans="1:21">
      <c r="A62" s="5">
        <f>Signals_US!B62</f>
        <v>40878</v>
      </c>
      <c r="B62" s="1">
        <f>0</f>
        <v>0</v>
      </c>
      <c r="C62" s="1">
        <f>IF(Signals_US!F62=1,Signals_US!Q62*Mapping!$E$3,IF(Signals_US!F62=-1,-Signals_US!R62*Mapping!$E$3,0))</f>
        <v>-1.666666666666667E-2</v>
      </c>
      <c r="D62" s="1">
        <f>IF(Signals_US!C62=1,Signals_US!Q62*Mapping!$E$4,IF(Signals_US!C62=-1,-Signals_US!R62*Mapping!$E$4,0))</f>
        <v>-1.666666666666667E-2</v>
      </c>
      <c r="E62" s="1">
        <f>IF(Signals_US!C62=1,Signals_US!Q62*Mapping!$E$5,IF(Signals_US!C62=-1,-Signals_US!R62*Mapping!$E$5,0))</f>
        <v>-1.666666666666667E-2</v>
      </c>
      <c r="F62" s="1">
        <f>IF(Signals_US!C62=1,Signals_US!Q62*Mapping!$E$6,IF(Signals_US!C62=-1,-Signals_US!R62*Mapping!$E$6,0))</f>
        <v>-1.666666666666667E-2</v>
      </c>
      <c r="G62" s="1">
        <f>IF(Signals_US!F62=1,Signals_US!Q62*Mapping!$E$7,IF(Signals_US!F62=-1,-Signals_US!R62*Mapping!$E$7,0))</f>
        <v>-1.666666666666667E-2</v>
      </c>
      <c r="H62" s="1">
        <f>IF(Signals_US!D62=1,Signals_US!Q62*Mapping!$E$8,IF(Signals_US!D62=-1,-Signals_US!R62*Mapping!$E$8,0))</f>
        <v>5.000000000000001E-2</v>
      </c>
      <c r="I62" s="1">
        <f>IF(Signals_US!G62=1,Signals_US!Q62*Mapping!$E$9,IF(Signals_US!G62=-1,-Signals_US!R62*Mapping!$E$9,0))</f>
        <v>0</v>
      </c>
      <c r="J62" s="1">
        <f>IF(Signals_US!H62=1,Signals_US!Q62*Mapping!$E$10,IF(Signals_US!H62=-1,-Signals_US!R62*Mapping!$E$10,0))</f>
        <v>0</v>
      </c>
      <c r="K62" s="1">
        <f>IF(Signals_US!F62=1,Signals_US!Q62*Mapping!$E$11,IF(Signals_US!F62=-1,-Signals_US!R62*Mapping!$E$11,0))</f>
        <v>-1.666666666666667E-2</v>
      </c>
      <c r="L62" s="1">
        <f>IF(Signals_US!N62=1,Signals_US!Q62*Mapping!$E$12,IF(Signals_US!N62=-1,-Signals_US!R62*Mapping!$E$12,0))</f>
        <v>0</v>
      </c>
      <c r="M62" s="1">
        <f>IF(Signals_US!I62=1,Signals_US!Q62*Mapping!$E$13,IF(Signals_US!I62=-1,-Signals_US!R62*Mapping!$E$13,0))</f>
        <v>-5.000000000000001E-2</v>
      </c>
      <c r="N62" s="1">
        <f>0</f>
        <v>0</v>
      </c>
      <c r="O62" s="1">
        <f>0</f>
        <v>0</v>
      </c>
      <c r="P62" s="1">
        <f>IF(Signals_US!E62=1,Signals_US!Q62*Mapping!$E$16,IF(Signals_US!E62=-1,-Signals_US!R62*Mapping!$E$16,0))</f>
        <v>5.000000000000001E-2</v>
      </c>
      <c r="Q62" s="1">
        <f>IF(Signals_US!J62=1,Signals_US!Q62*Mapping!$E$17,IF(Signals_US!J62=-1,-Signals_US!R62*Mapping!$E$17,0))</f>
        <v>5.000000000000001E-2</v>
      </c>
      <c r="R62" s="1">
        <f>IF(Signals_US!K62=1,Signals_US!Q62*Mapping!$E$18,IF(Signals_US!K62=-1,-Signals_US!R62*Mapping!$E$18,0))</f>
        <v>0</v>
      </c>
      <c r="S62" s="1">
        <f>IF(Signals_US!M62=1,Signals_US!Q62*Mapping!$E$19,IF(Signals_US!M62=-1,-Signals_US!R62*Mapping!$E$19,0))</f>
        <v>0</v>
      </c>
      <c r="T62" s="1">
        <f>IF(Signals_US!L62=1,Signals_US!Q62*Mapping!$E$20,IF(Signals_US!L62=-1,-Signals_US!R62*Mapping!$E$20,0))</f>
        <v>0</v>
      </c>
      <c r="U62" s="1">
        <f t="shared" si="0"/>
        <v>0</v>
      </c>
    </row>
    <row r="63" spans="1:21">
      <c r="A63" s="5">
        <f>Signals_US!B63</f>
        <v>40909</v>
      </c>
      <c r="B63" s="1">
        <f>0</f>
        <v>0</v>
      </c>
      <c r="C63" s="1">
        <f>IF(Signals_US!F63=1,Signals_US!Q63*Mapping!$E$3,IF(Signals_US!F63=-1,-Signals_US!R63*Mapping!$E$3,0))</f>
        <v>-1.666666666666667E-2</v>
      </c>
      <c r="D63" s="1">
        <f>IF(Signals_US!C63=1,Signals_US!Q63*Mapping!$E$4,IF(Signals_US!C63=-1,-Signals_US!R63*Mapping!$E$4,0))</f>
        <v>-1.666666666666667E-2</v>
      </c>
      <c r="E63" s="1">
        <f>IF(Signals_US!C63=1,Signals_US!Q63*Mapping!$E$5,IF(Signals_US!C63=-1,-Signals_US!R63*Mapping!$E$5,0))</f>
        <v>-1.666666666666667E-2</v>
      </c>
      <c r="F63" s="1">
        <f>IF(Signals_US!C63=1,Signals_US!Q63*Mapping!$E$6,IF(Signals_US!C63=-1,-Signals_US!R63*Mapping!$E$6,0))</f>
        <v>-1.666666666666667E-2</v>
      </c>
      <c r="G63" s="1">
        <f>IF(Signals_US!F63=1,Signals_US!Q63*Mapping!$E$7,IF(Signals_US!F63=-1,-Signals_US!R63*Mapping!$E$7,0))</f>
        <v>-1.666666666666667E-2</v>
      </c>
      <c r="H63" s="1">
        <f>IF(Signals_US!D63=1,Signals_US!Q63*Mapping!$E$8,IF(Signals_US!D63=-1,-Signals_US!R63*Mapping!$E$8,0))</f>
        <v>0</v>
      </c>
      <c r="I63" s="1">
        <f>IF(Signals_US!G63=1,Signals_US!Q63*Mapping!$E$9,IF(Signals_US!G63=-1,-Signals_US!R63*Mapping!$E$9,0))</f>
        <v>0</v>
      </c>
      <c r="J63" s="1">
        <f>IF(Signals_US!H63=1,Signals_US!Q63*Mapping!$E$10,IF(Signals_US!H63=-1,-Signals_US!R63*Mapping!$E$10,0))</f>
        <v>0</v>
      </c>
      <c r="K63" s="1">
        <f>IF(Signals_US!F63=1,Signals_US!Q63*Mapping!$E$11,IF(Signals_US!F63=-1,-Signals_US!R63*Mapping!$E$11,0))</f>
        <v>-1.666666666666667E-2</v>
      </c>
      <c r="L63" s="1">
        <f>IF(Signals_US!N63=1,Signals_US!Q63*Mapping!$E$12,IF(Signals_US!N63=-1,-Signals_US!R63*Mapping!$E$12,0))</f>
        <v>0</v>
      </c>
      <c r="M63" s="1">
        <f>IF(Signals_US!I63=1,Signals_US!Q63*Mapping!$E$13,IF(Signals_US!I63=-1,-Signals_US!R63*Mapping!$E$13,0))</f>
        <v>0</v>
      </c>
      <c r="N63" s="1">
        <f>0</f>
        <v>0</v>
      </c>
      <c r="O63" s="1">
        <f>0</f>
        <v>0</v>
      </c>
      <c r="P63" s="1">
        <f>IF(Signals_US!E63=1,Signals_US!Q63*Mapping!$E$16,IF(Signals_US!E63=-1,-Signals_US!R63*Mapping!$E$16,0))</f>
        <v>5.000000000000001E-2</v>
      </c>
      <c r="Q63" s="1">
        <f>IF(Signals_US!J63=1,Signals_US!Q63*Mapping!$E$17,IF(Signals_US!J63=-1,-Signals_US!R63*Mapping!$E$17,0))</f>
        <v>5.000000000000001E-2</v>
      </c>
      <c r="R63" s="1">
        <f>IF(Signals_US!K63=1,Signals_US!Q63*Mapping!$E$18,IF(Signals_US!K63=-1,-Signals_US!R63*Mapping!$E$18,0))</f>
        <v>-5.000000000000001E-2</v>
      </c>
      <c r="S63" s="1">
        <f>IF(Signals_US!M63=1,Signals_US!Q63*Mapping!$E$19,IF(Signals_US!M63=-1,-Signals_US!R63*Mapping!$E$19,0))</f>
        <v>0</v>
      </c>
      <c r="T63" s="1">
        <f>IF(Signals_US!L63=1,Signals_US!Q63*Mapping!$E$20,IF(Signals_US!L63=-1,-Signals_US!R63*Mapping!$E$20,0))</f>
        <v>5.000000000000001E-2</v>
      </c>
      <c r="U63" s="1">
        <f t="shared" si="0"/>
        <v>0</v>
      </c>
    </row>
    <row r="64" spans="1:21">
      <c r="A64" s="5">
        <f>Signals_US!B64</f>
        <v>40940</v>
      </c>
      <c r="B64" s="1">
        <f>0</f>
        <v>0</v>
      </c>
      <c r="C64" s="1">
        <f>IF(Signals_US!F64=1,Signals_US!Q64*Mapping!$E$3,IF(Signals_US!F64=-1,-Signals_US!R64*Mapping!$E$3,0))</f>
        <v>-1.666666666666667E-2</v>
      </c>
      <c r="D64" s="1">
        <f>IF(Signals_US!C64=1,Signals_US!Q64*Mapping!$E$4,IF(Signals_US!C64=-1,-Signals_US!R64*Mapping!$E$4,0))</f>
        <v>-1.666666666666667E-2</v>
      </c>
      <c r="E64" s="1">
        <f>IF(Signals_US!C64=1,Signals_US!Q64*Mapping!$E$5,IF(Signals_US!C64=-1,-Signals_US!R64*Mapping!$E$5,0))</f>
        <v>-1.666666666666667E-2</v>
      </c>
      <c r="F64" s="1">
        <f>IF(Signals_US!C64=1,Signals_US!Q64*Mapping!$E$6,IF(Signals_US!C64=-1,-Signals_US!R64*Mapping!$E$6,0))</f>
        <v>-1.666666666666667E-2</v>
      </c>
      <c r="G64" s="1">
        <f>IF(Signals_US!F64=1,Signals_US!Q64*Mapping!$E$7,IF(Signals_US!F64=-1,-Signals_US!R64*Mapping!$E$7,0))</f>
        <v>-1.666666666666667E-2</v>
      </c>
      <c r="H64" s="1">
        <f>IF(Signals_US!D64=1,Signals_US!Q64*Mapping!$E$8,IF(Signals_US!D64=-1,-Signals_US!R64*Mapping!$E$8,0))</f>
        <v>5.000000000000001E-2</v>
      </c>
      <c r="I64" s="1">
        <f>IF(Signals_US!G64=1,Signals_US!Q64*Mapping!$E$9,IF(Signals_US!G64=-1,-Signals_US!R64*Mapping!$E$9,0))</f>
        <v>0</v>
      </c>
      <c r="J64" s="1">
        <f>IF(Signals_US!H64=1,Signals_US!Q64*Mapping!$E$10,IF(Signals_US!H64=-1,-Signals_US!R64*Mapping!$E$10,0))</f>
        <v>0</v>
      </c>
      <c r="K64" s="1">
        <f>IF(Signals_US!F64=1,Signals_US!Q64*Mapping!$E$11,IF(Signals_US!F64=-1,-Signals_US!R64*Mapping!$E$11,0))</f>
        <v>-1.666666666666667E-2</v>
      </c>
      <c r="L64" s="1">
        <f>IF(Signals_US!N64=1,Signals_US!Q64*Mapping!$E$12,IF(Signals_US!N64=-1,-Signals_US!R64*Mapping!$E$12,0))</f>
        <v>0</v>
      </c>
      <c r="M64" s="1">
        <f>IF(Signals_US!I64=1,Signals_US!Q64*Mapping!$E$13,IF(Signals_US!I64=-1,-Signals_US!R64*Mapping!$E$13,0))</f>
        <v>-5.000000000000001E-2</v>
      </c>
      <c r="N64" s="1">
        <f>0</f>
        <v>0</v>
      </c>
      <c r="O64" s="1">
        <f>0</f>
        <v>0</v>
      </c>
      <c r="P64" s="1">
        <f>IF(Signals_US!E64=1,Signals_US!Q64*Mapping!$E$16,IF(Signals_US!E64=-1,-Signals_US!R64*Mapping!$E$16,0))</f>
        <v>5.000000000000001E-2</v>
      </c>
      <c r="Q64" s="1">
        <f>IF(Signals_US!J64=1,Signals_US!Q64*Mapping!$E$17,IF(Signals_US!J64=-1,-Signals_US!R64*Mapping!$E$17,0))</f>
        <v>5.000000000000001E-2</v>
      </c>
      <c r="R64" s="1">
        <f>IF(Signals_US!K64=1,Signals_US!Q64*Mapping!$E$18,IF(Signals_US!K64=-1,-Signals_US!R64*Mapping!$E$18,0))</f>
        <v>0</v>
      </c>
      <c r="S64" s="1">
        <f>IF(Signals_US!M64=1,Signals_US!Q64*Mapping!$E$19,IF(Signals_US!M64=-1,-Signals_US!R64*Mapping!$E$19,0))</f>
        <v>0</v>
      </c>
      <c r="T64" s="1">
        <f>IF(Signals_US!L64=1,Signals_US!Q64*Mapping!$E$20,IF(Signals_US!L64=-1,-Signals_US!R64*Mapping!$E$20,0))</f>
        <v>0</v>
      </c>
      <c r="U64" s="1">
        <f t="shared" si="0"/>
        <v>0</v>
      </c>
    </row>
    <row r="65" spans="1:21">
      <c r="A65" s="5">
        <f>Signals_US!B65</f>
        <v>40969</v>
      </c>
      <c r="B65" s="1">
        <f>0</f>
        <v>0</v>
      </c>
      <c r="C65" s="1">
        <f>IF(Signals_US!F65=1,Signals_US!Q65*Mapping!$E$3,IF(Signals_US!F65=-1,-Signals_US!R65*Mapping!$E$3,0))</f>
        <v>-1.666666666666667E-2</v>
      </c>
      <c r="D65" s="1">
        <f>IF(Signals_US!C65=1,Signals_US!Q65*Mapping!$E$4,IF(Signals_US!C65=-1,-Signals_US!R65*Mapping!$E$4,0))</f>
        <v>-1.666666666666667E-2</v>
      </c>
      <c r="E65" s="1">
        <f>IF(Signals_US!C65=1,Signals_US!Q65*Mapping!$E$5,IF(Signals_US!C65=-1,-Signals_US!R65*Mapping!$E$5,0))</f>
        <v>-1.666666666666667E-2</v>
      </c>
      <c r="F65" s="1">
        <f>IF(Signals_US!C65=1,Signals_US!Q65*Mapping!$E$6,IF(Signals_US!C65=-1,-Signals_US!R65*Mapping!$E$6,0))</f>
        <v>-1.666666666666667E-2</v>
      </c>
      <c r="G65" s="1">
        <f>IF(Signals_US!F65=1,Signals_US!Q65*Mapping!$E$7,IF(Signals_US!F65=-1,-Signals_US!R65*Mapping!$E$7,0))</f>
        <v>-1.666666666666667E-2</v>
      </c>
      <c r="H65" s="1">
        <f>IF(Signals_US!D65=1,Signals_US!Q65*Mapping!$E$8,IF(Signals_US!D65=-1,-Signals_US!R65*Mapping!$E$8,0))</f>
        <v>0</v>
      </c>
      <c r="I65" s="1">
        <f>IF(Signals_US!G65=1,Signals_US!Q65*Mapping!$E$9,IF(Signals_US!G65=-1,-Signals_US!R65*Mapping!$E$9,0))</f>
        <v>0</v>
      </c>
      <c r="J65" s="1">
        <f>IF(Signals_US!H65=1,Signals_US!Q65*Mapping!$E$10,IF(Signals_US!H65=-1,-Signals_US!R65*Mapping!$E$10,0))</f>
        <v>0</v>
      </c>
      <c r="K65" s="1">
        <f>IF(Signals_US!F65=1,Signals_US!Q65*Mapping!$E$11,IF(Signals_US!F65=-1,-Signals_US!R65*Mapping!$E$11,0))</f>
        <v>-1.666666666666667E-2</v>
      </c>
      <c r="L65" s="1">
        <f>IF(Signals_US!N65=1,Signals_US!Q65*Mapping!$E$12,IF(Signals_US!N65=-1,-Signals_US!R65*Mapping!$E$12,0))</f>
        <v>5.000000000000001E-2</v>
      </c>
      <c r="M65" s="1">
        <f>IF(Signals_US!I65=1,Signals_US!Q65*Mapping!$E$13,IF(Signals_US!I65=-1,-Signals_US!R65*Mapping!$E$13,0))</f>
        <v>-5.000000000000001E-2</v>
      </c>
      <c r="N65" s="1">
        <f>0</f>
        <v>0</v>
      </c>
      <c r="O65" s="1">
        <f>0</f>
        <v>0</v>
      </c>
      <c r="P65" s="1">
        <f>IF(Signals_US!E65=1,Signals_US!Q65*Mapping!$E$16,IF(Signals_US!E65=-1,-Signals_US!R65*Mapping!$E$16,0))</f>
        <v>5.000000000000001E-2</v>
      </c>
      <c r="Q65" s="1">
        <f>IF(Signals_US!J65=1,Signals_US!Q65*Mapping!$E$17,IF(Signals_US!J65=-1,-Signals_US!R65*Mapping!$E$17,0))</f>
        <v>5.000000000000001E-2</v>
      </c>
      <c r="R65" s="1">
        <f>IF(Signals_US!K65=1,Signals_US!Q65*Mapping!$E$18,IF(Signals_US!K65=-1,-Signals_US!R65*Mapping!$E$18,0))</f>
        <v>0</v>
      </c>
      <c r="S65" s="1">
        <f>IF(Signals_US!M65=1,Signals_US!Q65*Mapping!$E$19,IF(Signals_US!M65=-1,-Signals_US!R65*Mapping!$E$19,0))</f>
        <v>0</v>
      </c>
      <c r="T65" s="1">
        <f>IF(Signals_US!L65=1,Signals_US!Q65*Mapping!$E$20,IF(Signals_US!L65=-1,-Signals_US!R65*Mapping!$E$20,0))</f>
        <v>0</v>
      </c>
      <c r="U65" s="1">
        <f t="shared" si="0"/>
        <v>0</v>
      </c>
    </row>
    <row r="66" spans="1:21">
      <c r="A66" s="5">
        <f>Signals_US!B66</f>
        <v>41000</v>
      </c>
      <c r="B66" s="1">
        <f>0</f>
        <v>0</v>
      </c>
      <c r="C66" s="1">
        <f>IF(Signals_US!F66=1,Signals_US!Q66*Mapping!$E$3,IF(Signals_US!F66=-1,-Signals_US!R66*Mapping!$E$3,0))</f>
        <v>-1.666666666666667E-2</v>
      </c>
      <c r="D66" s="1">
        <f>IF(Signals_US!C66=1,Signals_US!Q66*Mapping!$E$4,IF(Signals_US!C66=-1,-Signals_US!R66*Mapping!$E$4,0))</f>
        <v>-1.666666666666667E-2</v>
      </c>
      <c r="E66" s="1">
        <f>IF(Signals_US!C66=1,Signals_US!Q66*Mapping!$E$5,IF(Signals_US!C66=-1,-Signals_US!R66*Mapping!$E$5,0))</f>
        <v>-1.666666666666667E-2</v>
      </c>
      <c r="F66" s="1">
        <f>IF(Signals_US!C66=1,Signals_US!Q66*Mapping!$E$6,IF(Signals_US!C66=-1,-Signals_US!R66*Mapping!$E$6,0))</f>
        <v>-1.666666666666667E-2</v>
      </c>
      <c r="G66" s="1">
        <f>IF(Signals_US!F66=1,Signals_US!Q66*Mapping!$E$7,IF(Signals_US!F66=-1,-Signals_US!R66*Mapping!$E$7,0))</f>
        <v>-1.666666666666667E-2</v>
      </c>
      <c r="H66" s="1">
        <f>IF(Signals_US!D66=1,Signals_US!Q66*Mapping!$E$8,IF(Signals_US!D66=-1,-Signals_US!R66*Mapping!$E$8,0))</f>
        <v>0</v>
      </c>
      <c r="I66" s="1">
        <f>IF(Signals_US!G66=1,Signals_US!Q66*Mapping!$E$9,IF(Signals_US!G66=-1,-Signals_US!R66*Mapping!$E$9,0))</f>
        <v>0</v>
      </c>
      <c r="J66" s="1">
        <f>IF(Signals_US!H66=1,Signals_US!Q66*Mapping!$E$10,IF(Signals_US!H66=-1,-Signals_US!R66*Mapping!$E$10,0))</f>
        <v>0</v>
      </c>
      <c r="K66" s="1">
        <f>IF(Signals_US!F66=1,Signals_US!Q66*Mapping!$E$11,IF(Signals_US!F66=-1,-Signals_US!R66*Mapping!$E$11,0))</f>
        <v>-1.666666666666667E-2</v>
      </c>
      <c r="L66" s="1">
        <f>IF(Signals_US!N66=1,Signals_US!Q66*Mapping!$E$12,IF(Signals_US!N66=-1,-Signals_US!R66*Mapping!$E$12,0))</f>
        <v>5.000000000000001E-2</v>
      </c>
      <c r="M66" s="1">
        <f>IF(Signals_US!I66=1,Signals_US!Q66*Mapping!$E$13,IF(Signals_US!I66=-1,-Signals_US!R66*Mapping!$E$13,0))</f>
        <v>0</v>
      </c>
      <c r="N66" s="1">
        <f>0</f>
        <v>0</v>
      </c>
      <c r="O66" s="1">
        <f>0</f>
        <v>0</v>
      </c>
      <c r="P66" s="1">
        <f>IF(Signals_US!E66=1,Signals_US!Q66*Mapping!$E$16,IF(Signals_US!E66=-1,-Signals_US!R66*Mapping!$E$16,0))</f>
        <v>5.000000000000001E-2</v>
      </c>
      <c r="Q66" s="1">
        <f>IF(Signals_US!J66=1,Signals_US!Q66*Mapping!$E$17,IF(Signals_US!J66=-1,-Signals_US!R66*Mapping!$E$17,0))</f>
        <v>5.000000000000001E-2</v>
      </c>
      <c r="R66" s="1">
        <f>IF(Signals_US!K66=1,Signals_US!Q66*Mapping!$E$18,IF(Signals_US!K66=-1,-Signals_US!R66*Mapping!$E$18,0))</f>
        <v>0</v>
      </c>
      <c r="S66" s="1">
        <f>IF(Signals_US!M66=1,Signals_US!Q66*Mapping!$E$19,IF(Signals_US!M66=-1,-Signals_US!R66*Mapping!$E$19,0))</f>
        <v>0</v>
      </c>
      <c r="T66" s="1">
        <f>IF(Signals_US!L66=1,Signals_US!Q66*Mapping!$E$20,IF(Signals_US!L66=-1,-Signals_US!R66*Mapping!$E$20,0))</f>
        <v>-5.000000000000001E-2</v>
      </c>
      <c r="U66" s="1">
        <f t="shared" si="0"/>
        <v>0</v>
      </c>
    </row>
    <row r="67" spans="1:21">
      <c r="A67" s="5">
        <f>Signals_US!B67</f>
        <v>41030</v>
      </c>
      <c r="B67" s="1">
        <f>0</f>
        <v>0</v>
      </c>
      <c r="C67" s="1">
        <f>IF(Signals_US!F67=1,Signals_US!Q67*Mapping!$E$3,IF(Signals_US!F67=-1,-Signals_US!R67*Mapping!$E$3,0))</f>
        <v>0</v>
      </c>
      <c r="D67" s="1">
        <f>IF(Signals_US!C67=1,Signals_US!Q67*Mapping!$E$4,IF(Signals_US!C67=-1,-Signals_US!R67*Mapping!$E$4,0))</f>
        <v>-1.666666666666667E-2</v>
      </c>
      <c r="E67" s="1">
        <f>IF(Signals_US!C67=1,Signals_US!Q67*Mapping!$E$5,IF(Signals_US!C67=-1,-Signals_US!R67*Mapping!$E$5,0))</f>
        <v>-1.666666666666667E-2</v>
      </c>
      <c r="F67" s="1">
        <f>IF(Signals_US!C67=1,Signals_US!Q67*Mapping!$E$6,IF(Signals_US!C67=-1,-Signals_US!R67*Mapping!$E$6,0))</f>
        <v>-1.666666666666667E-2</v>
      </c>
      <c r="G67" s="1">
        <f>IF(Signals_US!F67=1,Signals_US!Q67*Mapping!$E$7,IF(Signals_US!F67=-1,-Signals_US!R67*Mapping!$E$7,0))</f>
        <v>0</v>
      </c>
      <c r="H67" s="1">
        <f>IF(Signals_US!D67=1,Signals_US!Q67*Mapping!$E$8,IF(Signals_US!D67=-1,-Signals_US!R67*Mapping!$E$8,0))</f>
        <v>0</v>
      </c>
      <c r="I67" s="1">
        <f>IF(Signals_US!G67=1,Signals_US!Q67*Mapping!$E$9,IF(Signals_US!G67=-1,-Signals_US!R67*Mapping!$E$9,0))</f>
        <v>0</v>
      </c>
      <c r="J67" s="1">
        <f>IF(Signals_US!H67=1,Signals_US!Q67*Mapping!$E$10,IF(Signals_US!H67=-1,-Signals_US!R67*Mapping!$E$10,0))</f>
        <v>0</v>
      </c>
      <c r="K67" s="1">
        <f>IF(Signals_US!F67=1,Signals_US!Q67*Mapping!$E$11,IF(Signals_US!F67=-1,-Signals_US!R67*Mapping!$E$11,0))</f>
        <v>0</v>
      </c>
      <c r="L67" s="1">
        <f>IF(Signals_US!N67=1,Signals_US!Q67*Mapping!$E$12,IF(Signals_US!N67=-1,-Signals_US!R67*Mapping!$E$12,0))</f>
        <v>5.000000000000001E-2</v>
      </c>
      <c r="M67" s="1">
        <f>IF(Signals_US!I67=1,Signals_US!Q67*Mapping!$E$13,IF(Signals_US!I67=-1,-Signals_US!R67*Mapping!$E$13,0))</f>
        <v>-5.000000000000001E-2</v>
      </c>
      <c r="N67" s="1">
        <f>0</f>
        <v>0</v>
      </c>
      <c r="O67" s="1">
        <f>0</f>
        <v>0</v>
      </c>
      <c r="P67" s="1">
        <f>IF(Signals_US!E67=1,Signals_US!Q67*Mapping!$E$16,IF(Signals_US!E67=-1,-Signals_US!R67*Mapping!$E$16,0))</f>
        <v>5.000000000000001E-2</v>
      </c>
      <c r="Q67" s="1">
        <f>IF(Signals_US!J67=1,Signals_US!Q67*Mapping!$E$17,IF(Signals_US!J67=-1,-Signals_US!R67*Mapping!$E$17,0))</f>
        <v>5.000000000000001E-2</v>
      </c>
      <c r="R67" s="1">
        <f>IF(Signals_US!K67=1,Signals_US!Q67*Mapping!$E$18,IF(Signals_US!K67=-1,-Signals_US!R67*Mapping!$E$18,0))</f>
        <v>0</v>
      </c>
      <c r="S67" s="1">
        <f>IF(Signals_US!M67=1,Signals_US!Q67*Mapping!$E$19,IF(Signals_US!M67=-1,-Signals_US!R67*Mapping!$E$19,0))</f>
        <v>0</v>
      </c>
      <c r="T67" s="1">
        <f>IF(Signals_US!L67=1,Signals_US!Q67*Mapping!$E$20,IF(Signals_US!L67=-1,-Signals_US!R67*Mapping!$E$20,0))</f>
        <v>-5.000000000000001E-2</v>
      </c>
      <c r="U67" s="1">
        <f t="shared" ref="U67:U130" si="1">ROUND(SUM(B67:T67),12)</f>
        <v>0</v>
      </c>
    </row>
    <row r="68" spans="1:21">
      <c r="A68" s="5">
        <f>Signals_US!B68</f>
        <v>41061</v>
      </c>
      <c r="B68" s="1">
        <f>0</f>
        <v>0</v>
      </c>
      <c r="C68" s="1">
        <f>IF(Signals_US!F68=1,Signals_US!Q68*Mapping!$E$3,IF(Signals_US!F68=-1,-Signals_US!R68*Mapping!$E$3,0))</f>
        <v>-1.666666666666667E-2</v>
      </c>
      <c r="D68" s="1">
        <f>IF(Signals_US!C68=1,Signals_US!Q68*Mapping!$E$4,IF(Signals_US!C68=-1,-Signals_US!R68*Mapping!$E$4,0))</f>
        <v>-1.666666666666667E-2</v>
      </c>
      <c r="E68" s="1">
        <f>IF(Signals_US!C68=1,Signals_US!Q68*Mapping!$E$5,IF(Signals_US!C68=-1,-Signals_US!R68*Mapping!$E$5,0))</f>
        <v>-1.666666666666667E-2</v>
      </c>
      <c r="F68" s="1">
        <f>IF(Signals_US!C68=1,Signals_US!Q68*Mapping!$E$6,IF(Signals_US!C68=-1,-Signals_US!R68*Mapping!$E$6,0))</f>
        <v>-1.666666666666667E-2</v>
      </c>
      <c r="G68" s="1">
        <f>IF(Signals_US!F68=1,Signals_US!Q68*Mapping!$E$7,IF(Signals_US!F68=-1,-Signals_US!R68*Mapping!$E$7,0))</f>
        <v>-1.666666666666667E-2</v>
      </c>
      <c r="H68" s="1">
        <f>IF(Signals_US!D68=1,Signals_US!Q68*Mapping!$E$8,IF(Signals_US!D68=-1,-Signals_US!R68*Mapping!$E$8,0))</f>
        <v>0</v>
      </c>
      <c r="I68" s="1">
        <f>IF(Signals_US!G68=1,Signals_US!Q68*Mapping!$E$9,IF(Signals_US!G68=-1,-Signals_US!R68*Mapping!$E$9,0))</f>
        <v>0</v>
      </c>
      <c r="J68" s="1">
        <f>IF(Signals_US!H68=1,Signals_US!Q68*Mapping!$E$10,IF(Signals_US!H68=-1,-Signals_US!R68*Mapping!$E$10,0))</f>
        <v>0</v>
      </c>
      <c r="K68" s="1">
        <f>IF(Signals_US!F68=1,Signals_US!Q68*Mapping!$E$11,IF(Signals_US!F68=-1,-Signals_US!R68*Mapping!$E$11,0))</f>
        <v>-1.666666666666667E-2</v>
      </c>
      <c r="L68" s="1">
        <f>IF(Signals_US!N68=1,Signals_US!Q68*Mapping!$E$12,IF(Signals_US!N68=-1,-Signals_US!R68*Mapping!$E$12,0))</f>
        <v>5.000000000000001E-2</v>
      </c>
      <c r="M68" s="1">
        <f>IF(Signals_US!I68=1,Signals_US!Q68*Mapping!$E$13,IF(Signals_US!I68=-1,-Signals_US!R68*Mapping!$E$13,0))</f>
        <v>-5.000000000000001E-2</v>
      </c>
      <c r="N68" s="1">
        <f>0</f>
        <v>0</v>
      </c>
      <c r="O68" s="1">
        <f>0</f>
        <v>0</v>
      </c>
      <c r="P68" s="1">
        <f>IF(Signals_US!E68=1,Signals_US!Q68*Mapping!$E$16,IF(Signals_US!E68=-1,-Signals_US!R68*Mapping!$E$16,0))</f>
        <v>5.000000000000001E-2</v>
      </c>
      <c r="Q68" s="1">
        <f>IF(Signals_US!J68=1,Signals_US!Q68*Mapping!$E$17,IF(Signals_US!J68=-1,-Signals_US!R68*Mapping!$E$17,0))</f>
        <v>5.000000000000001E-2</v>
      </c>
      <c r="R68" s="1">
        <f>IF(Signals_US!K68=1,Signals_US!Q68*Mapping!$E$18,IF(Signals_US!K68=-1,-Signals_US!R68*Mapping!$E$18,0))</f>
        <v>0</v>
      </c>
      <c r="S68" s="1">
        <f>IF(Signals_US!M68=1,Signals_US!Q68*Mapping!$E$19,IF(Signals_US!M68=-1,-Signals_US!R68*Mapping!$E$19,0))</f>
        <v>0</v>
      </c>
      <c r="T68" s="1">
        <f>IF(Signals_US!L68=1,Signals_US!Q68*Mapping!$E$20,IF(Signals_US!L68=-1,-Signals_US!R68*Mapping!$E$20,0))</f>
        <v>0</v>
      </c>
      <c r="U68" s="1">
        <f t="shared" si="1"/>
        <v>0</v>
      </c>
    </row>
    <row r="69" spans="1:21">
      <c r="A69" s="5">
        <f>Signals_US!B69</f>
        <v>41091</v>
      </c>
      <c r="B69" s="1">
        <f>0</f>
        <v>0</v>
      </c>
      <c r="C69" s="1">
        <f>IF(Signals_US!F69=1,Signals_US!Q69*Mapping!$E$3,IF(Signals_US!F69=-1,-Signals_US!R69*Mapping!$E$3,0))</f>
        <v>-1.666666666666667E-2</v>
      </c>
      <c r="D69" s="1">
        <f>IF(Signals_US!C69=1,Signals_US!Q69*Mapping!$E$4,IF(Signals_US!C69=-1,-Signals_US!R69*Mapping!$E$4,0))</f>
        <v>-1.666666666666667E-2</v>
      </c>
      <c r="E69" s="1">
        <f>IF(Signals_US!C69=1,Signals_US!Q69*Mapping!$E$5,IF(Signals_US!C69=-1,-Signals_US!R69*Mapping!$E$5,0))</f>
        <v>-1.666666666666667E-2</v>
      </c>
      <c r="F69" s="1">
        <f>IF(Signals_US!C69=1,Signals_US!Q69*Mapping!$E$6,IF(Signals_US!C69=-1,-Signals_US!R69*Mapping!$E$6,0))</f>
        <v>-1.666666666666667E-2</v>
      </c>
      <c r="G69" s="1">
        <f>IF(Signals_US!F69=1,Signals_US!Q69*Mapping!$E$7,IF(Signals_US!F69=-1,-Signals_US!R69*Mapping!$E$7,0))</f>
        <v>-1.666666666666667E-2</v>
      </c>
      <c r="H69" s="1">
        <f>IF(Signals_US!D69=1,Signals_US!Q69*Mapping!$E$8,IF(Signals_US!D69=-1,-Signals_US!R69*Mapping!$E$8,0))</f>
        <v>0</v>
      </c>
      <c r="I69" s="1">
        <f>IF(Signals_US!G69=1,Signals_US!Q69*Mapping!$E$9,IF(Signals_US!G69=-1,-Signals_US!R69*Mapping!$E$9,0))</f>
        <v>0</v>
      </c>
      <c r="J69" s="1">
        <f>IF(Signals_US!H69=1,Signals_US!Q69*Mapping!$E$10,IF(Signals_US!H69=-1,-Signals_US!R69*Mapping!$E$10,0))</f>
        <v>0</v>
      </c>
      <c r="K69" s="1">
        <f>IF(Signals_US!F69=1,Signals_US!Q69*Mapping!$E$11,IF(Signals_US!F69=-1,-Signals_US!R69*Mapping!$E$11,0))</f>
        <v>-1.666666666666667E-2</v>
      </c>
      <c r="L69" s="1">
        <f>IF(Signals_US!N69=1,Signals_US!Q69*Mapping!$E$12,IF(Signals_US!N69=-1,-Signals_US!R69*Mapping!$E$12,0))</f>
        <v>5.000000000000001E-2</v>
      </c>
      <c r="M69" s="1">
        <f>IF(Signals_US!I69=1,Signals_US!Q69*Mapping!$E$13,IF(Signals_US!I69=-1,-Signals_US!R69*Mapping!$E$13,0))</f>
        <v>-5.000000000000001E-2</v>
      </c>
      <c r="N69" s="1">
        <f>0</f>
        <v>0</v>
      </c>
      <c r="O69" s="1">
        <f>0</f>
        <v>0</v>
      </c>
      <c r="P69" s="1">
        <f>IF(Signals_US!E69=1,Signals_US!Q69*Mapping!$E$16,IF(Signals_US!E69=-1,-Signals_US!R69*Mapping!$E$16,0))</f>
        <v>5.000000000000001E-2</v>
      </c>
      <c r="Q69" s="1">
        <f>IF(Signals_US!J69=1,Signals_US!Q69*Mapping!$E$17,IF(Signals_US!J69=-1,-Signals_US!R69*Mapping!$E$17,0))</f>
        <v>5.000000000000001E-2</v>
      </c>
      <c r="R69" s="1">
        <f>IF(Signals_US!K69=1,Signals_US!Q69*Mapping!$E$18,IF(Signals_US!K69=-1,-Signals_US!R69*Mapping!$E$18,0))</f>
        <v>0</v>
      </c>
      <c r="S69" s="1">
        <f>IF(Signals_US!M69=1,Signals_US!Q69*Mapping!$E$19,IF(Signals_US!M69=-1,-Signals_US!R69*Mapping!$E$19,0))</f>
        <v>0</v>
      </c>
      <c r="T69" s="1">
        <f>IF(Signals_US!L69=1,Signals_US!Q69*Mapping!$E$20,IF(Signals_US!L69=-1,-Signals_US!R69*Mapping!$E$20,0))</f>
        <v>0</v>
      </c>
      <c r="U69" s="1">
        <f t="shared" si="1"/>
        <v>0</v>
      </c>
    </row>
    <row r="70" spans="1:21">
      <c r="A70" s="5">
        <f>Signals_US!B70</f>
        <v>41122</v>
      </c>
      <c r="B70" s="1">
        <f>0</f>
        <v>0</v>
      </c>
      <c r="C70" s="1">
        <f>IF(Signals_US!F70=1,Signals_US!Q70*Mapping!$E$3,IF(Signals_US!F70=-1,-Signals_US!R70*Mapping!$E$3,0))</f>
        <v>-1.666666666666667E-2</v>
      </c>
      <c r="D70" s="1">
        <f>IF(Signals_US!C70=1,Signals_US!Q70*Mapping!$E$4,IF(Signals_US!C70=-1,-Signals_US!R70*Mapping!$E$4,0))</f>
        <v>-1.666666666666667E-2</v>
      </c>
      <c r="E70" s="1">
        <f>IF(Signals_US!C70=1,Signals_US!Q70*Mapping!$E$5,IF(Signals_US!C70=-1,-Signals_US!R70*Mapping!$E$5,0))</f>
        <v>-1.666666666666667E-2</v>
      </c>
      <c r="F70" s="1">
        <f>IF(Signals_US!C70=1,Signals_US!Q70*Mapping!$E$6,IF(Signals_US!C70=-1,-Signals_US!R70*Mapping!$E$6,0))</f>
        <v>-1.666666666666667E-2</v>
      </c>
      <c r="G70" s="1">
        <f>IF(Signals_US!F70=1,Signals_US!Q70*Mapping!$E$7,IF(Signals_US!F70=-1,-Signals_US!R70*Mapping!$E$7,0))</f>
        <v>-1.666666666666667E-2</v>
      </c>
      <c r="H70" s="1">
        <f>IF(Signals_US!D70=1,Signals_US!Q70*Mapping!$E$8,IF(Signals_US!D70=-1,-Signals_US!R70*Mapping!$E$8,0))</f>
        <v>0</v>
      </c>
      <c r="I70" s="1">
        <f>IF(Signals_US!G70=1,Signals_US!Q70*Mapping!$E$9,IF(Signals_US!G70=-1,-Signals_US!R70*Mapping!$E$9,0))</f>
        <v>0</v>
      </c>
      <c r="J70" s="1">
        <f>IF(Signals_US!H70=1,Signals_US!Q70*Mapping!$E$10,IF(Signals_US!H70=-1,-Signals_US!R70*Mapping!$E$10,0))</f>
        <v>0</v>
      </c>
      <c r="K70" s="1">
        <f>IF(Signals_US!F70=1,Signals_US!Q70*Mapping!$E$11,IF(Signals_US!F70=-1,-Signals_US!R70*Mapping!$E$11,0))</f>
        <v>-1.666666666666667E-2</v>
      </c>
      <c r="L70" s="1">
        <f>IF(Signals_US!N70=1,Signals_US!Q70*Mapping!$E$12,IF(Signals_US!N70=-1,-Signals_US!R70*Mapping!$E$12,0))</f>
        <v>5.000000000000001E-2</v>
      </c>
      <c r="M70" s="1">
        <f>IF(Signals_US!I70=1,Signals_US!Q70*Mapping!$E$13,IF(Signals_US!I70=-1,-Signals_US!R70*Mapping!$E$13,0))</f>
        <v>-5.000000000000001E-2</v>
      </c>
      <c r="N70" s="1">
        <f>0</f>
        <v>0</v>
      </c>
      <c r="O70" s="1">
        <f>0</f>
        <v>0</v>
      </c>
      <c r="P70" s="1">
        <f>IF(Signals_US!E70=1,Signals_US!Q70*Mapping!$E$16,IF(Signals_US!E70=-1,-Signals_US!R70*Mapping!$E$16,0))</f>
        <v>5.000000000000001E-2</v>
      </c>
      <c r="Q70" s="1">
        <f>IF(Signals_US!J70=1,Signals_US!Q70*Mapping!$E$17,IF(Signals_US!J70=-1,-Signals_US!R70*Mapping!$E$17,0))</f>
        <v>5.000000000000001E-2</v>
      </c>
      <c r="R70" s="1">
        <f>IF(Signals_US!K70=1,Signals_US!Q70*Mapping!$E$18,IF(Signals_US!K70=-1,-Signals_US!R70*Mapping!$E$18,0))</f>
        <v>0</v>
      </c>
      <c r="S70" s="1">
        <f>IF(Signals_US!M70=1,Signals_US!Q70*Mapping!$E$19,IF(Signals_US!M70=-1,-Signals_US!R70*Mapping!$E$19,0))</f>
        <v>0</v>
      </c>
      <c r="T70" s="1">
        <f>IF(Signals_US!L70=1,Signals_US!Q70*Mapping!$E$20,IF(Signals_US!L70=-1,-Signals_US!R70*Mapping!$E$20,0))</f>
        <v>0</v>
      </c>
      <c r="U70" s="1">
        <f t="shared" si="1"/>
        <v>0</v>
      </c>
    </row>
    <row r="71" spans="1:21">
      <c r="A71" s="5">
        <f>Signals_US!B71</f>
        <v>41153</v>
      </c>
      <c r="B71" s="1">
        <f>0</f>
        <v>0</v>
      </c>
      <c r="C71" s="1">
        <f>IF(Signals_US!F71=1,Signals_US!Q71*Mapping!$E$3,IF(Signals_US!F71=-1,-Signals_US!R71*Mapping!$E$3,0))</f>
        <v>0</v>
      </c>
      <c r="D71" s="1">
        <f>IF(Signals_US!C71=1,Signals_US!Q71*Mapping!$E$4,IF(Signals_US!C71=-1,-Signals_US!R71*Mapping!$E$4,0))</f>
        <v>0</v>
      </c>
      <c r="E71" s="1">
        <f>IF(Signals_US!C71=1,Signals_US!Q71*Mapping!$E$5,IF(Signals_US!C71=-1,-Signals_US!R71*Mapping!$E$5,0))</f>
        <v>0</v>
      </c>
      <c r="F71" s="1">
        <f>IF(Signals_US!C71=1,Signals_US!Q71*Mapping!$E$6,IF(Signals_US!C71=-1,-Signals_US!R71*Mapping!$E$6,0))</f>
        <v>0</v>
      </c>
      <c r="G71" s="1">
        <f>IF(Signals_US!F71=1,Signals_US!Q71*Mapping!$E$7,IF(Signals_US!F71=-1,-Signals_US!R71*Mapping!$E$7,0))</f>
        <v>0</v>
      </c>
      <c r="H71" s="1">
        <f>IF(Signals_US!D71=1,Signals_US!Q71*Mapping!$E$8,IF(Signals_US!D71=-1,-Signals_US!R71*Mapping!$E$8,0))</f>
        <v>0</v>
      </c>
      <c r="I71" s="1">
        <f>IF(Signals_US!G71=1,Signals_US!Q71*Mapping!$E$9,IF(Signals_US!G71=-1,-Signals_US!R71*Mapping!$E$9,0))</f>
        <v>-5.000000000000001E-2</v>
      </c>
      <c r="J71" s="1">
        <f>IF(Signals_US!H71=1,Signals_US!Q71*Mapping!$E$10,IF(Signals_US!H71=-1,-Signals_US!R71*Mapping!$E$10,0))</f>
        <v>0</v>
      </c>
      <c r="K71" s="1">
        <f>IF(Signals_US!F71=1,Signals_US!Q71*Mapping!$E$11,IF(Signals_US!F71=-1,-Signals_US!R71*Mapping!$E$11,0))</f>
        <v>0</v>
      </c>
      <c r="L71" s="1">
        <f>IF(Signals_US!N71=1,Signals_US!Q71*Mapping!$E$12,IF(Signals_US!N71=-1,-Signals_US!R71*Mapping!$E$12,0))</f>
        <v>0</v>
      </c>
      <c r="M71" s="1">
        <f>IF(Signals_US!I71=1,Signals_US!Q71*Mapping!$E$13,IF(Signals_US!I71=-1,-Signals_US!R71*Mapping!$E$13,0))</f>
        <v>-5.000000000000001E-2</v>
      </c>
      <c r="N71" s="1">
        <f>0</f>
        <v>0</v>
      </c>
      <c r="O71" s="1">
        <f>0</f>
        <v>0</v>
      </c>
      <c r="P71" s="1">
        <f>IF(Signals_US!E71=1,Signals_US!Q71*Mapping!$E$16,IF(Signals_US!E71=-1,-Signals_US!R71*Mapping!$E$16,0))</f>
        <v>5.000000000000001E-2</v>
      </c>
      <c r="Q71" s="1">
        <f>IF(Signals_US!J71=1,Signals_US!Q71*Mapping!$E$17,IF(Signals_US!J71=-1,-Signals_US!R71*Mapping!$E$17,0))</f>
        <v>5.000000000000001E-2</v>
      </c>
      <c r="R71" s="1">
        <f>IF(Signals_US!K71=1,Signals_US!Q71*Mapping!$E$18,IF(Signals_US!K71=-1,-Signals_US!R71*Mapping!$E$18,0))</f>
        <v>5.000000000000001E-2</v>
      </c>
      <c r="S71" s="1">
        <f>IF(Signals_US!M71=1,Signals_US!Q71*Mapping!$E$19,IF(Signals_US!M71=-1,-Signals_US!R71*Mapping!$E$19,0))</f>
        <v>0</v>
      </c>
      <c r="T71" s="1">
        <f>IF(Signals_US!L71=1,Signals_US!Q71*Mapping!$E$20,IF(Signals_US!L71=-1,-Signals_US!R71*Mapping!$E$20,0))</f>
        <v>-5.000000000000001E-2</v>
      </c>
      <c r="U71" s="1">
        <f t="shared" si="1"/>
        <v>0</v>
      </c>
    </row>
    <row r="72" spans="1:21">
      <c r="A72" s="5">
        <f>Signals_US!B72</f>
        <v>41183</v>
      </c>
      <c r="B72" s="1">
        <f>0</f>
        <v>0</v>
      </c>
      <c r="C72" s="1">
        <f>IF(Signals_US!F72=1,Signals_US!Q72*Mapping!$E$3,IF(Signals_US!F72=-1,-Signals_US!R72*Mapping!$E$3,0))</f>
        <v>0</v>
      </c>
      <c r="D72" s="1">
        <f>IF(Signals_US!C72=1,Signals_US!Q72*Mapping!$E$4,IF(Signals_US!C72=-1,-Signals_US!R72*Mapping!$E$4,0))</f>
        <v>-1.666666666666667E-2</v>
      </c>
      <c r="E72" s="1">
        <f>IF(Signals_US!C72=1,Signals_US!Q72*Mapping!$E$5,IF(Signals_US!C72=-1,-Signals_US!R72*Mapping!$E$5,0))</f>
        <v>-1.666666666666667E-2</v>
      </c>
      <c r="F72" s="1">
        <f>IF(Signals_US!C72=1,Signals_US!Q72*Mapping!$E$6,IF(Signals_US!C72=-1,-Signals_US!R72*Mapping!$E$6,0))</f>
        <v>-1.666666666666667E-2</v>
      </c>
      <c r="G72" s="1">
        <f>IF(Signals_US!F72=1,Signals_US!Q72*Mapping!$E$7,IF(Signals_US!F72=-1,-Signals_US!R72*Mapping!$E$7,0))</f>
        <v>0</v>
      </c>
      <c r="H72" s="1">
        <f>IF(Signals_US!D72=1,Signals_US!Q72*Mapping!$E$8,IF(Signals_US!D72=-1,-Signals_US!R72*Mapping!$E$8,0))</f>
        <v>0</v>
      </c>
      <c r="I72" s="1">
        <f>IF(Signals_US!G72=1,Signals_US!Q72*Mapping!$E$9,IF(Signals_US!G72=-1,-Signals_US!R72*Mapping!$E$9,0))</f>
        <v>-5.000000000000001E-2</v>
      </c>
      <c r="J72" s="1">
        <f>IF(Signals_US!H72=1,Signals_US!Q72*Mapping!$E$10,IF(Signals_US!H72=-1,-Signals_US!R72*Mapping!$E$10,0))</f>
        <v>0</v>
      </c>
      <c r="K72" s="1">
        <f>IF(Signals_US!F72=1,Signals_US!Q72*Mapping!$E$11,IF(Signals_US!F72=-1,-Signals_US!R72*Mapping!$E$11,0))</f>
        <v>0</v>
      </c>
      <c r="L72" s="1">
        <f>IF(Signals_US!N72=1,Signals_US!Q72*Mapping!$E$12,IF(Signals_US!N72=-1,-Signals_US!R72*Mapping!$E$12,0))</f>
        <v>5.000000000000001E-2</v>
      </c>
      <c r="M72" s="1">
        <f>IF(Signals_US!I72=1,Signals_US!Q72*Mapping!$E$13,IF(Signals_US!I72=-1,-Signals_US!R72*Mapping!$E$13,0))</f>
        <v>-5.000000000000001E-2</v>
      </c>
      <c r="N72" s="1">
        <f>0</f>
        <v>0</v>
      </c>
      <c r="O72" s="1">
        <f>0</f>
        <v>0</v>
      </c>
      <c r="P72" s="1">
        <f>IF(Signals_US!E72=1,Signals_US!Q72*Mapping!$E$16,IF(Signals_US!E72=-1,-Signals_US!R72*Mapping!$E$16,0))</f>
        <v>5.000000000000001E-2</v>
      </c>
      <c r="Q72" s="1">
        <f>IF(Signals_US!J72=1,Signals_US!Q72*Mapping!$E$17,IF(Signals_US!J72=-1,-Signals_US!R72*Mapping!$E$17,0))</f>
        <v>0</v>
      </c>
      <c r="R72" s="1">
        <f>IF(Signals_US!K72=1,Signals_US!Q72*Mapping!$E$18,IF(Signals_US!K72=-1,-Signals_US!R72*Mapping!$E$18,0))</f>
        <v>5.000000000000001E-2</v>
      </c>
      <c r="S72" s="1">
        <f>IF(Signals_US!M72=1,Signals_US!Q72*Mapping!$E$19,IF(Signals_US!M72=-1,-Signals_US!R72*Mapping!$E$19,0))</f>
        <v>0</v>
      </c>
      <c r="T72" s="1">
        <f>IF(Signals_US!L72=1,Signals_US!Q72*Mapping!$E$20,IF(Signals_US!L72=-1,-Signals_US!R72*Mapping!$E$20,0))</f>
        <v>0</v>
      </c>
      <c r="U72" s="1">
        <f t="shared" si="1"/>
        <v>0</v>
      </c>
    </row>
    <row r="73" spans="1:21">
      <c r="A73" s="5">
        <f>Signals_US!B73</f>
        <v>41214</v>
      </c>
      <c r="B73" s="1">
        <f>0</f>
        <v>0</v>
      </c>
      <c r="C73" s="1">
        <f>IF(Signals_US!F73=1,Signals_US!Q73*Mapping!$E$3,IF(Signals_US!F73=-1,-Signals_US!R73*Mapping!$E$3,0))</f>
        <v>0</v>
      </c>
      <c r="D73" s="1">
        <f>IF(Signals_US!C73=1,Signals_US!Q73*Mapping!$E$4,IF(Signals_US!C73=-1,-Signals_US!R73*Mapping!$E$4,0))</f>
        <v>-1.666666666666667E-2</v>
      </c>
      <c r="E73" s="1">
        <f>IF(Signals_US!C73=1,Signals_US!Q73*Mapping!$E$5,IF(Signals_US!C73=-1,-Signals_US!R73*Mapping!$E$5,0))</f>
        <v>-1.666666666666667E-2</v>
      </c>
      <c r="F73" s="1">
        <f>IF(Signals_US!C73=1,Signals_US!Q73*Mapping!$E$6,IF(Signals_US!C73=-1,-Signals_US!R73*Mapping!$E$6,0))</f>
        <v>-1.666666666666667E-2</v>
      </c>
      <c r="G73" s="1">
        <f>IF(Signals_US!F73=1,Signals_US!Q73*Mapping!$E$7,IF(Signals_US!F73=-1,-Signals_US!R73*Mapping!$E$7,0))</f>
        <v>0</v>
      </c>
      <c r="H73" s="1">
        <f>IF(Signals_US!D73=1,Signals_US!Q73*Mapping!$E$8,IF(Signals_US!D73=-1,-Signals_US!R73*Mapping!$E$8,0))</f>
        <v>0</v>
      </c>
      <c r="I73" s="1">
        <f>IF(Signals_US!G73=1,Signals_US!Q73*Mapping!$E$9,IF(Signals_US!G73=-1,-Signals_US!R73*Mapping!$E$9,0))</f>
        <v>-5.000000000000001E-2</v>
      </c>
      <c r="J73" s="1">
        <f>IF(Signals_US!H73=1,Signals_US!Q73*Mapping!$E$10,IF(Signals_US!H73=-1,-Signals_US!R73*Mapping!$E$10,0))</f>
        <v>0</v>
      </c>
      <c r="K73" s="1">
        <f>IF(Signals_US!F73=1,Signals_US!Q73*Mapping!$E$11,IF(Signals_US!F73=-1,-Signals_US!R73*Mapping!$E$11,0))</f>
        <v>0</v>
      </c>
      <c r="L73" s="1">
        <f>IF(Signals_US!N73=1,Signals_US!Q73*Mapping!$E$12,IF(Signals_US!N73=-1,-Signals_US!R73*Mapping!$E$12,0))</f>
        <v>5.000000000000001E-2</v>
      </c>
      <c r="M73" s="1">
        <f>IF(Signals_US!I73=1,Signals_US!Q73*Mapping!$E$13,IF(Signals_US!I73=-1,-Signals_US!R73*Mapping!$E$13,0))</f>
        <v>0</v>
      </c>
      <c r="N73" s="1">
        <f>0</f>
        <v>0</v>
      </c>
      <c r="O73" s="1">
        <f>0</f>
        <v>0</v>
      </c>
      <c r="P73" s="1">
        <f>IF(Signals_US!E73=1,Signals_US!Q73*Mapping!$E$16,IF(Signals_US!E73=-1,-Signals_US!R73*Mapping!$E$16,0))</f>
        <v>5.000000000000001E-2</v>
      </c>
      <c r="Q73" s="1">
        <f>IF(Signals_US!J73=1,Signals_US!Q73*Mapping!$E$17,IF(Signals_US!J73=-1,-Signals_US!R73*Mapping!$E$17,0))</f>
        <v>0</v>
      </c>
      <c r="R73" s="1">
        <f>IF(Signals_US!K73=1,Signals_US!Q73*Mapping!$E$18,IF(Signals_US!K73=-1,-Signals_US!R73*Mapping!$E$18,0))</f>
        <v>5.000000000000001E-2</v>
      </c>
      <c r="S73" s="1">
        <f>IF(Signals_US!M73=1,Signals_US!Q73*Mapping!$E$19,IF(Signals_US!M73=-1,-Signals_US!R73*Mapping!$E$19,0))</f>
        <v>0</v>
      </c>
      <c r="T73" s="1">
        <f>IF(Signals_US!L73=1,Signals_US!Q73*Mapping!$E$20,IF(Signals_US!L73=-1,-Signals_US!R73*Mapping!$E$20,0))</f>
        <v>-5.000000000000001E-2</v>
      </c>
      <c r="U73" s="1">
        <f t="shared" si="1"/>
        <v>0</v>
      </c>
    </row>
    <row r="74" spans="1:21">
      <c r="A74" s="5">
        <f>Signals_US!B74</f>
        <v>41244</v>
      </c>
      <c r="B74" s="1">
        <f>0</f>
        <v>0</v>
      </c>
      <c r="C74" s="1">
        <f>IF(Signals_US!F74=1,Signals_US!Q74*Mapping!$E$3,IF(Signals_US!F74=-1,-Signals_US!R74*Mapping!$E$3,0))</f>
        <v>0</v>
      </c>
      <c r="D74" s="1">
        <f>IF(Signals_US!C74=1,Signals_US!Q74*Mapping!$E$4,IF(Signals_US!C74=-1,-Signals_US!R74*Mapping!$E$4,0))</f>
        <v>0</v>
      </c>
      <c r="E74" s="1">
        <f>IF(Signals_US!C74=1,Signals_US!Q74*Mapping!$E$5,IF(Signals_US!C74=-1,-Signals_US!R74*Mapping!$E$5,0))</f>
        <v>0</v>
      </c>
      <c r="F74" s="1">
        <f>IF(Signals_US!C74=1,Signals_US!Q74*Mapping!$E$6,IF(Signals_US!C74=-1,-Signals_US!R74*Mapping!$E$6,0))</f>
        <v>0</v>
      </c>
      <c r="G74" s="1">
        <f>IF(Signals_US!F74=1,Signals_US!Q74*Mapping!$E$7,IF(Signals_US!F74=-1,-Signals_US!R74*Mapping!$E$7,0))</f>
        <v>0</v>
      </c>
      <c r="H74" s="1">
        <f>IF(Signals_US!D74=1,Signals_US!Q74*Mapping!$E$8,IF(Signals_US!D74=-1,-Signals_US!R74*Mapping!$E$8,0))</f>
        <v>0</v>
      </c>
      <c r="I74" s="1">
        <f>IF(Signals_US!G74=1,Signals_US!Q74*Mapping!$E$9,IF(Signals_US!G74=-1,-Signals_US!R74*Mapping!$E$9,0))</f>
        <v>-5.000000000000001E-2</v>
      </c>
      <c r="J74" s="1">
        <f>IF(Signals_US!H74=1,Signals_US!Q74*Mapping!$E$10,IF(Signals_US!H74=-1,-Signals_US!R74*Mapping!$E$10,0))</f>
        <v>0</v>
      </c>
      <c r="K74" s="1">
        <f>IF(Signals_US!F74=1,Signals_US!Q74*Mapping!$E$11,IF(Signals_US!F74=-1,-Signals_US!R74*Mapping!$E$11,0))</f>
        <v>0</v>
      </c>
      <c r="L74" s="1">
        <f>IF(Signals_US!N74=1,Signals_US!Q74*Mapping!$E$12,IF(Signals_US!N74=-1,-Signals_US!R74*Mapping!$E$12,0))</f>
        <v>5.000000000000001E-2</v>
      </c>
      <c r="M74" s="1">
        <f>IF(Signals_US!I74=1,Signals_US!Q74*Mapping!$E$13,IF(Signals_US!I74=-1,-Signals_US!R74*Mapping!$E$13,0))</f>
        <v>-5.000000000000001E-2</v>
      </c>
      <c r="N74" s="1">
        <f>0</f>
        <v>0</v>
      </c>
      <c r="O74" s="1">
        <f>0</f>
        <v>0</v>
      </c>
      <c r="P74" s="1">
        <f>IF(Signals_US!E74=1,Signals_US!Q74*Mapping!$E$16,IF(Signals_US!E74=-1,-Signals_US!R74*Mapping!$E$16,0))</f>
        <v>5.000000000000001E-2</v>
      </c>
      <c r="Q74" s="1">
        <f>IF(Signals_US!J74=1,Signals_US!Q74*Mapping!$E$17,IF(Signals_US!J74=-1,-Signals_US!R74*Mapping!$E$17,0))</f>
        <v>5.000000000000001E-2</v>
      </c>
      <c r="R74" s="1">
        <f>IF(Signals_US!K74=1,Signals_US!Q74*Mapping!$E$18,IF(Signals_US!K74=-1,-Signals_US!R74*Mapping!$E$18,0))</f>
        <v>0</v>
      </c>
      <c r="S74" s="1">
        <f>IF(Signals_US!M74=1,Signals_US!Q74*Mapping!$E$19,IF(Signals_US!M74=-1,-Signals_US!R74*Mapping!$E$19,0))</f>
        <v>0</v>
      </c>
      <c r="T74" s="1">
        <f>IF(Signals_US!L74=1,Signals_US!Q74*Mapping!$E$20,IF(Signals_US!L74=-1,-Signals_US!R74*Mapping!$E$20,0))</f>
        <v>-5.000000000000001E-2</v>
      </c>
      <c r="U74" s="1">
        <f t="shared" si="1"/>
        <v>0</v>
      </c>
    </row>
    <row r="75" spans="1:21">
      <c r="A75" s="5">
        <f>Signals_US!B75</f>
        <v>41275</v>
      </c>
      <c r="B75" s="1">
        <f>0</f>
        <v>0</v>
      </c>
      <c r="C75" s="1">
        <f>IF(Signals_US!F75=1,Signals_US!Q75*Mapping!$E$3,IF(Signals_US!F75=-1,-Signals_US!R75*Mapping!$E$3,0))</f>
        <v>0</v>
      </c>
      <c r="D75" s="1">
        <f>IF(Signals_US!C75=1,Signals_US!Q75*Mapping!$E$4,IF(Signals_US!C75=-1,-Signals_US!R75*Mapping!$E$4,0))</f>
        <v>0</v>
      </c>
      <c r="E75" s="1">
        <f>IF(Signals_US!C75=1,Signals_US!Q75*Mapping!$E$5,IF(Signals_US!C75=-1,-Signals_US!R75*Mapping!$E$5,0))</f>
        <v>0</v>
      </c>
      <c r="F75" s="1">
        <f>IF(Signals_US!C75=1,Signals_US!Q75*Mapping!$E$6,IF(Signals_US!C75=-1,-Signals_US!R75*Mapping!$E$6,0))</f>
        <v>0</v>
      </c>
      <c r="G75" s="1">
        <f>IF(Signals_US!F75=1,Signals_US!Q75*Mapping!$E$7,IF(Signals_US!F75=-1,-Signals_US!R75*Mapping!$E$7,0))</f>
        <v>0</v>
      </c>
      <c r="H75" s="1">
        <f>IF(Signals_US!D75=1,Signals_US!Q75*Mapping!$E$8,IF(Signals_US!D75=-1,-Signals_US!R75*Mapping!$E$8,0))</f>
        <v>0</v>
      </c>
      <c r="I75" s="1">
        <f>IF(Signals_US!G75=1,Signals_US!Q75*Mapping!$E$9,IF(Signals_US!G75=-1,-Signals_US!R75*Mapping!$E$9,0))</f>
        <v>-5.000000000000001E-2</v>
      </c>
      <c r="J75" s="1">
        <f>IF(Signals_US!H75=1,Signals_US!Q75*Mapping!$E$10,IF(Signals_US!H75=-1,-Signals_US!R75*Mapping!$E$10,0))</f>
        <v>0</v>
      </c>
      <c r="K75" s="1">
        <f>IF(Signals_US!F75=1,Signals_US!Q75*Mapping!$E$11,IF(Signals_US!F75=-1,-Signals_US!R75*Mapping!$E$11,0))</f>
        <v>0</v>
      </c>
      <c r="L75" s="1">
        <f>IF(Signals_US!N75=1,Signals_US!Q75*Mapping!$E$12,IF(Signals_US!N75=-1,-Signals_US!R75*Mapping!$E$12,0))</f>
        <v>5.000000000000001E-2</v>
      </c>
      <c r="M75" s="1">
        <f>IF(Signals_US!I75=1,Signals_US!Q75*Mapping!$E$13,IF(Signals_US!I75=-1,-Signals_US!R75*Mapping!$E$13,0))</f>
        <v>-5.000000000000001E-2</v>
      </c>
      <c r="N75" s="1">
        <f>0</f>
        <v>0</v>
      </c>
      <c r="O75" s="1">
        <f>0</f>
        <v>0</v>
      </c>
      <c r="P75" s="1">
        <f>IF(Signals_US!E75=1,Signals_US!Q75*Mapping!$E$16,IF(Signals_US!E75=-1,-Signals_US!R75*Mapping!$E$16,0))</f>
        <v>5.000000000000001E-2</v>
      </c>
      <c r="Q75" s="1">
        <f>IF(Signals_US!J75=1,Signals_US!Q75*Mapping!$E$17,IF(Signals_US!J75=-1,-Signals_US!R75*Mapping!$E$17,0))</f>
        <v>5.000000000000001E-2</v>
      </c>
      <c r="R75" s="1">
        <f>IF(Signals_US!K75=1,Signals_US!Q75*Mapping!$E$18,IF(Signals_US!K75=-1,-Signals_US!R75*Mapping!$E$18,0))</f>
        <v>0</v>
      </c>
      <c r="S75" s="1">
        <f>IF(Signals_US!M75=1,Signals_US!Q75*Mapping!$E$19,IF(Signals_US!M75=-1,-Signals_US!R75*Mapping!$E$19,0))</f>
        <v>0</v>
      </c>
      <c r="T75" s="1">
        <f>IF(Signals_US!L75=1,Signals_US!Q75*Mapping!$E$20,IF(Signals_US!L75=-1,-Signals_US!R75*Mapping!$E$20,0))</f>
        <v>-5.000000000000001E-2</v>
      </c>
      <c r="U75" s="1">
        <f t="shared" si="1"/>
        <v>0</v>
      </c>
    </row>
    <row r="76" spans="1:21">
      <c r="A76" s="5">
        <f>Signals_US!B76</f>
        <v>41306</v>
      </c>
      <c r="B76" s="1">
        <f>0</f>
        <v>0</v>
      </c>
      <c r="C76" s="1">
        <f>IF(Signals_US!F76=1,Signals_US!Q76*Mapping!$E$3,IF(Signals_US!F76=-1,-Signals_US!R76*Mapping!$E$3,0))</f>
        <v>0</v>
      </c>
      <c r="D76" s="1">
        <f>IF(Signals_US!C76=1,Signals_US!Q76*Mapping!$E$4,IF(Signals_US!C76=-1,-Signals_US!R76*Mapping!$E$4,0))</f>
        <v>0</v>
      </c>
      <c r="E76" s="1">
        <f>IF(Signals_US!C76=1,Signals_US!Q76*Mapping!$E$5,IF(Signals_US!C76=-1,-Signals_US!R76*Mapping!$E$5,0))</f>
        <v>0</v>
      </c>
      <c r="F76" s="1">
        <f>IF(Signals_US!C76=1,Signals_US!Q76*Mapping!$E$6,IF(Signals_US!C76=-1,-Signals_US!R76*Mapping!$E$6,0))</f>
        <v>0</v>
      </c>
      <c r="G76" s="1">
        <f>IF(Signals_US!F76=1,Signals_US!Q76*Mapping!$E$7,IF(Signals_US!F76=-1,-Signals_US!R76*Mapping!$E$7,0))</f>
        <v>0</v>
      </c>
      <c r="H76" s="1">
        <f>IF(Signals_US!D76=1,Signals_US!Q76*Mapping!$E$8,IF(Signals_US!D76=-1,-Signals_US!R76*Mapping!$E$8,0))</f>
        <v>0</v>
      </c>
      <c r="I76" s="1">
        <f>IF(Signals_US!G76=1,Signals_US!Q76*Mapping!$E$9,IF(Signals_US!G76=-1,-Signals_US!R76*Mapping!$E$9,0))</f>
        <v>-5.000000000000001E-2</v>
      </c>
      <c r="J76" s="1">
        <f>IF(Signals_US!H76=1,Signals_US!Q76*Mapping!$E$10,IF(Signals_US!H76=-1,-Signals_US!R76*Mapping!$E$10,0))</f>
        <v>0</v>
      </c>
      <c r="K76" s="1">
        <f>IF(Signals_US!F76=1,Signals_US!Q76*Mapping!$E$11,IF(Signals_US!F76=-1,-Signals_US!R76*Mapping!$E$11,0))</f>
        <v>0</v>
      </c>
      <c r="L76" s="1">
        <f>IF(Signals_US!N76=1,Signals_US!Q76*Mapping!$E$12,IF(Signals_US!N76=-1,-Signals_US!R76*Mapping!$E$12,0))</f>
        <v>5.000000000000001E-2</v>
      </c>
      <c r="M76" s="1">
        <f>IF(Signals_US!I76=1,Signals_US!Q76*Mapping!$E$13,IF(Signals_US!I76=-1,-Signals_US!R76*Mapping!$E$13,0))</f>
        <v>-5.000000000000001E-2</v>
      </c>
      <c r="N76" s="1">
        <f>0</f>
        <v>0</v>
      </c>
      <c r="O76" s="1">
        <f>0</f>
        <v>0</v>
      </c>
      <c r="P76" s="1">
        <f>IF(Signals_US!E76=1,Signals_US!Q76*Mapping!$E$16,IF(Signals_US!E76=-1,-Signals_US!R76*Mapping!$E$16,0))</f>
        <v>5.000000000000001E-2</v>
      </c>
      <c r="Q76" s="1">
        <f>IF(Signals_US!J76=1,Signals_US!Q76*Mapping!$E$17,IF(Signals_US!J76=-1,-Signals_US!R76*Mapping!$E$17,0))</f>
        <v>5.000000000000001E-2</v>
      </c>
      <c r="R76" s="1">
        <f>IF(Signals_US!K76=1,Signals_US!Q76*Mapping!$E$18,IF(Signals_US!K76=-1,-Signals_US!R76*Mapping!$E$18,0))</f>
        <v>0</v>
      </c>
      <c r="S76" s="1">
        <f>IF(Signals_US!M76=1,Signals_US!Q76*Mapping!$E$19,IF(Signals_US!M76=-1,-Signals_US!R76*Mapping!$E$19,0))</f>
        <v>0</v>
      </c>
      <c r="T76" s="1">
        <f>IF(Signals_US!L76=1,Signals_US!Q76*Mapping!$E$20,IF(Signals_US!L76=-1,-Signals_US!R76*Mapping!$E$20,0))</f>
        <v>-5.000000000000001E-2</v>
      </c>
      <c r="U76" s="1">
        <f t="shared" si="1"/>
        <v>0</v>
      </c>
    </row>
    <row r="77" spans="1:21">
      <c r="A77" s="5">
        <f>Signals_US!B77</f>
        <v>41334</v>
      </c>
      <c r="B77" s="1">
        <f>0</f>
        <v>0</v>
      </c>
      <c r="C77" s="1">
        <f>IF(Signals_US!F77=1,Signals_US!Q77*Mapping!$E$3,IF(Signals_US!F77=-1,-Signals_US!R77*Mapping!$E$3,0))</f>
        <v>1.666666666666667E-2</v>
      </c>
      <c r="D77" s="1">
        <f>IF(Signals_US!C77=1,Signals_US!Q77*Mapping!$E$4,IF(Signals_US!C77=-1,-Signals_US!R77*Mapping!$E$4,0))</f>
        <v>0</v>
      </c>
      <c r="E77" s="1">
        <f>IF(Signals_US!C77=1,Signals_US!Q77*Mapping!$E$5,IF(Signals_US!C77=-1,-Signals_US!R77*Mapping!$E$5,0))</f>
        <v>0</v>
      </c>
      <c r="F77" s="1">
        <f>IF(Signals_US!C77=1,Signals_US!Q77*Mapping!$E$6,IF(Signals_US!C77=-1,-Signals_US!R77*Mapping!$E$6,0))</f>
        <v>0</v>
      </c>
      <c r="G77" s="1">
        <f>IF(Signals_US!F77=1,Signals_US!Q77*Mapping!$E$7,IF(Signals_US!F77=-1,-Signals_US!R77*Mapping!$E$7,0))</f>
        <v>1.666666666666667E-2</v>
      </c>
      <c r="H77" s="1">
        <f>IF(Signals_US!D77=1,Signals_US!Q77*Mapping!$E$8,IF(Signals_US!D77=-1,-Signals_US!R77*Mapping!$E$8,0))</f>
        <v>0</v>
      </c>
      <c r="I77" s="1">
        <f>IF(Signals_US!G77=1,Signals_US!Q77*Mapping!$E$9,IF(Signals_US!G77=-1,-Signals_US!R77*Mapping!$E$9,0))</f>
        <v>-5.000000000000001E-2</v>
      </c>
      <c r="J77" s="1">
        <f>IF(Signals_US!H77=1,Signals_US!Q77*Mapping!$E$10,IF(Signals_US!H77=-1,-Signals_US!R77*Mapping!$E$10,0))</f>
        <v>0</v>
      </c>
      <c r="K77" s="1">
        <f>IF(Signals_US!F77=1,Signals_US!Q77*Mapping!$E$11,IF(Signals_US!F77=-1,-Signals_US!R77*Mapping!$E$11,0))</f>
        <v>1.666666666666667E-2</v>
      </c>
      <c r="L77" s="1">
        <f>IF(Signals_US!N77=1,Signals_US!Q77*Mapping!$E$12,IF(Signals_US!N77=-1,-Signals_US!R77*Mapping!$E$12,0))</f>
        <v>0</v>
      </c>
      <c r="M77" s="1">
        <f>IF(Signals_US!I77=1,Signals_US!Q77*Mapping!$E$13,IF(Signals_US!I77=-1,-Signals_US!R77*Mapping!$E$13,0))</f>
        <v>-5.000000000000001E-2</v>
      </c>
      <c r="N77" s="1">
        <f>0</f>
        <v>0</v>
      </c>
      <c r="O77" s="1">
        <f>0</f>
        <v>0</v>
      </c>
      <c r="P77" s="1">
        <f>IF(Signals_US!E77=1,Signals_US!Q77*Mapping!$E$16,IF(Signals_US!E77=-1,-Signals_US!R77*Mapping!$E$16,0))</f>
        <v>5.000000000000001E-2</v>
      </c>
      <c r="Q77" s="1">
        <f>IF(Signals_US!J77=1,Signals_US!Q77*Mapping!$E$17,IF(Signals_US!J77=-1,-Signals_US!R77*Mapping!$E$17,0))</f>
        <v>0</v>
      </c>
      <c r="R77" s="1">
        <f>IF(Signals_US!K77=1,Signals_US!Q77*Mapping!$E$18,IF(Signals_US!K77=-1,-Signals_US!R77*Mapping!$E$18,0))</f>
        <v>5.000000000000001E-2</v>
      </c>
      <c r="S77" s="1">
        <f>IF(Signals_US!M77=1,Signals_US!Q77*Mapping!$E$19,IF(Signals_US!M77=-1,-Signals_US!R77*Mapping!$E$19,0))</f>
        <v>0</v>
      </c>
      <c r="T77" s="1">
        <f>IF(Signals_US!L77=1,Signals_US!Q77*Mapping!$E$20,IF(Signals_US!L77=-1,-Signals_US!R77*Mapping!$E$20,0))</f>
        <v>-5.000000000000001E-2</v>
      </c>
      <c r="U77" s="1">
        <f t="shared" si="1"/>
        <v>0</v>
      </c>
    </row>
    <row r="78" spans="1:21">
      <c r="A78" s="5">
        <f>Signals_US!B78</f>
        <v>41365</v>
      </c>
      <c r="B78" s="1">
        <f>0</f>
        <v>0</v>
      </c>
      <c r="C78" s="1">
        <f>IF(Signals_US!F78=1,Signals_US!Q78*Mapping!$E$3,IF(Signals_US!F78=-1,-Signals_US!R78*Mapping!$E$3,0))</f>
        <v>0</v>
      </c>
      <c r="D78" s="1">
        <f>IF(Signals_US!C78=1,Signals_US!Q78*Mapping!$E$4,IF(Signals_US!C78=-1,-Signals_US!R78*Mapping!$E$4,0))</f>
        <v>0</v>
      </c>
      <c r="E78" s="1">
        <f>IF(Signals_US!C78=1,Signals_US!Q78*Mapping!$E$5,IF(Signals_US!C78=-1,-Signals_US!R78*Mapping!$E$5,0))</f>
        <v>0</v>
      </c>
      <c r="F78" s="1">
        <f>IF(Signals_US!C78=1,Signals_US!Q78*Mapping!$E$6,IF(Signals_US!C78=-1,-Signals_US!R78*Mapping!$E$6,0))</f>
        <v>0</v>
      </c>
      <c r="G78" s="1">
        <f>IF(Signals_US!F78=1,Signals_US!Q78*Mapping!$E$7,IF(Signals_US!F78=-1,-Signals_US!R78*Mapping!$E$7,0))</f>
        <v>0</v>
      </c>
      <c r="H78" s="1">
        <f>IF(Signals_US!D78=1,Signals_US!Q78*Mapping!$E$8,IF(Signals_US!D78=-1,-Signals_US!R78*Mapping!$E$8,0))</f>
        <v>0</v>
      </c>
      <c r="I78" s="1">
        <f>IF(Signals_US!G78=1,Signals_US!Q78*Mapping!$E$9,IF(Signals_US!G78=-1,-Signals_US!R78*Mapping!$E$9,0))</f>
        <v>-5.000000000000001E-2</v>
      </c>
      <c r="J78" s="1">
        <f>IF(Signals_US!H78=1,Signals_US!Q78*Mapping!$E$10,IF(Signals_US!H78=-1,-Signals_US!R78*Mapping!$E$10,0))</f>
        <v>0</v>
      </c>
      <c r="K78" s="1">
        <f>IF(Signals_US!F78=1,Signals_US!Q78*Mapping!$E$11,IF(Signals_US!F78=-1,-Signals_US!R78*Mapping!$E$11,0))</f>
        <v>0</v>
      </c>
      <c r="L78" s="1">
        <f>IF(Signals_US!N78=1,Signals_US!Q78*Mapping!$E$12,IF(Signals_US!N78=-1,-Signals_US!R78*Mapping!$E$12,0))</f>
        <v>5.000000000000001E-2</v>
      </c>
      <c r="M78" s="1">
        <f>IF(Signals_US!I78=1,Signals_US!Q78*Mapping!$E$13,IF(Signals_US!I78=-1,-Signals_US!R78*Mapping!$E$13,0))</f>
        <v>-5.000000000000001E-2</v>
      </c>
      <c r="N78" s="1">
        <f>0</f>
        <v>0</v>
      </c>
      <c r="O78" s="1">
        <f>0</f>
        <v>0</v>
      </c>
      <c r="P78" s="1">
        <f>IF(Signals_US!E78=1,Signals_US!Q78*Mapping!$E$16,IF(Signals_US!E78=-1,-Signals_US!R78*Mapping!$E$16,0))</f>
        <v>0</v>
      </c>
      <c r="Q78" s="1">
        <f>IF(Signals_US!J78=1,Signals_US!Q78*Mapping!$E$17,IF(Signals_US!J78=-1,-Signals_US!R78*Mapping!$E$17,0))</f>
        <v>5.000000000000001E-2</v>
      </c>
      <c r="R78" s="1">
        <f>IF(Signals_US!K78=1,Signals_US!Q78*Mapping!$E$18,IF(Signals_US!K78=-1,-Signals_US!R78*Mapping!$E$18,0))</f>
        <v>5.000000000000001E-2</v>
      </c>
      <c r="S78" s="1">
        <f>IF(Signals_US!M78=1,Signals_US!Q78*Mapping!$E$19,IF(Signals_US!M78=-1,-Signals_US!R78*Mapping!$E$19,0))</f>
        <v>0</v>
      </c>
      <c r="T78" s="1">
        <f>IF(Signals_US!L78=1,Signals_US!Q78*Mapping!$E$20,IF(Signals_US!L78=-1,-Signals_US!R78*Mapping!$E$20,0))</f>
        <v>-5.000000000000001E-2</v>
      </c>
      <c r="U78" s="1">
        <f t="shared" si="1"/>
        <v>0</v>
      </c>
    </row>
    <row r="79" spans="1:21">
      <c r="A79" s="5">
        <f>Signals_US!B79</f>
        <v>41395</v>
      </c>
      <c r="B79" s="1">
        <f>0</f>
        <v>0</v>
      </c>
      <c r="C79" s="1">
        <f>IF(Signals_US!F79=1,Signals_US!Q79*Mapping!$E$3,IF(Signals_US!F79=-1,-Signals_US!R79*Mapping!$E$3,0))</f>
        <v>1.666666666666667E-2</v>
      </c>
      <c r="D79" s="1">
        <f>IF(Signals_US!C79=1,Signals_US!Q79*Mapping!$E$4,IF(Signals_US!C79=-1,-Signals_US!R79*Mapping!$E$4,0))</f>
        <v>-1.666666666666667E-2</v>
      </c>
      <c r="E79" s="1">
        <f>IF(Signals_US!C79=1,Signals_US!Q79*Mapping!$E$5,IF(Signals_US!C79=-1,-Signals_US!R79*Mapping!$E$5,0))</f>
        <v>-1.666666666666667E-2</v>
      </c>
      <c r="F79" s="1">
        <f>IF(Signals_US!C79=1,Signals_US!Q79*Mapping!$E$6,IF(Signals_US!C79=-1,-Signals_US!R79*Mapping!$E$6,0))</f>
        <v>-1.666666666666667E-2</v>
      </c>
      <c r="G79" s="1">
        <f>IF(Signals_US!F79=1,Signals_US!Q79*Mapping!$E$7,IF(Signals_US!F79=-1,-Signals_US!R79*Mapping!$E$7,0))</f>
        <v>1.666666666666667E-2</v>
      </c>
      <c r="H79" s="1">
        <f>IF(Signals_US!D79=1,Signals_US!Q79*Mapping!$E$8,IF(Signals_US!D79=-1,-Signals_US!R79*Mapping!$E$8,0))</f>
        <v>0</v>
      </c>
      <c r="I79" s="1">
        <f>IF(Signals_US!G79=1,Signals_US!Q79*Mapping!$E$9,IF(Signals_US!G79=-1,-Signals_US!R79*Mapping!$E$9,0))</f>
        <v>-5.000000000000001E-2</v>
      </c>
      <c r="J79" s="1">
        <f>IF(Signals_US!H79=1,Signals_US!Q79*Mapping!$E$10,IF(Signals_US!H79=-1,-Signals_US!R79*Mapping!$E$10,0))</f>
        <v>0</v>
      </c>
      <c r="K79" s="1">
        <f>IF(Signals_US!F79=1,Signals_US!Q79*Mapping!$E$11,IF(Signals_US!F79=-1,-Signals_US!R79*Mapping!$E$11,0))</f>
        <v>1.666666666666667E-2</v>
      </c>
      <c r="L79" s="1">
        <f>IF(Signals_US!N79=1,Signals_US!Q79*Mapping!$E$12,IF(Signals_US!N79=-1,-Signals_US!R79*Mapping!$E$12,0))</f>
        <v>5.000000000000001E-2</v>
      </c>
      <c r="M79" s="1">
        <f>IF(Signals_US!I79=1,Signals_US!Q79*Mapping!$E$13,IF(Signals_US!I79=-1,-Signals_US!R79*Mapping!$E$13,0))</f>
        <v>0</v>
      </c>
      <c r="N79" s="1">
        <f>0</f>
        <v>0</v>
      </c>
      <c r="O79" s="1">
        <f>0</f>
        <v>0</v>
      </c>
      <c r="P79" s="1">
        <f>IF(Signals_US!E79=1,Signals_US!Q79*Mapping!$E$16,IF(Signals_US!E79=-1,-Signals_US!R79*Mapping!$E$16,0))</f>
        <v>5.000000000000001E-2</v>
      </c>
      <c r="Q79" s="1">
        <f>IF(Signals_US!J79=1,Signals_US!Q79*Mapping!$E$17,IF(Signals_US!J79=-1,-Signals_US!R79*Mapping!$E$17,0))</f>
        <v>0</v>
      </c>
      <c r="R79" s="1">
        <f>IF(Signals_US!K79=1,Signals_US!Q79*Mapping!$E$18,IF(Signals_US!K79=-1,-Signals_US!R79*Mapping!$E$18,0))</f>
        <v>0</v>
      </c>
      <c r="S79" s="1">
        <f>IF(Signals_US!M79=1,Signals_US!Q79*Mapping!$E$19,IF(Signals_US!M79=-1,-Signals_US!R79*Mapping!$E$19,0))</f>
        <v>0</v>
      </c>
      <c r="T79" s="1">
        <f>IF(Signals_US!L79=1,Signals_US!Q79*Mapping!$E$20,IF(Signals_US!L79=-1,-Signals_US!R79*Mapping!$E$20,0))</f>
        <v>-5.000000000000001E-2</v>
      </c>
      <c r="U79" s="1">
        <f t="shared" si="1"/>
        <v>0</v>
      </c>
    </row>
    <row r="80" spans="1:21">
      <c r="A80" s="5">
        <f>Signals_US!B80</f>
        <v>41426</v>
      </c>
      <c r="B80" s="1">
        <f>0</f>
        <v>0</v>
      </c>
      <c r="C80" s="1">
        <f>IF(Signals_US!F80=1,Signals_US!Q80*Mapping!$E$3,IF(Signals_US!F80=-1,-Signals_US!R80*Mapping!$E$3,0))</f>
        <v>-1.666666666666667E-2</v>
      </c>
      <c r="D80" s="1">
        <f>IF(Signals_US!C80=1,Signals_US!Q80*Mapping!$E$4,IF(Signals_US!C80=-1,-Signals_US!R80*Mapping!$E$4,0))</f>
        <v>0</v>
      </c>
      <c r="E80" s="1">
        <f>IF(Signals_US!C80=1,Signals_US!Q80*Mapping!$E$5,IF(Signals_US!C80=-1,-Signals_US!R80*Mapping!$E$5,0))</f>
        <v>0</v>
      </c>
      <c r="F80" s="1">
        <f>IF(Signals_US!C80=1,Signals_US!Q80*Mapping!$E$6,IF(Signals_US!C80=-1,-Signals_US!R80*Mapping!$E$6,0))</f>
        <v>0</v>
      </c>
      <c r="G80" s="1">
        <f>IF(Signals_US!F80=1,Signals_US!Q80*Mapping!$E$7,IF(Signals_US!F80=-1,-Signals_US!R80*Mapping!$E$7,0))</f>
        <v>-1.666666666666667E-2</v>
      </c>
      <c r="H80" s="1">
        <f>IF(Signals_US!D80=1,Signals_US!Q80*Mapping!$E$8,IF(Signals_US!D80=-1,-Signals_US!R80*Mapping!$E$8,0))</f>
        <v>5.000000000000001E-2</v>
      </c>
      <c r="I80" s="1">
        <f>IF(Signals_US!G80=1,Signals_US!Q80*Mapping!$E$9,IF(Signals_US!G80=-1,-Signals_US!R80*Mapping!$E$9,0))</f>
        <v>-5.000000000000001E-2</v>
      </c>
      <c r="J80" s="1">
        <f>IF(Signals_US!H80=1,Signals_US!Q80*Mapping!$E$10,IF(Signals_US!H80=-1,-Signals_US!R80*Mapping!$E$10,0))</f>
        <v>0</v>
      </c>
      <c r="K80" s="1">
        <f>IF(Signals_US!F80=1,Signals_US!Q80*Mapping!$E$11,IF(Signals_US!F80=-1,-Signals_US!R80*Mapping!$E$11,0))</f>
        <v>-1.666666666666667E-2</v>
      </c>
      <c r="L80" s="1">
        <f>IF(Signals_US!N80=1,Signals_US!Q80*Mapping!$E$12,IF(Signals_US!N80=-1,-Signals_US!R80*Mapping!$E$12,0))</f>
        <v>5.000000000000001E-2</v>
      </c>
      <c r="M80" s="1">
        <f>IF(Signals_US!I80=1,Signals_US!Q80*Mapping!$E$13,IF(Signals_US!I80=-1,-Signals_US!R80*Mapping!$E$13,0))</f>
        <v>0</v>
      </c>
      <c r="N80" s="1">
        <f>0</f>
        <v>0</v>
      </c>
      <c r="O80" s="1">
        <f>0</f>
        <v>0</v>
      </c>
      <c r="P80" s="1">
        <f>IF(Signals_US!E80=1,Signals_US!Q80*Mapping!$E$16,IF(Signals_US!E80=-1,-Signals_US!R80*Mapping!$E$16,0))</f>
        <v>0</v>
      </c>
      <c r="Q80" s="1">
        <f>IF(Signals_US!J80=1,Signals_US!Q80*Mapping!$E$17,IF(Signals_US!J80=-1,-Signals_US!R80*Mapping!$E$17,0))</f>
        <v>5.000000000000001E-2</v>
      </c>
      <c r="R80" s="1">
        <f>IF(Signals_US!K80=1,Signals_US!Q80*Mapping!$E$18,IF(Signals_US!K80=-1,-Signals_US!R80*Mapping!$E$18,0))</f>
        <v>0</v>
      </c>
      <c r="S80" s="1">
        <f>IF(Signals_US!M80=1,Signals_US!Q80*Mapping!$E$19,IF(Signals_US!M80=-1,-Signals_US!R80*Mapping!$E$19,0))</f>
        <v>0</v>
      </c>
      <c r="T80" s="1">
        <f>IF(Signals_US!L80=1,Signals_US!Q80*Mapping!$E$20,IF(Signals_US!L80=-1,-Signals_US!R80*Mapping!$E$20,0))</f>
        <v>-5.000000000000001E-2</v>
      </c>
      <c r="U80" s="1">
        <f t="shared" si="1"/>
        <v>0</v>
      </c>
    </row>
    <row r="81" spans="1:21">
      <c r="A81" s="5">
        <f>Signals_US!B81</f>
        <v>41456</v>
      </c>
      <c r="B81" s="1">
        <f>0</f>
        <v>0</v>
      </c>
      <c r="C81" s="1">
        <f>IF(Signals_US!F81=1,Signals_US!Q81*Mapping!$E$3,IF(Signals_US!F81=-1,-Signals_US!R81*Mapping!$E$3,0))</f>
        <v>-1.666666666666667E-2</v>
      </c>
      <c r="D81" s="1">
        <f>IF(Signals_US!C81=1,Signals_US!Q81*Mapping!$E$4,IF(Signals_US!C81=-1,-Signals_US!R81*Mapping!$E$4,0))</f>
        <v>0</v>
      </c>
      <c r="E81" s="1">
        <f>IF(Signals_US!C81=1,Signals_US!Q81*Mapping!$E$5,IF(Signals_US!C81=-1,-Signals_US!R81*Mapping!$E$5,0))</f>
        <v>0</v>
      </c>
      <c r="F81" s="1">
        <f>IF(Signals_US!C81=1,Signals_US!Q81*Mapping!$E$6,IF(Signals_US!C81=-1,-Signals_US!R81*Mapping!$E$6,0))</f>
        <v>0</v>
      </c>
      <c r="G81" s="1">
        <f>IF(Signals_US!F81=1,Signals_US!Q81*Mapping!$E$7,IF(Signals_US!F81=-1,-Signals_US!R81*Mapping!$E$7,0))</f>
        <v>-1.666666666666667E-2</v>
      </c>
      <c r="H81" s="1">
        <f>IF(Signals_US!D81=1,Signals_US!Q81*Mapping!$E$8,IF(Signals_US!D81=-1,-Signals_US!R81*Mapping!$E$8,0))</f>
        <v>0</v>
      </c>
      <c r="I81" s="1">
        <f>IF(Signals_US!G81=1,Signals_US!Q81*Mapping!$E$9,IF(Signals_US!G81=-1,-Signals_US!R81*Mapping!$E$9,0))</f>
        <v>-5.000000000000001E-2</v>
      </c>
      <c r="J81" s="1">
        <f>IF(Signals_US!H81=1,Signals_US!Q81*Mapping!$E$10,IF(Signals_US!H81=-1,-Signals_US!R81*Mapping!$E$10,0))</f>
        <v>0</v>
      </c>
      <c r="K81" s="1">
        <f>IF(Signals_US!F81=1,Signals_US!Q81*Mapping!$E$11,IF(Signals_US!F81=-1,-Signals_US!R81*Mapping!$E$11,0))</f>
        <v>-1.666666666666667E-2</v>
      </c>
      <c r="L81" s="1">
        <f>IF(Signals_US!N81=1,Signals_US!Q81*Mapping!$E$12,IF(Signals_US!N81=-1,-Signals_US!R81*Mapping!$E$12,0))</f>
        <v>5.000000000000001E-2</v>
      </c>
      <c r="M81" s="1">
        <f>IF(Signals_US!I81=1,Signals_US!Q81*Mapping!$E$13,IF(Signals_US!I81=-1,-Signals_US!R81*Mapping!$E$13,0))</f>
        <v>0</v>
      </c>
      <c r="N81" s="1">
        <f>0</f>
        <v>0</v>
      </c>
      <c r="O81" s="1">
        <f>0</f>
        <v>0</v>
      </c>
      <c r="P81" s="1">
        <f>IF(Signals_US!E81=1,Signals_US!Q81*Mapping!$E$16,IF(Signals_US!E81=-1,-Signals_US!R81*Mapping!$E$16,0))</f>
        <v>5.000000000000001E-2</v>
      </c>
      <c r="Q81" s="1">
        <f>IF(Signals_US!J81=1,Signals_US!Q81*Mapping!$E$17,IF(Signals_US!J81=-1,-Signals_US!R81*Mapping!$E$17,0))</f>
        <v>5.000000000000001E-2</v>
      </c>
      <c r="R81" s="1">
        <f>IF(Signals_US!K81=1,Signals_US!Q81*Mapping!$E$18,IF(Signals_US!K81=-1,-Signals_US!R81*Mapping!$E$18,0))</f>
        <v>0</v>
      </c>
      <c r="S81" s="1">
        <f>IF(Signals_US!M81=1,Signals_US!Q81*Mapping!$E$19,IF(Signals_US!M81=-1,-Signals_US!R81*Mapping!$E$19,0))</f>
        <v>0</v>
      </c>
      <c r="T81" s="1">
        <f>IF(Signals_US!L81=1,Signals_US!Q81*Mapping!$E$20,IF(Signals_US!L81=-1,-Signals_US!R81*Mapping!$E$20,0))</f>
        <v>-5.000000000000001E-2</v>
      </c>
      <c r="U81" s="1">
        <f t="shared" si="1"/>
        <v>0</v>
      </c>
    </row>
    <row r="82" spans="1:21">
      <c r="A82" s="5">
        <f>Signals_US!B82</f>
        <v>41487</v>
      </c>
      <c r="B82" s="1">
        <f>0</f>
        <v>0</v>
      </c>
      <c r="C82" s="1">
        <f>IF(Signals_US!F82=1,Signals_US!Q82*Mapping!$E$3,IF(Signals_US!F82=-1,-Signals_US!R82*Mapping!$E$3,0))</f>
        <v>0</v>
      </c>
      <c r="D82" s="1">
        <f>IF(Signals_US!C82=1,Signals_US!Q82*Mapping!$E$4,IF(Signals_US!C82=-1,-Signals_US!R82*Mapping!$E$4,0))</f>
        <v>0</v>
      </c>
      <c r="E82" s="1">
        <f>IF(Signals_US!C82=1,Signals_US!Q82*Mapping!$E$5,IF(Signals_US!C82=-1,-Signals_US!R82*Mapping!$E$5,0))</f>
        <v>0</v>
      </c>
      <c r="F82" s="1">
        <f>IF(Signals_US!C82=1,Signals_US!Q82*Mapping!$E$6,IF(Signals_US!C82=-1,-Signals_US!R82*Mapping!$E$6,0))</f>
        <v>0</v>
      </c>
      <c r="G82" s="1">
        <f>IF(Signals_US!F82=1,Signals_US!Q82*Mapping!$E$7,IF(Signals_US!F82=-1,-Signals_US!R82*Mapping!$E$7,0))</f>
        <v>0</v>
      </c>
      <c r="H82" s="1">
        <f>IF(Signals_US!D82=1,Signals_US!Q82*Mapping!$E$8,IF(Signals_US!D82=-1,-Signals_US!R82*Mapping!$E$8,0))</f>
        <v>0</v>
      </c>
      <c r="I82" s="1">
        <f>IF(Signals_US!G82=1,Signals_US!Q82*Mapping!$E$9,IF(Signals_US!G82=-1,-Signals_US!R82*Mapping!$E$9,0))</f>
        <v>-5.000000000000001E-2</v>
      </c>
      <c r="J82" s="1">
        <f>IF(Signals_US!H82=1,Signals_US!Q82*Mapping!$E$10,IF(Signals_US!H82=-1,-Signals_US!R82*Mapping!$E$10,0))</f>
        <v>0</v>
      </c>
      <c r="K82" s="1">
        <f>IF(Signals_US!F82=1,Signals_US!Q82*Mapping!$E$11,IF(Signals_US!F82=-1,-Signals_US!R82*Mapping!$E$11,0))</f>
        <v>0</v>
      </c>
      <c r="L82" s="1">
        <f>IF(Signals_US!N82=1,Signals_US!Q82*Mapping!$E$12,IF(Signals_US!N82=-1,-Signals_US!R82*Mapping!$E$12,0))</f>
        <v>5.000000000000001E-2</v>
      </c>
      <c r="M82" s="1">
        <f>IF(Signals_US!I82=1,Signals_US!Q82*Mapping!$E$13,IF(Signals_US!I82=-1,-Signals_US!R82*Mapping!$E$13,0))</f>
        <v>0</v>
      </c>
      <c r="N82" s="1">
        <f>0</f>
        <v>0</v>
      </c>
      <c r="O82" s="1">
        <f>0</f>
        <v>0</v>
      </c>
      <c r="P82" s="1">
        <f>IF(Signals_US!E82=1,Signals_US!Q82*Mapping!$E$16,IF(Signals_US!E82=-1,-Signals_US!R82*Mapping!$E$16,0))</f>
        <v>5.000000000000001E-2</v>
      </c>
      <c r="Q82" s="1">
        <f>IF(Signals_US!J82=1,Signals_US!Q82*Mapping!$E$17,IF(Signals_US!J82=-1,-Signals_US!R82*Mapping!$E$17,0))</f>
        <v>5.000000000000001E-2</v>
      </c>
      <c r="R82" s="1">
        <f>IF(Signals_US!K82=1,Signals_US!Q82*Mapping!$E$18,IF(Signals_US!K82=-1,-Signals_US!R82*Mapping!$E$18,0))</f>
        <v>-5.000000000000001E-2</v>
      </c>
      <c r="S82" s="1">
        <f>IF(Signals_US!M82=1,Signals_US!Q82*Mapping!$E$19,IF(Signals_US!M82=-1,-Signals_US!R82*Mapping!$E$19,0))</f>
        <v>0</v>
      </c>
      <c r="T82" s="1">
        <f>IF(Signals_US!L82=1,Signals_US!Q82*Mapping!$E$20,IF(Signals_US!L82=-1,-Signals_US!R82*Mapping!$E$20,0))</f>
        <v>-5.000000000000001E-2</v>
      </c>
      <c r="U82" s="1">
        <f t="shared" si="1"/>
        <v>0</v>
      </c>
    </row>
    <row r="83" spans="1:21">
      <c r="A83" s="5">
        <f>Signals_US!B83</f>
        <v>41518</v>
      </c>
      <c r="B83" s="1">
        <f>0</f>
        <v>0</v>
      </c>
      <c r="C83" s="1">
        <f>IF(Signals_US!F83=1,Signals_US!Q83*Mapping!$E$3,IF(Signals_US!F83=-1,-Signals_US!R83*Mapping!$E$3,0))</f>
        <v>0</v>
      </c>
      <c r="D83" s="1">
        <f>IF(Signals_US!C83=1,Signals_US!Q83*Mapping!$E$4,IF(Signals_US!C83=-1,-Signals_US!R83*Mapping!$E$4,0))</f>
        <v>-1.666666666666667E-2</v>
      </c>
      <c r="E83" s="1">
        <f>IF(Signals_US!C83=1,Signals_US!Q83*Mapping!$E$5,IF(Signals_US!C83=-1,-Signals_US!R83*Mapping!$E$5,0))</f>
        <v>-1.666666666666667E-2</v>
      </c>
      <c r="F83" s="1">
        <f>IF(Signals_US!C83=1,Signals_US!Q83*Mapping!$E$6,IF(Signals_US!C83=-1,-Signals_US!R83*Mapping!$E$6,0))</f>
        <v>-1.666666666666667E-2</v>
      </c>
      <c r="G83" s="1">
        <f>IF(Signals_US!F83=1,Signals_US!Q83*Mapping!$E$7,IF(Signals_US!F83=-1,-Signals_US!R83*Mapping!$E$7,0))</f>
        <v>0</v>
      </c>
      <c r="H83" s="1">
        <f>IF(Signals_US!D83=1,Signals_US!Q83*Mapping!$E$8,IF(Signals_US!D83=-1,-Signals_US!R83*Mapping!$E$8,0))</f>
        <v>5.000000000000001E-2</v>
      </c>
      <c r="I83" s="1">
        <f>IF(Signals_US!G83=1,Signals_US!Q83*Mapping!$E$9,IF(Signals_US!G83=-1,-Signals_US!R83*Mapping!$E$9,0))</f>
        <v>0</v>
      </c>
      <c r="J83" s="1">
        <f>IF(Signals_US!H83=1,Signals_US!Q83*Mapping!$E$10,IF(Signals_US!H83=-1,-Signals_US!R83*Mapping!$E$10,0))</f>
        <v>0</v>
      </c>
      <c r="K83" s="1">
        <f>IF(Signals_US!F83=1,Signals_US!Q83*Mapping!$E$11,IF(Signals_US!F83=-1,-Signals_US!R83*Mapping!$E$11,0))</f>
        <v>0</v>
      </c>
      <c r="L83" s="1">
        <f>IF(Signals_US!N83=1,Signals_US!Q83*Mapping!$E$12,IF(Signals_US!N83=-1,-Signals_US!R83*Mapping!$E$12,0))</f>
        <v>5.000000000000001E-2</v>
      </c>
      <c r="M83" s="1">
        <f>IF(Signals_US!I83=1,Signals_US!Q83*Mapping!$E$13,IF(Signals_US!I83=-1,-Signals_US!R83*Mapping!$E$13,0))</f>
        <v>0</v>
      </c>
      <c r="N83" s="1">
        <f>0</f>
        <v>0</v>
      </c>
      <c r="O83" s="1">
        <f>0</f>
        <v>0</v>
      </c>
      <c r="P83" s="1">
        <f>IF(Signals_US!E83=1,Signals_US!Q83*Mapping!$E$16,IF(Signals_US!E83=-1,-Signals_US!R83*Mapping!$E$16,0))</f>
        <v>0</v>
      </c>
      <c r="Q83" s="1">
        <f>IF(Signals_US!J83=1,Signals_US!Q83*Mapping!$E$17,IF(Signals_US!J83=-1,-Signals_US!R83*Mapping!$E$17,0))</f>
        <v>5.000000000000001E-2</v>
      </c>
      <c r="R83" s="1">
        <f>IF(Signals_US!K83=1,Signals_US!Q83*Mapping!$E$18,IF(Signals_US!K83=-1,-Signals_US!R83*Mapping!$E$18,0))</f>
        <v>-5.000000000000001E-2</v>
      </c>
      <c r="S83" s="1">
        <f>IF(Signals_US!M83=1,Signals_US!Q83*Mapping!$E$19,IF(Signals_US!M83=-1,-Signals_US!R83*Mapping!$E$19,0))</f>
        <v>0</v>
      </c>
      <c r="T83" s="1">
        <f>IF(Signals_US!L83=1,Signals_US!Q83*Mapping!$E$20,IF(Signals_US!L83=-1,-Signals_US!R83*Mapping!$E$20,0))</f>
        <v>-5.000000000000001E-2</v>
      </c>
      <c r="U83" s="1">
        <f t="shared" si="1"/>
        <v>0</v>
      </c>
    </row>
    <row r="84" spans="1:21">
      <c r="A84" s="5">
        <f>Signals_US!B84</f>
        <v>41548</v>
      </c>
      <c r="B84" s="1">
        <f>0</f>
        <v>0</v>
      </c>
      <c r="C84" s="1">
        <f>IF(Signals_US!F84=1,Signals_US!Q84*Mapping!$E$3,IF(Signals_US!F84=-1,-Signals_US!R84*Mapping!$E$3,0))</f>
        <v>0</v>
      </c>
      <c r="D84" s="1">
        <f>IF(Signals_US!C84=1,Signals_US!Q84*Mapping!$E$4,IF(Signals_US!C84=-1,-Signals_US!R84*Mapping!$E$4,0))</f>
        <v>-1.666666666666667E-2</v>
      </c>
      <c r="E84" s="1">
        <f>IF(Signals_US!C84=1,Signals_US!Q84*Mapping!$E$5,IF(Signals_US!C84=-1,-Signals_US!R84*Mapping!$E$5,0))</f>
        <v>-1.666666666666667E-2</v>
      </c>
      <c r="F84" s="1">
        <f>IF(Signals_US!C84=1,Signals_US!Q84*Mapping!$E$6,IF(Signals_US!C84=-1,-Signals_US!R84*Mapping!$E$6,0))</f>
        <v>-1.666666666666667E-2</v>
      </c>
      <c r="G84" s="1">
        <f>IF(Signals_US!F84=1,Signals_US!Q84*Mapping!$E$7,IF(Signals_US!F84=-1,-Signals_US!R84*Mapping!$E$7,0))</f>
        <v>0</v>
      </c>
      <c r="H84" s="1">
        <f>IF(Signals_US!D84=1,Signals_US!Q84*Mapping!$E$8,IF(Signals_US!D84=-1,-Signals_US!R84*Mapping!$E$8,0))</f>
        <v>0</v>
      </c>
      <c r="I84" s="1">
        <f>IF(Signals_US!G84=1,Signals_US!Q84*Mapping!$E$9,IF(Signals_US!G84=-1,-Signals_US!R84*Mapping!$E$9,0))</f>
        <v>0</v>
      </c>
      <c r="J84" s="1">
        <f>IF(Signals_US!H84=1,Signals_US!Q84*Mapping!$E$10,IF(Signals_US!H84=-1,-Signals_US!R84*Mapping!$E$10,0))</f>
        <v>5.000000000000001E-2</v>
      </c>
      <c r="K84" s="1">
        <f>IF(Signals_US!F84=1,Signals_US!Q84*Mapping!$E$11,IF(Signals_US!F84=-1,-Signals_US!R84*Mapping!$E$11,0))</f>
        <v>0</v>
      </c>
      <c r="L84" s="1">
        <f>IF(Signals_US!N84=1,Signals_US!Q84*Mapping!$E$12,IF(Signals_US!N84=-1,-Signals_US!R84*Mapping!$E$12,0))</f>
        <v>5.000000000000001E-2</v>
      </c>
      <c r="M84" s="1">
        <f>IF(Signals_US!I84=1,Signals_US!Q84*Mapping!$E$13,IF(Signals_US!I84=-1,-Signals_US!R84*Mapping!$E$13,0))</f>
        <v>0</v>
      </c>
      <c r="N84" s="1">
        <f>0</f>
        <v>0</v>
      </c>
      <c r="O84" s="1">
        <f>0</f>
        <v>0</v>
      </c>
      <c r="P84" s="1">
        <f>IF(Signals_US!E84=1,Signals_US!Q84*Mapping!$E$16,IF(Signals_US!E84=-1,-Signals_US!R84*Mapping!$E$16,0))</f>
        <v>5.000000000000001E-2</v>
      </c>
      <c r="Q84" s="1">
        <f>IF(Signals_US!J84=1,Signals_US!Q84*Mapping!$E$17,IF(Signals_US!J84=-1,-Signals_US!R84*Mapping!$E$17,0))</f>
        <v>0</v>
      </c>
      <c r="R84" s="1">
        <f>IF(Signals_US!K84=1,Signals_US!Q84*Mapping!$E$18,IF(Signals_US!K84=-1,-Signals_US!R84*Mapping!$E$18,0))</f>
        <v>-5.000000000000001E-2</v>
      </c>
      <c r="S84" s="1">
        <f>IF(Signals_US!M84=1,Signals_US!Q84*Mapping!$E$19,IF(Signals_US!M84=-1,-Signals_US!R84*Mapping!$E$19,0))</f>
        <v>0</v>
      </c>
      <c r="T84" s="1">
        <f>IF(Signals_US!L84=1,Signals_US!Q84*Mapping!$E$20,IF(Signals_US!L84=-1,-Signals_US!R84*Mapping!$E$20,0))</f>
        <v>-5.000000000000001E-2</v>
      </c>
      <c r="U84" s="1">
        <f t="shared" si="1"/>
        <v>0</v>
      </c>
    </row>
    <row r="85" spans="1:21">
      <c r="A85" s="5">
        <f>Signals_US!B85</f>
        <v>41579</v>
      </c>
      <c r="B85" s="1">
        <f>0</f>
        <v>0</v>
      </c>
      <c r="C85" s="1">
        <f>IF(Signals_US!F85=1,Signals_US!Q85*Mapping!$E$3,IF(Signals_US!F85=-1,-Signals_US!R85*Mapping!$E$3,0))</f>
        <v>-1.666666666666667E-2</v>
      </c>
      <c r="D85" s="1">
        <f>IF(Signals_US!C85=1,Signals_US!Q85*Mapping!$E$4,IF(Signals_US!C85=-1,-Signals_US!R85*Mapping!$E$4,0))</f>
        <v>0</v>
      </c>
      <c r="E85" s="1">
        <f>IF(Signals_US!C85=1,Signals_US!Q85*Mapping!$E$5,IF(Signals_US!C85=-1,-Signals_US!R85*Mapping!$E$5,0))</f>
        <v>0</v>
      </c>
      <c r="F85" s="1">
        <f>IF(Signals_US!C85=1,Signals_US!Q85*Mapping!$E$6,IF(Signals_US!C85=-1,-Signals_US!R85*Mapping!$E$6,0))</f>
        <v>0</v>
      </c>
      <c r="G85" s="1">
        <f>IF(Signals_US!F85=1,Signals_US!Q85*Mapping!$E$7,IF(Signals_US!F85=-1,-Signals_US!R85*Mapping!$E$7,0))</f>
        <v>-1.666666666666667E-2</v>
      </c>
      <c r="H85" s="1">
        <f>IF(Signals_US!D85=1,Signals_US!Q85*Mapping!$E$8,IF(Signals_US!D85=-1,-Signals_US!R85*Mapping!$E$8,0))</f>
        <v>0</v>
      </c>
      <c r="I85" s="1">
        <f>IF(Signals_US!G85=1,Signals_US!Q85*Mapping!$E$9,IF(Signals_US!G85=-1,-Signals_US!R85*Mapping!$E$9,0))</f>
        <v>0</v>
      </c>
      <c r="J85" s="1">
        <f>IF(Signals_US!H85=1,Signals_US!Q85*Mapping!$E$10,IF(Signals_US!H85=-1,-Signals_US!R85*Mapping!$E$10,0))</f>
        <v>5.000000000000001E-2</v>
      </c>
      <c r="K85" s="1">
        <f>IF(Signals_US!F85=1,Signals_US!Q85*Mapping!$E$11,IF(Signals_US!F85=-1,-Signals_US!R85*Mapping!$E$11,0))</f>
        <v>-1.666666666666667E-2</v>
      </c>
      <c r="L85" s="1">
        <f>IF(Signals_US!N85=1,Signals_US!Q85*Mapping!$E$12,IF(Signals_US!N85=-1,-Signals_US!R85*Mapping!$E$12,0))</f>
        <v>5.000000000000001E-2</v>
      </c>
      <c r="M85" s="1">
        <f>IF(Signals_US!I85=1,Signals_US!Q85*Mapping!$E$13,IF(Signals_US!I85=-1,-Signals_US!R85*Mapping!$E$13,0))</f>
        <v>0</v>
      </c>
      <c r="N85" s="1">
        <f>0</f>
        <v>0</v>
      </c>
      <c r="O85" s="1">
        <f>0</f>
        <v>0</v>
      </c>
      <c r="P85" s="1">
        <f>IF(Signals_US!E85=1,Signals_US!Q85*Mapping!$E$16,IF(Signals_US!E85=-1,-Signals_US!R85*Mapping!$E$16,0))</f>
        <v>0</v>
      </c>
      <c r="Q85" s="1">
        <f>IF(Signals_US!J85=1,Signals_US!Q85*Mapping!$E$17,IF(Signals_US!J85=-1,-Signals_US!R85*Mapping!$E$17,0))</f>
        <v>5.000000000000001E-2</v>
      </c>
      <c r="R85" s="1">
        <f>IF(Signals_US!K85=1,Signals_US!Q85*Mapping!$E$18,IF(Signals_US!K85=-1,-Signals_US!R85*Mapping!$E$18,0))</f>
        <v>-5.000000000000001E-2</v>
      </c>
      <c r="S85" s="1">
        <f>IF(Signals_US!M85=1,Signals_US!Q85*Mapping!$E$19,IF(Signals_US!M85=-1,-Signals_US!R85*Mapping!$E$19,0))</f>
        <v>0</v>
      </c>
      <c r="T85" s="1">
        <f>IF(Signals_US!L85=1,Signals_US!Q85*Mapping!$E$20,IF(Signals_US!L85=-1,-Signals_US!R85*Mapping!$E$20,0))</f>
        <v>-5.000000000000001E-2</v>
      </c>
      <c r="U85" s="1">
        <f t="shared" si="1"/>
        <v>0</v>
      </c>
    </row>
    <row r="86" spans="1:21">
      <c r="A86" s="5">
        <f>Signals_US!B86</f>
        <v>41609</v>
      </c>
      <c r="B86" s="1">
        <f>0</f>
        <v>0</v>
      </c>
      <c r="C86" s="1">
        <f>IF(Signals_US!F86=1,Signals_US!Q86*Mapping!$E$3,IF(Signals_US!F86=-1,-Signals_US!R86*Mapping!$E$3,0))</f>
        <v>-1.666666666666667E-2</v>
      </c>
      <c r="D86" s="1">
        <f>IF(Signals_US!C86=1,Signals_US!Q86*Mapping!$E$4,IF(Signals_US!C86=-1,-Signals_US!R86*Mapping!$E$4,0))</f>
        <v>-1.666666666666667E-2</v>
      </c>
      <c r="E86" s="1">
        <f>IF(Signals_US!C86=1,Signals_US!Q86*Mapping!$E$5,IF(Signals_US!C86=-1,-Signals_US!R86*Mapping!$E$5,0))</f>
        <v>-1.666666666666667E-2</v>
      </c>
      <c r="F86" s="1">
        <f>IF(Signals_US!C86=1,Signals_US!Q86*Mapping!$E$6,IF(Signals_US!C86=-1,-Signals_US!R86*Mapping!$E$6,0))</f>
        <v>-1.666666666666667E-2</v>
      </c>
      <c r="G86" s="1">
        <f>IF(Signals_US!F86=1,Signals_US!Q86*Mapping!$E$7,IF(Signals_US!F86=-1,-Signals_US!R86*Mapping!$E$7,0))</f>
        <v>-1.666666666666667E-2</v>
      </c>
      <c r="H86" s="1">
        <f>IF(Signals_US!D86=1,Signals_US!Q86*Mapping!$E$8,IF(Signals_US!D86=-1,-Signals_US!R86*Mapping!$E$8,0))</f>
        <v>0</v>
      </c>
      <c r="I86" s="1">
        <f>IF(Signals_US!G86=1,Signals_US!Q86*Mapping!$E$9,IF(Signals_US!G86=-1,-Signals_US!R86*Mapping!$E$9,0))</f>
        <v>5.000000000000001E-2</v>
      </c>
      <c r="J86" s="1">
        <f>IF(Signals_US!H86=1,Signals_US!Q86*Mapping!$E$10,IF(Signals_US!H86=-1,-Signals_US!R86*Mapping!$E$10,0))</f>
        <v>5.000000000000001E-2</v>
      </c>
      <c r="K86" s="1">
        <f>IF(Signals_US!F86=1,Signals_US!Q86*Mapping!$E$11,IF(Signals_US!F86=-1,-Signals_US!R86*Mapping!$E$11,0))</f>
        <v>-1.666666666666667E-2</v>
      </c>
      <c r="L86" s="1">
        <f>IF(Signals_US!N86=1,Signals_US!Q86*Mapping!$E$12,IF(Signals_US!N86=-1,-Signals_US!R86*Mapping!$E$12,0))</f>
        <v>5.000000000000001E-2</v>
      </c>
      <c r="M86" s="1">
        <f>IF(Signals_US!I86=1,Signals_US!Q86*Mapping!$E$13,IF(Signals_US!I86=-1,-Signals_US!R86*Mapping!$E$13,0))</f>
        <v>0</v>
      </c>
      <c r="N86" s="1">
        <f>0</f>
        <v>0</v>
      </c>
      <c r="O86" s="1">
        <f>0</f>
        <v>0</v>
      </c>
      <c r="P86" s="1">
        <f>IF(Signals_US!E86=1,Signals_US!Q86*Mapping!$E$16,IF(Signals_US!E86=-1,-Signals_US!R86*Mapping!$E$16,0))</f>
        <v>0</v>
      </c>
      <c r="Q86" s="1">
        <f>IF(Signals_US!J86=1,Signals_US!Q86*Mapping!$E$17,IF(Signals_US!J86=-1,-Signals_US!R86*Mapping!$E$17,0))</f>
        <v>0</v>
      </c>
      <c r="R86" s="1">
        <f>IF(Signals_US!K86=1,Signals_US!Q86*Mapping!$E$18,IF(Signals_US!K86=-1,-Signals_US!R86*Mapping!$E$18,0))</f>
        <v>-5.000000000000001E-2</v>
      </c>
      <c r="S86" s="1">
        <f>IF(Signals_US!M86=1,Signals_US!Q86*Mapping!$E$19,IF(Signals_US!M86=-1,-Signals_US!R86*Mapping!$E$19,0))</f>
        <v>0</v>
      </c>
      <c r="T86" s="1">
        <f>IF(Signals_US!L86=1,Signals_US!Q86*Mapping!$E$20,IF(Signals_US!L86=-1,-Signals_US!R86*Mapping!$E$20,0))</f>
        <v>0</v>
      </c>
      <c r="U86" s="1">
        <f t="shared" si="1"/>
        <v>0</v>
      </c>
    </row>
    <row r="87" spans="1:21">
      <c r="A87" s="5">
        <f>Signals_US!B87</f>
        <v>41640</v>
      </c>
      <c r="B87" s="1">
        <f>0</f>
        <v>0</v>
      </c>
      <c r="C87" s="1">
        <f>IF(Signals_US!F87=1,Signals_US!Q87*Mapping!$E$3,IF(Signals_US!F87=-1,-Signals_US!R87*Mapping!$E$3,0))</f>
        <v>-1.666666666666667E-2</v>
      </c>
      <c r="D87" s="1">
        <f>IF(Signals_US!C87=1,Signals_US!Q87*Mapping!$E$4,IF(Signals_US!C87=-1,-Signals_US!R87*Mapping!$E$4,0))</f>
        <v>0</v>
      </c>
      <c r="E87" s="1">
        <f>IF(Signals_US!C87=1,Signals_US!Q87*Mapping!$E$5,IF(Signals_US!C87=-1,-Signals_US!R87*Mapping!$E$5,0))</f>
        <v>0</v>
      </c>
      <c r="F87" s="1">
        <f>IF(Signals_US!C87=1,Signals_US!Q87*Mapping!$E$6,IF(Signals_US!C87=-1,-Signals_US!R87*Mapping!$E$6,0))</f>
        <v>0</v>
      </c>
      <c r="G87" s="1">
        <f>IF(Signals_US!F87=1,Signals_US!Q87*Mapping!$E$7,IF(Signals_US!F87=-1,-Signals_US!R87*Mapping!$E$7,0))</f>
        <v>-1.666666666666667E-2</v>
      </c>
      <c r="H87" s="1">
        <f>IF(Signals_US!D87=1,Signals_US!Q87*Mapping!$E$8,IF(Signals_US!D87=-1,-Signals_US!R87*Mapping!$E$8,0))</f>
        <v>0</v>
      </c>
      <c r="I87" s="1">
        <f>IF(Signals_US!G87=1,Signals_US!Q87*Mapping!$E$9,IF(Signals_US!G87=-1,-Signals_US!R87*Mapping!$E$9,0))</f>
        <v>-5.000000000000001E-2</v>
      </c>
      <c r="J87" s="1">
        <f>IF(Signals_US!H87=1,Signals_US!Q87*Mapping!$E$10,IF(Signals_US!H87=-1,-Signals_US!R87*Mapping!$E$10,0))</f>
        <v>5.000000000000001E-2</v>
      </c>
      <c r="K87" s="1">
        <f>IF(Signals_US!F87=1,Signals_US!Q87*Mapping!$E$11,IF(Signals_US!F87=-1,-Signals_US!R87*Mapping!$E$11,0))</f>
        <v>-1.666666666666667E-2</v>
      </c>
      <c r="L87" s="1">
        <f>IF(Signals_US!N87=1,Signals_US!Q87*Mapping!$E$12,IF(Signals_US!N87=-1,-Signals_US!R87*Mapping!$E$12,0))</f>
        <v>0</v>
      </c>
      <c r="M87" s="1">
        <f>IF(Signals_US!I87=1,Signals_US!Q87*Mapping!$E$13,IF(Signals_US!I87=-1,-Signals_US!R87*Mapping!$E$13,0))</f>
        <v>5.000000000000001E-2</v>
      </c>
      <c r="N87" s="1">
        <f>0</f>
        <v>0</v>
      </c>
      <c r="O87" s="1">
        <f>0</f>
        <v>0</v>
      </c>
      <c r="P87" s="1">
        <f>IF(Signals_US!E87=1,Signals_US!Q87*Mapping!$E$16,IF(Signals_US!E87=-1,-Signals_US!R87*Mapping!$E$16,0))</f>
        <v>0</v>
      </c>
      <c r="Q87" s="1">
        <f>IF(Signals_US!J87=1,Signals_US!Q87*Mapping!$E$17,IF(Signals_US!J87=-1,-Signals_US!R87*Mapping!$E$17,0))</f>
        <v>5.000000000000001E-2</v>
      </c>
      <c r="R87" s="1">
        <f>IF(Signals_US!K87=1,Signals_US!Q87*Mapping!$E$18,IF(Signals_US!K87=-1,-Signals_US!R87*Mapping!$E$18,0))</f>
        <v>0</v>
      </c>
      <c r="S87" s="1">
        <f>IF(Signals_US!M87=1,Signals_US!Q87*Mapping!$E$19,IF(Signals_US!M87=-1,-Signals_US!R87*Mapping!$E$19,0))</f>
        <v>0</v>
      </c>
      <c r="T87" s="1">
        <f>IF(Signals_US!L87=1,Signals_US!Q87*Mapping!$E$20,IF(Signals_US!L87=-1,-Signals_US!R87*Mapping!$E$20,0))</f>
        <v>-5.000000000000001E-2</v>
      </c>
      <c r="U87" s="1">
        <f t="shared" si="1"/>
        <v>0</v>
      </c>
    </row>
    <row r="88" spans="1:21">
      <c r="A88" s="5">
        <f>Signals_US!B88</f>
        <v>41671</v>
      </c>
      <c r="B88" s="1">
        <f>0</f>
        <v>0</v>
      </c>
      <c r="C88" s="1">
        <f>IF(Signals_US!F88=1,Signals_US!Q88*Mapping!$E$3,IF(Signals_US!F88=-1,-Signals_US!R88*Mapping!$E$3,0))</f>
        <v>0</v>
      </c>
      <c r="D88" s="1">
        <f>IF(Signals_US!C88=1,Signals_US!Q88*Mapping!$E$4,IF(Signals_US!C88=-1,-Signals_US!R88*Mapping!$E$4,0))</f>
        <v>1.666666666666667E-2</v>
      </c>
      <c r="E88" s="1">
        <f>IF(Signals_US!C88=1,Signals_US!Q88*Mapping!$E$5,IF(Signals_US!C88=-1,-Signals_US!R88*Mapping!$E$5,0))</f>
        <v>1.666666666666667E-2</v>
      </c>
      <c r="F88" s="1">
        <f>IF(Signals_US!C88=1,Signals_US!Q88*Mapping!$E$6,IF(Signals_US!C88=-1,-Signals_US!R88*Mapping!$E$6,0))</f>
        <v>1.666666666666667E-2</v>
      </c>
      <c r="G88" s="1">
        <f>IF(Signals_US!F88=1,Signals_US!Q88*Mapping!$E$7,IF(Signals_US!F88=-1,-Signals_US!R88*Mapping!$E$7,0))</f>
        <v>0</v>
      </c>
      <c r="H88" s="1">
        <f>IF(Signals_US!D88=1,Signals_US!Q88*Mapping!$E$8,IF(Signals_US!D88=-1,-Signals_US!R88*Mapping!$E$8,0))</f>
        <v>-5.000000000000001E-2</v>
      </c>
      <c r="I88" s="1">
        <f>IF(Signals_US!G88=1,Signals_US!Q88*Mapping!$E$9,IF(Signals_US!G88=-1,-Signals_US!R88*Mapping!$E$9,0))</f>
        <v>0</v>
      </c>
      <c r="J88" s="1">
        <f>IF(Signals_US!H88=1,Signals_US!Q88*Mapping!$E$10,IF(Signals_US!H88=-1,-Signals_US!R88*Mapping!$E$10,0))</f>
        <v>5.000000000000001E-2</v>
      </c>
      <c r="K88" s="1">
        <f>IF(Signals_US!F88=1,Signals_US!Q88*Mapping!$E$11,IF(Signals_US!F88=-1,-Signals_US!R88*Mapping!$E$11,0))</f>
        <v>0</v>
      </c>
      <c r="L88" s="1">
        <f>IF(Signals_US!N88=1,Signals_US!Q88*Mapping!$E$12,IF(Signals_US!N88=-1,-Signals_US!R88*Mapping!$E$12,0))</f>
        <v>0</v>
      </c>
      <c r="M88" s="1">
        <f>IF(Signals_US!I88=1,Signals_US!Q88*Mapping!$E$13,IF(Signals_US!I88=-1,-Signals_US!R88*Mapping!$E$13,0))</f>
        <v>0</v>
      </c>
      <c r="N88" s="1">
        <f>0</f>
        <v>0</v>
      </c>
      <c r="O88" s="1">
        <f>0</f>
        <v>0</v>
      </c>
      <c r="P88" s="1">
        <f>IF(Signals_US!E88=1,Signals_US!Q88*Mapping!$E$16,IF(Signals_US!E88=-1,-Signals_US!R88*Mapping!$E$16,0))</f>
        <v>0</v>
      </c>
      <c r="Q88" s="1">
        <f>IF(Signals_US!J88=1,Signals_US!Q88*Mapping!$E$17,IF(Signals_US!J88=-1,-Signals_US!R88*Mapping!$E$17,0))</f>
        <v>5.000000000000001E-2</v>
      </c>
      <c r="R88" s="1">
        <f>IF(Signals_US!K88=1,Signals_US!Q88*Mapping!$E$18,IF(Signals_US!K88=-1,-Signals_US!R88*Mapping!$E$18,0))</f>
        <v>-5.000000000000001E-2</v>
      </c>
      <c r="S88" s="1">
        <f>IF(Signals_US!M88=1,Signals_US!Q88*Mapping!$E$19,IF(Signals_US!M88=-1,-Signals_US!R88*Mapping!$E$19,0))</f>
        <v>0</v>
      </c>
      <c r="T88" s="1">
        <f>IF(Signals_US!L88=1,Signals_US!Q88*Mapping!$E$20,IF(Signals_US!L88=-1,-Signals_US!R88*Mapping!$E$20,0))</f>
        <v>-5.000000000000001E-2</v>
      </c>
      <c r="U88" s="1">
        <f t="shared" si="1"/>
        <v>0</v>
      </c>
    </row>
    <row r="89" spans="1:21">
      <c r="A89" s="5">
        <f>Signals_US!B89</f>
        <v>41699</v>
      </c>
      <c r="B89" s="1">
        <f>0</f>
        <v>0</v>
      </c>
      <c r="C89" s="1">
        <f>IF(Signals_US!F89=1,Signals_US!Q89*Mapping!$E$3,IF(Signals_US!F89=-1,-Signals_US!R89*Mapping!$E$3,0))</f>
        <v>0</v>
      </c>
      <c r="D89" s="1">
        <f>IF(Signals_US!C89=1,Signals_US!Q89*Mapping!$E$4,IF(Signals_US!C89=-1,-Signals_US!R89*Mapping!$E$4,0))</f>
        <v>-1.666666666666667E-2</v>
      </c>
      <c r="E89" s="1">
        <f>IF(Signals_US!C89=1,Signals_US!Q89*Mapping!$E$5,IF(Signals_US!C89=-1,-Signals_US!R89*Mapping!$E$5,0))</f>
        <v>-1.666666666666667E-2</v>
      </c>
      <c r="F89" s="1">
        <f>IF(Signals_US!C89=1,Signals_US!Q89*Mapping!$E$6,IF(Signals_US!C89=-1,-Signals_US!R89*Mapping!$E$6,0))</f>
        <v>-1.666666666666667E-2</v>
      </c>
      <c r="G89" s="1">
        <f>IF(Signals_US!F89=1,Signals_US!Q89*Mapping!$E$7,IF(Signals_US!F89=-1,-Signals_US!R89*Mapping!$E$7,0))</f>
        <v>0</v>
      </c>
      <c r="H89" s="1">
        <f>IF(Signals_US!D89=1,Signals_US!Q89*Mapping!$E$8,IF(Signals_US!D89=-1,-Signals_US!R89*Mapping!$E$8,0))</f>
        <v>-5.000000000000001E-2</v>
      </c>
      <c r="I89" s="1">
        <f>IF(Signals_US!G89=1,Signals_US!Q89*Mapping!$E$9,IF(Signals_US!G89=-1,-Signals_US!R89*Mapping!$E$9,0))</f>
        <v>0</v>
      </c>
      <c r="J89" s="1">
        <f>IF(Signals_US!H89=1,Signals_US!Q89*Mapping!$E$10,IF(Signals_US!H89=-1,-Signals_US!R89*Mapping!$E$10,0))</f>
        <v>5.000000000000001E-2</v>
      </c>
      <c r="K89" s="1">
        <f>IF(Signals_US!F89=1,Signals_US!Q89*Mapping!$E$11,IF(Signals_US!F89=-1,-Signals_US!R89*Mapping!$E$11,0))</f>
        <v>0</v>
      </c>
      <c r="L89" s="1">
        <f>IF(Signals_US!N89=1,Signals_US!Q89*Mapping!$E$12,IF(Signals_US!N89=-1,-Signals_US!R89*Mapping!$E$12,0))</f>
        <v>0</v>
      </c>
      <c r="M89" s="1">
        <f>IF(Signals_US!I89=1,Signals_US!Q89*Mapping!$E$13,IF(Signals_US!I89=-1,-Signals_US!R89*Mapping!$E$13,0))</f>
        <v>0</v>
      </c>
      <c r="N89" s="1">
        <f>0</f>
        <v>0</v>
      </c>
      <c r="O89" s="1">
        <f>0</f>
        <v>0</v>
      </c>
      <c r="P89" s="1">
        <f>IF(Signals_US!E89=1,Signals_US!Q89*Mapping!$E$16,IF(Signals_US!E89=-1,-Signals_US!R89*Mapping!$E$16,0))</f>
        <v>0</v>
      </c>
      <c r="Q89" s="1">
        <f>IF(Signals_US!J89=1,Signals_US!Q89*Mapping!$E$17,IF(Signals_US!J89=-1,-Signals_US!R89*Mapping!$E$17,0))</f>
        <v>5.000000000000001E-2</v>
      </c>
      <c r="R89" s="1">
        <f>IF(Signals_US!K89=1,Signals_US!Q89*Mapping!$E$18,IF(Signals_US!K89=-1,-Signals_US!R89*Mapping!$E$18,0))</f>
        <v>5.000000000000001E-2</v>
      </c>
      <c r="S89" s="1">
        <f>IF(Signals_US!M89=1,Signals_US!Q89*Mapping!$E$19,IF(Signals_US!M89=-1,-Signals_US!R89*Mapping!$E$19,0))</f>
        <v>0</v>
      </c>
      <c r="T89" s="1">
        <f>IF(Signals_US!L89=1,Signals_US!Q89*Mapping!$E$20,IF(Signals_US!L89=-1,-Signals_US!R89*Mapping!$E$20,0))</f>
        <v>-5.000000000000001E-2</v>
      </c>
      <c r="U89" s="1">
        <f t="shared" si="1"/>
        <v>0</v>
      </c>
    </row>
    <row r="90" spans="1:21">
      <c r="A90" s="5">
        <f>Signals_US!B90</f>
        <v>41730</v>
      </c>
      <c r="B90" s="1">
        <f>0</f>
        <v>0</v>
      </c>
      <c r="C90" s="1">
        <f>IF(Signals_US!F90=1,Signals_US!Q90*Mapping!$E$3,IF(Signals_US!F90=-1,-Signals_US!R90*Mapping!$E$3,0))</f>
        <v>0</v>
      </c>
      <c r="D90" s="1">
        <f>IF(Signals_US!C90=1,Signals_US!Q90*Mapping!$E$4,IF(Signals_US!C90=-1,-Signals_US!R90*Mapping!$E$4,0))</f>
        <v>0</v>
      </c>
      <c r="E90" s="1">
        <f>IF(Signals_US!C90=1,Signals_US!Q90*Mapping!$E$5,IF(Signals_US!C90=-1,-Signals_US!R90*Mapping!$E$5,0))</f>
        <v>0</v>
      </c>
      <c r="F90" s="1">
        <f>IF(Signals_US!C90=1,Signals_US!Q90*Mapping!$E$6,IF(Signals_US!C90=-1,-Signals_US!R90*Mapping!$E$6,0))</f>
        <v>0</v>
      </c>
      <c r="G90" s="1">
        <f>IF(Signals_US!F90=1,Signals_US!Q90*Mapping!$E$7,IF(Signals_US!F90=-1,-Signals_US!R90*Mapping!$E$7,0))</f>
        <v>0</v>
      </c>
      <c r="H90" s="1">
        <f>IF(Signals_US!D90=1,Signals_US!Q90*Mapping!$E$8,IF(Signals_US!D90=-1,-Signals_US!R90*Mapping!$E$8,0))</f>
        <v>-5.000000000000001E-2</v>
      </c>
      <c r="I90" s="1">
        <f>IF(Signals_US!G90=1,Signals_US!Q90*Mapping!$E$9,IF(Signals_US!G90=-1,-Signals_US!R90*Mapping!$E$9,0))</f>
        <v>5.000000000000001E-2</v>
      </c>
      <c r="J90" s="1">
        <f>IF(Signals_US!H90=1,Signals_US!Q90*Mapping!$E$10,IF(Signals_US!H90=-1,-Signals_US!R90*Mapping!$E$10,0))</f>
        <v>5.000000000000001E-2</v>
      </c>
      <c r="K90" s="1">
        <f>IF(Signals_US!F90=1,Signals_US!Q90*Mapping!$E$11,IF(Signals_US!F90=-1,-Signals_US!R90*Mapping!$E$11,0))</f>
        <v>0</v>
      </c>
      <c r="L90" s="1">
        <f>IF(Signals_US!N90=1,Signals_US!Q90*Mapping!$E$12,IF(Signals_US!N90=-1,-Signals_US!R90*Mapping!$E$12,0))</f>
        <v>0</v>
      </c>
      <c r="M90" s="1">
        <f>IF(Signals_US!I90=1,Signals_US!Q90*Mapping!$E$13,IF(Signals_US!I90=-1,-Signals_US!R90*Mapping!$E$13,0))</f>
        <v>0</v>
      </c>
      <c r="N90" s="1">
        <f>0</f>
        <v>0</v>
      </c>
      <c r="O90" s="1">
        <f>0</f>
        <v>0</v>
      </c>
      <c r="P90" s="1">
        <f>IF(Signals_US!E90=1,Signals_US!Q90*Mapping!$E$16,IF(Signals_US!E90=-1,-Signals_US!R90*Mapping!$E$16,0))</f>
        <v>-5.000000000000001E-2</v>
      </c>
      <c r="Q90" s="1">
        <f>IF(Signals_US!J90=1,Signals_US!Q90*Mapping!$E$17,IF(Signals_US!J90=-1,-Signals_US!R90*Mapping!$E$17,0))</f>
        <v>5.000000000000001E-2</v>
      </c>
      <c r="R90" s="1">
        <f>IF(Signals_US!K90=1,Signals_US!Q90*Mapping!$E$18,IF(Signals_US!K90=-1,-Signals_US!R90*Mapping!$E$18,0))</f>
        <v>0</v>
      </c>
      <c r="S90" s="1">
        <f>IF(Signals_US!M90=1,Signals_US!Q90*Mapping!$E$19,IF(Signals_US!M90=-1,-Signals_US!R90*Mapping!$E$19,0))</f>
        <v>0</v>
      </c>
      <c r="T90" s="1">
        <f>IF(Signals_US!L90=1,Signals_US!Q90*Mapping!$E$20,IF(Signals_US!L90=-1,-Signals_US!R90*Mapping!$E$20,0))</f>
        <v>-5.000000000000001E-2</v>
      </c>
      <c r="U90" s="1">
        <f t="shared" si="1"/>
        <v>0</v>
      </c>
    </row>
    <row r="91" spans="1:21">
      <c r="A91" s="5">
        <f>Signals_US!B91</f>
        <v>41760</v>
      </c>
      <c r="B91" s="1">
        <f>0</f>
        <v>0</v>
      </c>
      <c r="C91" s="1">
        <f>IF(Signals_US!F91=1,Signals_US!Q91*Mapping!$E$3,IF(Signals_US!F91=-1,-Signals_US!R91*Mapping!$E$3,0))</f>
        <v>0</v>
      </c>
      <c r="D91" s="1">
        <f>IF(Signals_US!C91=1,Signals_US!Q91*Mapping!$E$4,IF(Signals_US!C91=-1,-Signals_US!R91*Mapping!$E$4,0))</f>
        <v>-1.666666666666667E-2</v>
      </c>
      <c r="E91" s="1">
        <f>IF(Signals_US!C91=1,Signals_US!Q91*Mapping!$E$5,IF(Signals_US!C91=-1,-Signals_US!R91*Mapping!$E$5,0))</f>
        <v>-1.666666666666667E-2</v>
      </c>
      <c r="F91" s="1">
        <f>IF(Signals_US!C91=1,Signals_US!Q91*Mapping!$E$6,IF(Signals_US!C91=-1,-Signals_US!R91*Mapping!$E$6,0))</f>
        <v>-1.666666666666667E-2</v>
      </c>
      <c r="G91" s="1">
        <f>IF(Signals_US!F91=1,Signals_US!Q91*Mapping!$E$7,IF(Signals_US!F91=-1,-Signals_US!R91*Mapping!$E$7,0))</f>
        <v>0</v>
      </c>
      <c r="H91" s="1">
        <f>IF(Signals_US!D91=1,Signals_US!Q91*Mapping!$E$8,IF(Signals_US!D91=-1,-Signals_US!R91*Mapping!$E$8,0))</f>
        <v>-5.000000000000001E-2</v>
      </c>
      <c r="I91" s="1">
        <f>IF(Signals_US!G91=1,Signals_US!Q91*Mapping!$E$9,IF(Signals_US!G91=-1,-Signals_US!R91*Mapping!$E$9,0))</f>
        <v>5.000000000000001E-2</v>
      </c>
      <c r="J91" s="1">
        <f>IF(Signals_US!H91=1,Signals_US!Q91*Mapping!$E$10,IF(Signals_US!H91=-1,-Signals_US!R91*Mapping!$E$10,0))</f>
        <v>5.000000000000001E-2</v>
      </c>
      <c r="K91" s="1">
        <f>IF(Signals_US!F91=1,Signals_US!Q91*Mapping!$E$11,IF(Signals_US!F91=-1,-Signals_US!R91*Mapping!$E$11,0))</f>
        <v>0</v>
      </c>
      <c r="L91" s="1">
        <f>IF(Signals_US!N91=1,Signals_US!Q91*Mapping!$E$12,IF(Signals_US!N91=-1,-Signals_US!R91*Mapping!$E$12,0))</f>
        <v>0</v>
      </c>
      <c r="M91" s="1">
        <f>IF(Signals_US!I91=1,Signals_US!Q91*Mapping!$E$13,IF(Signals_US!I91=-1,-Signals_US!R91*Mapping!$E$13,0))</f>
        <v>0</v>
      </c>
      <c r="N91" s="1">
        <f>0</f>
        <v>0</v>
      </c>
      <c r="O91" s="1">
        <f>0</f>
        <v>0</v>
      </c>
      <c r="P91" s="1">
        <f>IF(Signals_US!E91=1,Signals_US!Q91*Mapping!$E$16,IF(Signals_US!E91=-1,-Signals_US!R91*Mapping!$E$16,0))</f>
        <v>0</v>
      </c>
      <c r="Q91" s="1">
        <f>IF(Signals_US!J91=1,Signals_US!Q91*Mapping!$E$17,IF(Signals_US!J91=-1,-Signals_US!R91*Mapping!$E$17,0))</f>
        <v>5.000000000000001E-2</v>
      </c>
      <c r="R91" s="1">
        <f>IF(Signals_US!K91=1,Signals_US!Q91*Mapping!$E$18,IF(Signals_US!K91=-1,-Signals_US!R91*Mapping!$E$18,0))</f>
        <v>0</v>
      </c>
      <c r="S91" s="1">
        <f>IF(Signals_US!M91=1,Signals_US!Q91*Mapping!$E$19,IF(Signals_US!M91=-1,-Signals_US!R91*Mapping!$E$19,0))</f>
        <v>0</v>
      </c>
      <c r="T91" s="1">
        <f>IF(Signals_US!L91=1,Signals_US!Q91*Mapping!$E$20,IF(Signals_US!L91=-1,-Signals_US!R91*Mapping!$E$20,0))</f>
        <v>-5.000000000000001E-2</v>
      </c>
      <c r="U91" s="1">
        <f t="shared" si="1"/>
        <v>0</v>
      </c>
    </row>
    <row r="92" spans="1:21">
      <c r="A92" s="5">
        <f>Signals_US!B92</f>
        <v>41791</v>
      </c>
      <c r="B92" s="1">
        <f>0</f>
        <v>0</v>
      </c>
      <c r="C92" s="1">
        <f>IF(Signals_US!F92=1,Signals_US!Q92*Mapping!$E$3,IF(Signals_US!F92=-1,-Signals_US!R92*Mapping!$E$3,0))</f>
        <v>0</v>
      </c>
      <c r="D92" s="1">
        <f>IF(Signals_US!C92=1,Signals_US!Q92*Mapping!$E$4,IF(Signals_US!C92=-1,-Signals_US!R92*Mapping!$E$4,0))</f>
        <v>-1.666666666666667E-2</v>
      </c>
      <c r="E92" s="1">
        <f>IF(Signals_US!C92=1,Signals_US!Q92*Mapping!$E$5,IF(Signals_US!C92=-1,-Signals_US!R92*Mapping!$E$5,0))</f>
        <v>-1.666666666666667E-2</v>
      </c>
      <c r="F92" s="1">
        <f>IF(Signals_US!C92=1,Signals_US!Q92*Mapping!$E$6,IF(Signals_US!C92=-1,-Signals_US!R92*Mapping!$E$6,0))</f>
        <v>-1.666666666666667E-2</v>
      </c>
      <c r="G92" s="1">
        <f>IF(Signals_US!F92=1,Signals_US!Q92*Mapping!$E$7,IF(Signals_US!F92=-1,-Signals_US!R92*Mapping!$E$7,0))</f>
        <v>0</v>
      </c>
      <c r="H92" s="1">
        <f>IF(Signals_US!D92=1,Signals_US!Q92*Mapping!$E$8,IF(Signals_US!D92=-1,-Signals_US!R92*Mapping!$E$8,0))</f>
        <v>-5.000000000000001E-2</v>
      </c>
      <c r="I92" s="1">
        <f>IF(Signals_US!G92=1,Signals_US!Q92*Mapping!$E$9,IF(Signals_US!G92=-1,-Signals_US!R92*Mapping!$E$9,0))</f>
        <v>0</v>
      </c>
      <c r="J92" s="1">
        <f>IF(Signals_US!H92=1,Signals_US!Q92*Mapping!$E$10,IF(Signals_US!H92=-1,-Signals_US!R92*Mapping!$E$10,0))</f>
        <v>5.000000000000001E-2</v>
      </c>
      <c r="K92" s="1">
        <f>IF(Signals_US!F92=1,Signals_US!Q92*Mapping!$E$11,IF(Signals_US!F92=-1,-Signals_US!R92*Mapping!$E$11,0))</f>
        <v>0</v>
      </c>
      <c r="L92" s="1">
        <f>IF(Signals_US!N92=1,Signals_US!Q92*Mapping!$E$12,IF(Signals_US!N92=-1,-Signals_US!R92*Mapping!$E$12,0))</f>
        <v>0</v>
      </c>
      <c r="M92" s="1">
        <f>IF(Signals_US!I92=1,Signals_US!Q92*Mapping!$E$13,IF(Signals_US!I92=-1,-Signals_US!R92*Mapping!$E$13,0))</f>
        <v>0</v>
      </c>
      <c r="N92" s="1">
        <f>0</f>
        <v>0</v>
      </c>
      <c r="O92" s="1">
        <f>0</f>
        <v>0</v>
      </c>
      <c r="P92" s="1">
        <f>IF(Signals_US!E92=1,Signals_US!Q92*Mapping!$E$16,IF(Signals_US!E92=-1,-Signals_US!R92*Mapping!$E$16,0))</f>
        <v>5.000000000000001E-2</v>
      </c>
      <c r="Q92" s="1">
        <f>IF(Signals_US!J92=1,Signals_US!Q92*Mapping!$E$17,IF(Signals_US!J92=-1,-Signals_US!R92*Mapping!$E$17,0))</f>
        <v>5.000000000000001E-2</v>
      </c>
      <c r="R92" s="1">
        <f>IF(Signals_US!K92=1,Signals_US!Q92*Mapping!$E$18,IF(Signals_US!K92=-1,-Signals_US!R92*Mapping!$E$18,0))</f>
        <v>-5.000000000000001E-2</v>
      </c>
      <c r="S92" s="1">
        <f>IF(Signals_US!M92=1,Signals_US!Q92*Mapping!$E$19,IF(Signals_US!M92=-1,-Signals_US!R92*Mapping!$E$19,0))</f>
        <v>0</v>
      </c>
      <c r="T92" s="1">
        <f>IF(Signals_US!L92=1,Signals_US!Q92*Mapping!$E$20,IF(Signals_US!L92=-1,-Signals_US!R92*Mapping!$E$20,0))</f>
        <v>0</v>
      </c>
      <c r="U92" s="1">
        <f t="shared" si="1"/>
        <v>0</v>
      </c>
    </row>
    <row r="93" spans="1:21">
      <c r="A93" s="5">
        <f>Signals_US!B93</f>
        <v>41821</v>
      </c>
      <c r="B93" s="1">
        <f>0</f>
        <v>0</v>
      </c>
      <c r="C93" s="1">
        <f>IF(Signals_US!F93=1,Signals_US!Q93*Mapping!$E$3,IF(Signals_US!F93=-1,-Signals_US!R93*Mapping!$E$3,0))</f>
        <v>0</v>
      </c>
      <c r="D93" s="1">
        <f>IF(Signals_US!C93=1,Signals_US!Q93*Mapping!$E$4,IF(Signals_US!C93=-1,-Signals_US!R93*Mapping!$E$4,0))</f>
        <v>-1.666666666666667E-2</v>
      </c>
      <c r="E93" s="1">
        <f>IF(Signals_US!C93=1,Signals_US!Q93*Mapping!$E$5,IF(Signals_US!C93=-1,-Signals_US!R93*Mapping!$E$5,0))</f>
        <v>-1.666666666666667E-2</v>
      </c>
      <c r="F93" s="1">
        <f>IF(Signals_US!C93=1,Signals_US!Q93*Mapping!$E$6,IF(Signals_US!C93=-1,-Signals_US!R93*Mapping!$E$6,0))</f>
        <v>-1.666666666666667E-2</v>
      </c>
      <c r="G93" s="1">
        <f>IF(Signals_US!F93=1,Signals_US!Q93*Mapping!$E$7,IF(Signals_US!F93=-1,-Signals_US!R93*Mapping!$E$7,0))</f>
        <v>0</v>
      </c>
      <c r="H93" s="1">
        <f>IF(Signals_US!D93=1,Signals_US!Q93*Mapping!$E$8,IF(Signals_US!D93=-1,-Signals_US!R93*Mapping!$E$8,0))</f>
        <v>-5.000000000000001E-2</v>
      </c>
      <c r="I93" s="1">
        <f>IF(Signals_US!G93=1,Signals_US!Q93*Mapping!$E$9,IF(Signals_US!G93=-1,-Signals_US!R93*Mapping!$E$9,0))</f>
        <v>0</v>
      </c>
      <c r="J93" s="1">
        <f>IF(Signals_US!H93=1,Signals_US!Q93*Mapping!$E$10,IF(Signals_US!H93=-1,-Signals_US!R93*Mapping!$E$10,0))</f>
        <v>5.000000000000001E-2</v>
      </c>
      <c r="K93" s="1">
        <f>IF(Signals_US!F93=1,Signals_US!Q93*Mapping!$E$11,IF(Signals_US!F93=-1,-Signals_US!R93*Mapping!$E$11,0))</f>
        <v>0</v>
      </c>
      <c r="L93" s="1">
        <f>IF(Signals_US!N93=1,Signals_US!Q93*Mapping!$E$12,IF(Signals_US!N93=-1,-Signals_US!R93*Mapping!$E$12,0))</f>
        <v>0</v>
      </c>
      <c r="M93" s="1">
        <f>IF(Signals_US!I93=1,Signals_US!Q93*Mapping!$E$13,IF(Signals_US!I93=-1,-Signals_US!R93*Mapping!$E$13,0))</f>
        <v>0</v>
      </c>
      <c r="N93" s="1">
        <f>0</f>
        <v>0</v>
      </c>
      <c r="O93" s="1">
        <f>0</f>
        <v>0</v>
      </c>
      <c r="P93" s="1">
        <f>IF(Signals_US!E93=1,Signals_US!Q93*Mapping!$E$16,IF(Signals_US!E93=-1,-Signals_US!R93*Mapping!$E$16,0))</f>
        <v>0</v>
      </c>
      <c r="Q93" s="1">
        <f>IF(Signals_US!J93=1,Signals_US!Q93*Mapping!$E$17,IF(Signals_US!J93=-1,-Signals_US!R93*Mapping!$E$17,0))</f>
        <v>5.000000000000001E-2</v>
      </c>
      <c r="R93" s="1">
        <f>IF(Signals_US!K93=1,Signals_US!Q93*Mapping!$E$18,IF(Signals_US!K93=-1,-Signals_US!R93*Mapping!$E$18,0))</f>
        <v>-5.000000000000001E-2</v>
      </c>
      <c r="S93" s="1">
        <f>IF(Signals_US!M93=1,Signals_US!Q93*Mapping!$E$19,IF(Signals_US!M93=-1,-Signals_US!R93*Mapping!$E$19,0))</f>
        <v>0</v>
      </c>
      <c r="T93" s="1">
        <f>IF(Signals_US!L93=1,Signals_US!Q93*Mapping!$E$20,IF(Signals_US!L93=-1,-Signals_US!R93*Mapping!$E$20,0))</f>
        <v>5.000000000000001E-2</v>
      </c>
      <c r="U93" s="1">
        <f t="shared" si="1"/>
        <v>0</v>
      </c>
    </row>
    <row r="94" spans="1:21">
      <c r="A94" s="5">
        <f>Signals_US!B94</f>
        <v>41852</v>
      </c>
      <c r="B94" s="1">
        <f>0</f>
        <v>0</v>
      </c>
      <c r="C94" s="1">
        <f>IF(Signals_US!F94=1,Signals_US!Q94*Mapping!$E$3,IF(Signals_US!F94=-1,-Signals_US!R94*Mapping!$E$3,0))</f>
        <v>0</v>
      </c>
      <c r="D94" s="1">
        <f>IF(Signals_US!C94=1,Signals_US!Q94*Mapping!$E$4,IF(Signals_US!C94=-1,-Signals_US!R94*Mapping!$E$4,0))</f>
        <v>0</v>
      </c>
      <c r="E94" s="1">
        <f>IF(Signals_US!C94=1,Signals_US!Q94*Mapping!$E$5,IF(Signals_US!C94=-1,-Signals_US!R94*Mapping!$E$5,0))</f>
        <v>0</v>
      </c>
      <c r="F94" s="1">
        <f>IF(Signals_US!C94=1,Signals_US!Q94*Mapping!$E$6,IF(Signals_US!C94=-1,-Signals_US!R94*Mapping!$E$6,0))</f>
        <v>0</v>
      </c>
      <c r="G94" s="1">
        <f>IF(Signals_US!F94=1,Signals_US!Q94*Mapping!$E$7,IF(Signals_US!F94=-1,-Signals_US!R94*Mapping!$E$7,0))</f>
        <v>0</v>
      </c>
      <c r="H94" s="1">
        <f>IF(Signals_US!D94=1,Signals_US!Q94*Mapping!$E$8,IF(Signals_US!D94=-1,-Signals_US!R94*Mapping!$E$8,0))</f>
        <v>-5.000000000000001E-2</v>
      </c>
      <c r="I94" s="1">
        <f>IF(Signals_US!G94=1,Signals_US!Q94*Mapping!$E$9,IF(Signals_US!G94=-1,-Signals_US!R94*Mapping!$E$9,0))</f>
        <v>5.000000000000001E-2</v>
      </c>
      <c r="J94" s="1">
        <f>IF(Signals_US!H94=1,Signals_US!Q94*Mapping!$E$10,IF(Signals_US!H94=-1,-Signals_US!R94*Mapping!$E$10,0))</f>
        <v>5.000000000000001E-2</v>
      </c>
      <c r="K94" s="1">
        <f>IF(Signals_US!F94=1,Signals_US!Q94*Mapping!$E$11,IF(Signals_US!F94=-1,-Signals_US!R94*Mapping!$E$11,0))</f>
        <v>0</v>
      </c>
      <c r="L94" s="1">
        <f>IF(Signals_US!N94=1,Signals_US!Q94*Mapping!$E$12,IF(Signals_US!N94=-1,-Signals_US!R94*Mapping!$E$12,0))</f>
        <v>-5.000000000000001E-2</v>
      </c>
      <c r="M94" s="1">
        <f>IF(Signals_US!I94=1,Signals_US!Q94*Mapping!$E$13,IF(Signals_US!I94=-1,-Signals_US!R94*Mapping!$E$13,0))</f>
        <v>5.000000000000001E-2</v>
      </c>
      <c r="N94" s="1">
        <f>0</f>
        <v>0</v>
      </c>
      <c r="O94" s="1">
        <f>0</f>
        <v>0</v>
      </c>
      <c r="P94" s="1">
        <f>IF(Signals_US!E94=1,Signals_US!Q94*Mapping!$E$16,IF(Signals_US!E94=-1,-Signals_US!R94*Mapping!$E$16,0))</f>
        <v>0</v>
      </c>
      <c r="Q94" s="1">
        <f>IF(Signals_US!J94=1,Signals_US!Q94*Mapping!$E$17,IF(Signals_US!J94=-1,-Signals_US!R94*Mapping!$E$17,0))</f>
        <v>0</v>
      </c>
      <c r="R94" s="1">
        <f>IF(Signals_US!K94=1,Signals_US!Q94*Mapping!$E$18,IF(Signals_US!K94=-1,-Signals_US!R94*Mapping!$E$18,0))</f>
        <v>-5.000000000000001E-2</v>
      </c>
      <c r="S94" s="1">
        <f>IF(Signals_US!M94=1,Signals_US!Q94*Mapping!$E$19,IF(Signals_US!M94=-1,-Signals_US!R94*Mapping!$E$19,0))</f>
        <v>0</v>
      </c>
      <c r="T94" s="1">
        <f>IF(Signals_US!L94=1,Signals_US!Q94*Mapping!$E$20,IF(Signals_US!L94=-1,-Signals_US!R94*Mapping!$E$20,0))</f>
        <v>0</v>
      </c>
      <c r="U94" s="1">
        <f t="shared" si="1"/>
        <v>0</v>
      </c>
    </row>
    <row r="95" spans="1:21">
      <c r="A95" s="5">
        <f>Signals_US!B95</f>
        <v>41883</v>
      </c>
      <c r="B95" s="1">
        <f>0</f>
        <v>0</v>
      </c>
      <c r="C95" s="1">
        <f>IF(Signals_US!F95=1,Signals_US!Q95*Mapping!$E$3,IF(Signals_US!F95=-1,-Signals_US!R95*Mapping!$E$3,0))</f>
        <v>1.666666666666667E-2</v>
      </c>
      <c r="D95" s="1">
        <f>IF(Signals_US!C95=1,Signals_US!Q95*Mapping!$E$4,IF(Signals_US!C95=-1,-Signals_US!R95*Mapping!$E$4,0))</f>
        <v>-1.666666666666667E-2</v>
      </c>
      <c r="E95" s="1">
        <f>IF(Signals_US!C95=1,Signals_US!Q95*Mapping!$E$5,IF(Signals_US!C95=-1,-Signals_US!R95*Mapping!$E$5,0))</f>
        <v>-1.666666666666667E-2</v>
      </c>
      <c r="F95" s="1">
        <f>IF(Signals_US!C95=1,Signals_US!Q95*Mapping!$E$6,IF(Signals_US!C95=-1,-Signals_US!R95*Mapping!$E$6,0))</f>
        <v>-1.666666666666667E-2</v>
      </c>
      <c r="G95" s="1">
        <f>IF(Signals_US!F95=1,Signals_US!Q95*Mapping!$E$7,IF(Signals_US!F95=-1,-Signals_US!R95*Mapping!$E$7,0))</f>
        <v>1.666666666666667E-2</v>
      </c>
      <c r="H95" s="1">
        <f>IF(Signals_US!D95=1,Signals_US!Q95*Mapping!$E$8,IF(Signals_US!D95=-1,-Signals_US!R95*Mapping!$E$8,0))</f>
        <v>-5.000000000000001E-2</v>
      </c>
      <c r="I95" s="1">
        <f>IF(Signals_US!G95=1,Signals_US!Q95*Mapping!$E$9,IF(Signals_US!G95=-1,-Signals_US!R95*Mapping!$E$9,0))</f>
        <v>5.000000000000001E-2</v>
      </c>
      <c r="J95" s="1">
        <f>IF(Signals_US!H95=1,Signals_US!Q95*Mapping!$E$10,IF(Signals_US!H95=-1,-Signals_US!R95*Mapping!$E$10,0))</f>
        <v>5.000000000000001E-2</v>
      </c>
      <c r="K95" s="1">
        <f>IF(Signals_US!F95=1,Signals_US!Q95*Mapping!$E$11,IF(Signals_US!F95=-1,-Signals_US!R95*Mapping!$E$11,0))</f>
        <v>1.666666666666667E-2</v>
      </c>
      <c r="L95" s="1">
        <f>IF(Signals_US!N95=1,Signals_US!Q95*Mapping!$E$12,IF(Signals_US!N95=-1,-Signals_US!R95*Mapping!$E$12,0))</f>
        <v>0</v>
      </c>
      <c r="M95" s="1">
        <f>IF(Signals_US!I95=1,Signals_US!Q95*Mapping!$E$13,IF(Signals_US!I95=-1,-Signals_US!R95*Mapping!$E$13,0))</f>
        <v>0</v>
      </c>
      <c r="N95" s="1">
        <f>0</f>
        <v>0</v>
      </c>
      <c r="O95" s="1">
        <f>0</f>
        <v>0</v>
      </c>
      <c r="P95" s="1">
        <f>IF(Signals_US!E95=1,Signals_US!Q95*Mapping!$E$16,IF(Signals_US!E95=-1,-Signals_US!R95*Mapping!$E$16,0))</f>
        <v>-5.000000000000001E-2</v>
      </c>
      <c r="Q95" s="1">
        <f>IF(Signals_US!J95=1,Signals_US!Q95*Mapping!$E$17,IF(Signals_US!J95=-1,-Signals_US!R95*Mapping!$E$17,0))</f>
        <v>0</v>
      </c>
      <c r="R95" s="1">
        <f>IF(Signals_US!K95=1,Signals_US!Q95*Mapping!$E$18,IF(Signals_US!K95=-1,-Signals_US!R95*Mapping!$E$18,0))</f>
        <v>0</v>
      </c>
      <c r="S95" s="1">
        <f>IF(Signals_US!M95=1,Signals_US!Q95*Mapping!$E$19,IF(Signals_US!M95=-1,-Signals_US!R95*Mapping!$E$19,0))</f>
        <v>0</v>
      </c>
      <c r="T95" s="1">
        <f>IF(Signals_US!L95=1,Signals_US!Q95*Mapping!$E$20,IF(Signals_US!L95=-1,-Signals_US!R95*Mapping!$E$20,0))</f>
        <v>0</v>
      </c>
      <c r="U95" s="1">
        <f t="shared" si="1"/>
        <v>0</v>
      </c>
    </row>
    <row r="96" spans="1:21">
      <c r="A96" s="5">
        <f>Signals_US!B96</f>
        <v>41913</v>
      </c>
      <c r="B96" s="1">
        <f>0</f>
        <v>0</v>
      </c>
      <c r="C96" s="1">
        <f>IF(Signals_US!F96=1,Signals_US!Q96*Mapping!$E$3,IF(Signals_US!F96=-1,-Signals_US!R96*Mapping!$E$3,0))</f>
        <v>0</v>
      </c>
      <c r="D96" s="1">
        <f>IF(Signals_US!C96=1,Signals_US!Q96*Mapping!$E$4,IF(Signals_US!C96=-1,-Signals_US!R96*Mapping!$E$4,0))</f>
        <v>0</v>
      </c>
      <c r="E96" s="1">
        <f>IF(Signals_US!C96=1,Signals_US!Q96*Mapping!$E$5,IF(Signals_US!C96=-1,-Signals_US!R96*Mapping!$E$5,0))</f>
        <v>0</v>
      </c>
      <c r="F96" s="1">
        <f>IF(Signals_US!C96=1,Signals_US!Q96*Mapping!$E$6,IF(Signals_US!C96=-1,-Signals_US!R96*Mapping!$E$6,0))</f>
        <v>0</v>
      </c>
      <c r="G96" s="1">
        <f>IF(Signals_US!F96=1,Signals_US!Q96*Mapping!$E$7,IF(Signals_US!F96=-1,-Signals_US!R96*Mapping!$E$7,0))</f>
        <v>0</v>
      </c>
      <c r="H96" s="1">
        <f>IF(Signals_US!D96=1,Signals_US!Q96*Mapping!$E$8,IF(Signals_US!D96=-1,-Signals_US!R96*Mapping!$E$8,0))</f>
        <v>-5.000000000000001E-2</v>
      </c>
      <c r="I96" s="1">
        <f>IF(Signals_US!G96=1,Signals_US!Q96*Mapping!$E$9,IF(Signals_US!G96=-1,-Signals_US!R96*Mapping!$E$9,0))</f>
        <v>5.000000000000001E-2</v>
      </c>
      <c r="J96" s="1">
        <f>IF(Signals_US!H96=1,Signals_US!Q96*Mapping!$E$10,IF(Signals_US!H96=-1,-Signals_US!R96*Mapping!$E$10,0))</f>
        <v>5.000000000000001E-2</v>
      </c>
      <c r="K96" s="1">
        <f>IF(Signals_US!F96=1,Signals_US!Q96*Mapping!$E$11,IF(Signals_US!F96=-1,-Signals_US!R96*Mapping!$E$11,0))</f>
        <v>0</v>
      </c>
      <c r="L96" s="1">
        <f>IF(Signals_US!N96=1,Signals_US!Q96*Mapping!$E$12,IF(Signals_US!N96=-1,-Signals_US!R96*Mapping!$E$12,0))</f>
        <v>0</v>
      </c>
      <c r="M96" s="1">
        <f>IF(Signals_US!I96=1,Signals_US!Q96*Mapping!$E$13,IF(Signals_US!I96=-1,-Signals_US!R96*Mapping!$E$13,0))</f>
        <v>0</v>
      </c>
      <c r="N96" s="1">
        <f>0</f>
        <v>0</v>
      </c>
      <c r="O96" s="1">
        <f>0</f>
        <v>0</v>
      </c>
      <c r="P96" s="1">
        <f>IF(Signals_US!E96=1,Signals_US!Q96*Mapping!$E$16,IF(Signals_US!E96=-1,-Signals_US!R96*Mapping!$E$16,0))</f>
        <v>0</v>
      </c>
      <c r="Q96" s="1">
        <f>IF(Signals_US!J96=1,Signals_US!Q96*Mapping!$E$17,IF(Signals_US!J96=-1,-Signals_US!R96*Mapping!$E$17,0))</f>
        <v>-5.000000000000001E-2</v>
      </c>
      <c r="R96" s="1">
        <f>IF(Signals_US!K96=1,Signals_US!Q96*Mapping!$E$18,IF(Signals_US!K96=-1,-Signals_US!R96*Mapping!$E$18,0))</f>
        <v>-5.000000000000001E-2</v>
      </c>
      <c r="S96" s="1">
        <f>IF(Signals_US!M96=1,Signals_US!Q96*Mapping!$E$19,IF(Signals_US!M96=-1,-Signals_US!R96*Mapping!$E$19,0))</f>
        <v>0</v>
      </c>
      <c r="T96" s="1">
        <f>IF(Signals_US!L96=1,Signals_US!Q96*Mapping!$E$20,IF(Signals_US!L96=-1,-Signals_US!R96*Mapping!$E$20,0))</f>
        <v>5.000000000000001E-2</v>
      </c>
      <c r="U96" s="1">
        <f t="shared" si="1"/>
        <v>0</v>
      </c>
    </row>
    <row r="97" spans="1:21">
      <c r="A97" s="5">
        <f>Signals_US!B97</f>
        <v>41944</v>
      </c>
      <c r="B97" s="1">
        <f>0</f>
        <v>0</v>
      </c>
      <c r="C97" s="1">
        <f>IF(Signals_US!F97=1,Signals_US!Q97*Mapping!$E$3,IF(Signals_US!F97=-1,-Signals_US!R97*Mapping!$E$3,0))</f>
        <v>1.666666666666667E-2</v>
      </c>
      <c r="D97" s="1">
        <f>IF(Signals_US!C97=1,Signals_US!Q97*Mapping!$E$4,IF(Signals_US!C97=-1,-Signals_US!R97*Mapping!$E$4,0))</f>
        <v>1.666666666666667E-2</v>
      </c>
      <c r="E97" s="1">
        <f>IF(Signals_US!C97=1,Signals_US!Q97*Mapping!$E$5,IF(Signals_US!C97=-1,-Signals_US!R97*Mapping!$E$5,0))</f>
        <v>1.666666666666667E-2</v>
      </c>
      <c r="F97" s="1">
        <f>IF(Signals_US!C97=1,Signals_US!Q97*Mapping!$E$6,IF(Signals_US!C97=-1,-Signals_US!R97*Mapping!$E$6,0))</f>
        <v>1.666666666666667E-2</v>
      </c>
      <c r="G97" s="1">
        <f>IF(Signals_US!F97=1,Signals_US!Q97*Mapping!$E$7,IF(Signals_US!F97=-1,-Signals_US!R97*Mapping!$E$7,0))</f>
        <v>1.666666666666667E-2</v>
      </c>
      <c r="H97" s="1">
        <f>IF(Signals_US!D97=1,Signals_US!Q97*Mapping!$E$8,IF(Signals_US!D97=-1,-Signals_US!R97*Mapping!$E$8,0))</f>
        <v>-5.000000000000001E-2</v>
      </c>
      <c r="I97" s="1">
        <f>IF(Signals_US!G97=1,Signals_US!Q97*Mapping!$E$9,IF(Signals_US!G97=-1,-Signals_US!R97*Mapping!$E$9,0))</f>
        <v>5.000000000000001E-2</v>
      </c>
      <c r="J97" s="1">
        <f>IF(Signals_US!H97=1,Signals_US!Q97*Mapping!$E$10,IF(Signals_US!H97=-1,-Signals_US!R97*Mapping!$E$10,0))</f>
        <v>0</v>
      </c>
      <c r="K97" s="1">
        <f>IF(Signals_US!F97=1,Signals_US!Q97*Mapping!$E$11,IF(Signals_US!F97=-1,-Signals_US!R97*Mapping!$E$11,0))</f>
        <v>1.666666666666667E-2</v>
      </c>
      <c r="L97" s="1">
        <f>IF(Signals_US!N97=1,Signals_US!Q97*Mapping!$E$12,IF(Signals_US!N97=-1,-Signals_US!R97*Mapping!$E$12,0))</f>
        <v>0</v>
      </c>
      <c r="M97" s="1">
        <f>IF(Signals_US!I97=1,Signals_US!Q97*Mapping!$E$13,IF(Signals_US!I97=-1,-Signals_US!R97*Mapping!$E$13,0))</f>
        <v>-5.000000000000001E-2</v>
      </c>
      <c r="N97" s="1">
        <f>0</f>
        <v>0</v>
      </c>
      <c r="O97" s="1">
        <f>0</f>
        <v>0</v>
      </c>
      <c r="P97" s="1">
        <f>IF(Signals_US!E97=1,Signals_US!Q97*Mapping!$E$16,IF(Signals_US!E97=-1,-Signals_US!R97*Mapping!$E$16,0))</f>
        <v>0</v>
      </c>
      <c r="Q97" s="1">
        <f>IF(Signals_US!J97=1,Signals_US!Q97*Mapping!$E$17,IF(Signals_US!J97=-1,-Signals_US!R97*Mapping!$E$17,0))</f>
        <v>0</v>
      </c>
      <c r="R97" s="1">
        <f>IF(Signals_US!K97=1,Signals_US!Q97*Mapping!$E$18,IF(Signals_US!K97=-1,-Signals_US!R97*Mapping!$E$18,0))</f>
        <v>-5.000000000000001E-2</v>
      </c>
      <c r="S97" s="1">
        <f>IF(Signals_US!M97=1,Signals_US!Q97*Mapping!$E$19,IF(Signals_US!M97=-1,-Signals_US!R97*Mapping!$E$19,0))</f>
        <v>0</v>
      </c>
      <c r="T97" s="1">
        <f>IF(Signals_US!L97=1,Signals_US!Q97*Mapping!$E$20,IF(Signals_US!L97=-1,-Signals_US!R97*Mapping!$E$20,0))</f>
        <v>0</v>
      </c>
      <c r="U97" s="1">
        <f t="shared" si="1"/>
        <v>0</v>
      </c>
    </row>
    <row r="98" spans="1:21">
      <c r="A98" s="5">
        <f>Signals_US!B98</f>
        <v>41974</v>
      </c>
      <c r="B98" s="1">
        <f>0</f>
        <v>0</v>
      </c>
      <c r="C98" s="1">
        <f>IF(Signals_US!F98=1,Signals_US!Q98*Mapping!$E$3,IF(Signals_US!F98=-1,-Signals_US!R98*Mapping!$E$3,0))</f>
        <v>1.666666666666667E-2</v>
      </c>
      <c r="D98" s="1">
        <f>IF(Signals_US!C98=1,Signals_US!Q98*Mapping!$E$4,IF(Signals_US!C98=-1,-Signals_US!R98*Mapping!$E$4,0))</f>
        <v>0</v>
      </c>
      <c r="E98" s="1">
        <f>IF(Signals_US!C98=1,Signals_US!Q98*Mapping!$E$5,IF(Signals_US!C98=-1,-Signals_US!R98*Mapping!$E$5,0))</f>
        <v>0</v>
      </c>
      <c r="F98" s="1">
        <f>IF(Signals_US!C98=1,Signals_US!Q98*Mapping!$E$6,IF(Signals_US!C98=-1,-Signals_US!R98*Mapping!$E$6,0))</f>
        <v>0</v>
      </c>
      <c r="G98" s="1">
        <f>IF(Signals_US!F98=1,Signals_US!Q98*Mapping!$E$7,IF(Signals_US!F98=-1,-Signals_US!R98*Mapping!$E$7,0))</f>
        <v>1.666666666666667E-2</v>
      </c>
      <c r="H98" s="1">
        <f>IF(Signals_US!D98=1,Signals_US!Q98*Mapping!$E$8,IF(Signals_US!D98=-1,-Signals_US!R98*Mapping!$E$8,0))</f>
        <v>-5.000000000000001E-2</v>
      </c>
      <c r="I98" s="1">
        <f>IF(Signals_US!G98=1,Signals_US!Q98*Mapping!$E$9,IF(Signals_US!G98=-1,-Signals_US!R98*Mapping!$E$9,0))</f>
        <v>5.000000000000001E-2</v>
      </c>
      <c r="J98" s="1">
        <f>IF(Signals_US!H98=1,Signals_US!Q98*Mapping!$E$10,IF(Signals_US!H98=-1,-Signals_US!R98*Mapping!$E$10,0))</f>
        <v>0</v>
      </c>
      <c r="K98" s="1">
        <f>IF(Signals_US!F98=1,Signals_US!Q98*Mapping!$E$11,IF(Signals_US!F98=-1,-Signals_US!R98*Mapping!$E$11,0))</f>
        <v>1.666666666666667E-2</v>
      </c>
      <c r="L98" s="1">
        <f>IF(Signals_US!N98=1,Signals_US!Q98*Mapping!$E$12,IF(Signals_US!N98=-1,-Signals_US!R98*Mapping!$E$12,0))</f>
        <v>0</v>
      </c>
      <c r="M98" s="1">
        <f>IF(Signals_US!I98=1,Signals_US!Q98*Mapping!$E$13,IF(Signals_US!I98=-1,-Signals_US!R98*Mapping!$E$13,0))</f>
        <v>-5.000000000000001E-2</v>
      </c>
      <c r="N98" s="1">
        <f>0</f>
        <v>0</v>
      </c>
      <c r="O98" s="1">
        <f>0</f>
        <v>0</v>
      </c>
      <c r="P98" s="1">
        <f>IF(Signals_US!E98=1,Signals_US!Q98*Mapping!$E$16,IF(Signals_US!E98=-1,-Signals_US!R98*Mapping!$E$16,0))</f>
        <v>5.000000000000001E-2</v>
      </c>
      <c r="Q98" s="1">
        <f>IF(Signals_US!J98=1,Signals_US!Q98*Mapping!$E$17,IF(Signals_US!J98=-1,-Signals_US!R98*Mapping!$E$17,0))</f>
        <v>0</v>
      </c>
      <c r="R98" s="1">
        <f>IF(Signals_US!K98=1,Signals_US!Q98*Mapping!$E$18,IF(Signals_US!K98=-1,-Signals_US!R98*Mapping!$E$18,0))</f>
        <v>-5.000000000000001E-2</v>
      </c>
      <c r="S98" s="1">
        <f>IF(Signals_US!M98=1,Signals_US!Q98*Mapping!$E$19,IF(Signals_US!M98=-1,-Signals_US!R98*Mapping!$E$19,0))</f>
        <v>0</v>
      </c>
      <c r="T98" s="1">
        <f>IF(Signals_US!L98=1,Signals_US!Q98*Mapping!$E$20,IF(Signals_US!L98=-1,-Signals_US!R98*Mapping!$E$20,0))</f>
        <v>0</v>
      </c>
      <c r="U98" s="1">
        <f t="shared" si="1"/>
        <v>0</v>
      </c>
    </row>
    <row r="99" spans="1:21">
      <c r="A99" s="5">
        <f>Signals_US!B99</f>
        <v>42005</v>
      </c>
      <c r="B99" s="1">
        <f>0</f>
        <v>0</v>
      </c>
      <c r="C99" s="1">
        <f>IF(Signals_US!F99=1,Signals_US!Q99*Mapping!$E$3,IF(Signals_US!F99=-1,-Signals_US!R99*Mapping!$E$3,0))</f>
        <v>1.666666666666667E-2</v>
      </c>
      <c r="D99" s="1">
        <f>IF(Signals_US!C99=1,Signals_US!Q99*Mapping!$E$4,IF(Signals_US!C99=-1,-Signals_US!R99*Mapping!$E$4,0))</f>
        <v>0</v>
      </c>
      <c r="E99" s="1">
        <f>IF(Signals_US!C99=1,Signals_US!Q99*Mapping!$E$5,IF(Signals_US!C99=-1,-Signals_US!R99*Mapping!$E$5,0))</f>
        <v>0</v>
      </c>
      <c r="F99" s="1">
        <f>IF(Signals_US!C99=1,Signals_US!Q99*Mapping!$E$6,IF(Signals_US!C99=-1,-Signals_US!R99*Mapping!$E$6,0))</f>
        <v>0</v>
      </c>
      <c r="G99" s="1">
        <f>IF(Signals_US!F99=1,Signals_US!Q99*Mapping!$E$7,IF(Signals_US!F99=-1,-Signals_US!R99*Mapping!$E$7,0))</f>
        <v>1.666666666666667E-2</v>
      </c>
      <c r="H99" s="1">
        <f>IF(Signals_US!D99=1,Signals_US!Q99*Mapping!$E$8,IF(Signals_US!D99=-1,-Signals_US!R99*Mapping!$E$8,0))</f>
        <v>-5.000000000000001E-2</v>
      </c>
      <c r="I99" s="1">
        <f>IF(Signals_US!G99=1,Signals_US!Q99*Mapping!$E$9,IF(Signals_US!G99=-1,-Signals_US!R99*Mapping!$E$9,0))</f>
        <v>5.000000000000001E-2</v>
      </c>
      <c r="J99" s="1">
        <f>IF(Signals_US!H99=1,Signals_US!Q99*Mapping!$E$10,IF(Signals_US!H99=-1,-Signals_US!R99*Mapping!$E$10,0))</f>
        <v>0</v>
      </c>
      <c r="K99" s="1">
        <f>IF(Signals_US!F99=1,Signals_US!Q99*Mapping!$E$11,IF(Signals_US!F99=-1,-Signals_US!R99*Mapping!$E$11,0))</f>
        <v>1.666666666666667E-2</v>
      </c>
      <c r="L99" s="1">
        <f>IF(Signals_US!N99=1,Signals_US!Q99*Mapping!$E$12,IF(Signals_US!N99=-1,-Signals_US!R99*Mapping!$E$12,0))</f>
        <v>0</v>
      </c>
      <c r="M99" s="1">
        <f>IF(Signals_US!I99=1,Signals_US!Q99*Mapping!$E$13,IF(Signals_US!I99=-1,-Signals_US!R99*Mapping!$E$13,0))</f>
        <v>-5.000000000000001E-2</v>
      </c>
      <c r="N99" s="1">
        <f>0</f>
        <v>0</v>
      </c>
      <c r="O99" s="1">
        <f>0</f>
        <v>0</v>
      </c>
      <c r="P99" s="1">
        <f>IF(Signals_US!E99=1,Signals_US!Q99*Mapping!$E$16,IF(Signals_US!E99=-1,-Signals_US!R99*Mapping!$E$16,0))</f>
        <v>0</v>
      </c>
      <c r="Q99" s="1">
        <f>IF(Signals_US!J99=1,Signals_US!Q99*Mapping!$E$17,IF(Signals_US!J99=-1,-Signals_US!R99*Mapping!$E$17,0))</f>
        <v>5.000000000000001E-2</v>
      </c>
      <c r="R99" s="1">
        <f>IF(Signals_US!K99=1,Signals_US!Q99*Mapping!$E$18,IF(Signals_US!K99=-1,-Signals_US!R99*Mapping!$E$18,0))</f>
        <v>0</v>
      </c>
      <c r="S99" s="1">
        <f>IF(Signals_US!M99=1,Signals_US!Q99*Mapping!$E$19,IF(Signals_US!M99=-1,-Signals_US!R99*Mapping!$E$19,0))</f>
        <v>0</v>
      </c>
      <c r="T99" s="1">
        <f>IF(Signals_US!L99=1,Signals_US!Q99*Mapping!$E$20,IF(Signals_US!L99=-1,-Signals_US!R99*Mapping!$E$20,0))</f>
        <v>-5.000000000000001E-2</v>
      </c>
      <c r="U99" s="1">
        <f t="shared" si="1"/>
        <v>0</v>
      </c>
    </row>
    <row r="100" spans="1:21">
      <c r="A100" s="5">
        <f>Signals_US!B100</f>
        <v>42036</v>
      </c>
      <c r="B100" s="1">
        <f>0</f>
        <v>0</v>
      </c>
      <c r="C100" s="1">
        <f>IF(Signals_US!F100=1,Signals_US!Q100*Mapping!$E$3,IF(Signals_US!F100=-1,-Signals_US!R100*Mapping!$E$3,0))</f>
        <v>0</v>
      </c>
      <c r="D100" s="1">
        <f>IF(Signals_US!C100=1,Signals_US!Q100*Mapping!$E$4,IF(Signals_US!C100=-1,-Signals_US!R100*Mapping!$E$4,0))</f>
        <v>0</v>
      </c>
      <c r="E100" s="1">
        <f>IF(Signals_US!C100=1,Signals_US!Q100*Mapping!$E$5,IF(Signals_US!C100=-1,-Signals_US!R100*Mapping!$E$5,0))</f>
        <v>0</v>
      </c>
      <c r="F100" s="1">
        <f>IF(Signals_US!C100=1,Signals_US!Q100*Mapping!$E$6,IF(Signals_US!C100=-1,-Signals_US!R100*Mapping!$E$6,0))</f>
        <v>0</v>
      </c>
      <c r="G100" s="1">
        <f>IF(Signals_US!F100=1,Signals_US!Q100*Mapping!$E$7,IF(Signals_US!F100=-1,-Signals_US!R100*Mapping!$E$7,0))</f>
        <v>0</v>
      </c>
      <c r="H100" s="1">
        <f>IF(Signals_US!D100=1,Signals_US!Q100*Mapping!$E$8,IF(Signals_US!D100=-1,-Signals_US!R100*Mapping!$E$8,0))</f>
        <v>0</v>
      </c>
      <c r="I100" s="1">
        <f>IF(Signals_US!G100=1,Signals_US!Q100*Mapping!$E$9,IF(Signals_US!G100=-1,-Signals_US!R100*Mapping!$E$9,0))</f>
        <v>0</v>
      </c>
      <c r="J100" s="1">
        <f>IF(Signals_US!H100=1,Signals_US!Q100*Mapping!$E$10,IF(Signals_US!H100=-1,-Signals_US!R100*Mapping!$E$10,0))</f>
        <v>5.000000000000001E-2</v>
      </c>
      <c r="K100" s="1">
        <f>IF(Signals_US!F100=1,Signals_US!Q100*Mapping!$E$11,IF(Signals_US!F100=-1,-Signals_US!R100*Mapping!$E$11,0))</f>
        <v>0</v>
      </c>
      <c r="L100" s="1">
        <f>IF(Signals_US!N100=1,Signals_US!Q100*Mapping!$E$12,IF(Signals_US!N100=-1,-Signals_US!R100*Mapping!$E$12,0))</f>
        <v>-5.000000000000001E-2</v>
      </c>
      <c r="M100" s="1">
        <f>IF(Signals_US!I100=1,Signals_US!Q100*Mapping!$E$13,IF(Signals_US!I100=-1,-Signals_US!R100*Mapping!$E$13,0))</f>
        <v>-5.000000000000001E-2</v>
      </c>
      <c r="N100" s="1">
        <f>0</f>
        <v>0</v>
      </c>
      <c r="O100" s="1">
        <f>0</f>
        <v>0</v>
      </c>
      <c r="P100" s="1">
        <f>IF(Signals_US!E100=1,Signals_US!Q100*Mapping!$E$16,IF(Signals_US!E100=-1,-Signals_US!R100*Mapping!$E$16,0))</f>
        <v>0</v>
      </c>
      <c r="Q100" s="1">
        <f>IF(Signals_US!J100=1,Signals_US!Q100*Mapping!$E$17,IF(Signals_US!J100=-1,-Signals_US!R100*Mapping!$E$17,0))</f>
        <v>5.000000000000001E-2</v>
      </c>
      <c r="R100" s="1">
        <f>IF(Signals_US!K100=1,Signals_US!Q100*Mapping!$E$18,IF(Signals_US!K100=-1,-Signals_US!R100*Mapping!$E$18,0))</f>
        <v>5.000000000000001E-2</v>
      </c>
      <c r="S100" s="1">
        <f>IF(Signals_US!M100=1,Signals_US!Q100*Mapping!$E$19,IF(Signals_US!M100=-1,-Signals_US!R100*Mapping!$E$19,0))</f>
        <v>0</v>
      </c>
      <c r="T100" s="1">
        <f>IF(Signals_US!L100=1,Signals_US!Q100*Mapping!$E$20,IF(Signals_US!L100=-1,-Signals_US!R100*Mapping!$E$20,0))</f>
        <v>-5.000000000000001E-2</v>
      </c>
      <c r="U100" s="1">
        <f t="shared" si="1"/>
        <v>0</v>
      </c>
    </row>
    <row r="101" spans="1:21">
      <c r="A101" s="5">
        <f>Signals_US!B101</f>
        <v>42064</v>
      </c>
      <c r="B101" s="1">
        <f>0</f>
        <v>0</v>
      </c>
      <c r="C101" s="1">
        <f>IF(Signals_US!F101=1,Signals_US!Q101*Mapping!$E$3,IF(Signals_US!F101=-1,-Signals_US!R101*Mapping!$E$3,0))</f>
        <v>0</v>
      </c>
      <c r="D101" s="1">
        <f>IF(Signals_US!C101=1,Signals_US!Q101*Mapping!$E$4,IF(Signals_US!C101=-1,-Signals_US!R101*Mapping!$E$4,0))</f>
        <v>0</v>
      </c>
      <c r="E101" s="1">
        <f>IF(Signals_US!C101=1,Signals_US!Q101*Mapping!$E$5,IF(Signals_US!C101=-1,-Signals_US!R101*Mapping!$E$5,0))</f>
        <v>0</v>
      </c>
      <c r="F101" s="1">
        <f>IF(Signals_US!C101=1,Signals_US!Q101*Mapping!$E$6,IF(Signals_US!C101=-1,-Signals_US!R101*Mapping!$E$6,0))</f>
        <v>0</v>
      </c>
      <c r="G101" s="1">
        <f>IF(Signals_US!F101=1,Signals_US!Q101*Mapping!$E$7,IF(Signals_US!F101=-1,-Signals_US!R101*Mapping!$E$7,0))</f>
        <v>0</v>
      </c>
      <c r="H101" s="1">
        <f>IF(Signals_US!D101=1,Signals_US!Q101*Mapping!$E$8,IF(Signals_US!D101=-1,-Signals_US!R101*Mapping!$E$8,0))</f>
        <v>0</v>
      </c>
      <c r="I101" s="1">
        <f>IF(Signals_US!G101=1,Signals_US!Q101*Mapping!$E$9,IF(Signals_US!G101=-1,-Signals_US!R101*Mapping!$E$9,0))</f>
        <v>5.000000000000001E-2</v>
      </c>
      <c r="J101" s="1">
        <f>IF(Signals_US!H101=1,Signals_US!Q101*Mapping!$E$10,IF(Signals_US!H101=-1,-Signals_US!R101*Mapping!$E$10,0))</f>
        <v>5.000000000000001E-2</v>
      </c>
      <c r="K101" s="1">
        <f>IF(Signals_US!F101=1,Signals_US!Q101*Mapping!$E$11,IF(Signals_US!F101=-1,-Signals_US!R101*Mapping!$E$11,0))</f>
        <v>0</v>
      </c>
      <c r="L101" s="1">
        <f>IF(Signals_US!N101=1,Signals_US!Q101*Mapping!$E$12,IF(Signals_US!N101=-1,-Signals_US!R101*Mapping!$E$12,0))</f>
        <v>-5.000000000000001E-2</v>
      </c>
      <c r="M101" s="1">
        <f>IF(Signals_US!I101=1,Signals_US!Q101*Mapping!$E$13,IF(Signals_US!I101=-1,-Signals_US!R101*Mapping!$E$13,0))</f>
        <v>-5.000000000000001E-2</v>
      </c>
      <c r="N101" s="1">
        <f>0</f>
        <v>0</v>
      </c>
      <c r="O101" s="1">
        <f>0</f>
        <v>0</v>
      </c>
      <c r="P101" s="1">
        <f>IF(Signals_US!E101=1,Signals_US!Q101*Mapping!$E$16,IF(Signals_US!E101=-1,-Signals_US!R101*Mapping!$E$16,0))</f>
        <v>0</v>
      </c>
      <c r="Q101" s="1">
        <f>IF(Signals_US!J101=1,Signals_US!Q101*Mapping!$E$17,IF(Signals_US!J101=-1,-Signals_US!R101*Mapping!$E$17,0))</f>
        <v>0</v>
      </c>
      <c r="R101" s="1">
        <f>IF(Signals_US!K101=1,Signals_US!Q101*Mapping!$E$18,IF(Signals_US!K101=-1,-Signals_US!R101*Mapping!$E$18,0))</f>
        <v>-5.000000000000001E-2</v>
      </c>
      <c r="S101" s="1">
        <f>IF(Signals_US!M101=1,Signals_US!Q101*Mapping!$E$19,IF(Signals_US!M101=-1,-Signals_US!R101*Mapping!$E$19,0))</f>
        <v>0</v>
      </c>
      <c r="T101" s="1">
        <f>IF(Signals_US!L101=1,Signals_US!Q101*Mapping!$E$20,IF(Signals_US!L101=-1,-Signals_US!R101*Mapping!$E$20,0))</f>
        <v>5.000000000000001E-2</v>
      </c>
      <c r="U101" s="1">
        <f t="shared" si="1"/>
        <v>0</v>
      </c>
    </row>
    <row r="102" spans="1:21">
      <c r="A102" s="5">
        <f>Signals_US!B102</f>
        <v>42095</v>
      </c>
      <c r="B102" s="1">
        <f>0</f>
        <v>0</v>
      </c>
      <c r="C102" s="1">
        <f>IF(Signals_US!F102=1,Signals_US!Q102*Mapping!$E$3,IF(Signals_US!F102=-1,-Signals_US!R102*Mapping!$E$3,0))</f>
        <v>0</v>
      </c>
      <c r="D102" s="1">
        <f>IF(Signals_US!C102=1,Signals_US!Q102*Mapping!$E$4,IF(Signals_US!C102=-1,-Signals_US!R102*Mapping!$E$4,0))</f>
        <v>0</v>
      </c>
      <c r="E102" s="1">
        <f>IF(Signals_US!C102=1,Signals_US!Q102*Mapping!$E$5,IF(Signals_US!C102=-1,-Signals_US!R102*Mapping!$E$5,0))</f>
        <v>0</v>
      </c>
      <c r="F102" s="1">
        <f>IF(Signals_US!C102=1,Signals_US!Q102*Mapping!$E$6,IF(Signals_US!C102=-1,-Signals_US!R102*Mapping!$E$6,0))</f>
        <v>0</v>
      </c>
      <c r="G102" s="1">
        <f>IF(Signals_US!F102=1,Signals_US!Q102*Mapping!$E$7,IF(Signals_US!F102=-1,-Signals_US!R102*Mapping!$E$7,0))</f>
        <v>0</v>
      </c>
      <c r="H102" s="1">
        <f>IF(Signals_US!D102=1,Signals_US!Q102*Mapping!$E$8,IF(Signals_US!D102=-1,-Signals_US!R102*Mapping!$E$8,0))</f>
        <v>0</v>
      </c>
      <c r="I102" s="1">
        <f>IF(Signals_US!G102=1,Signals_US!Q102*Mapping!$E$9,IF(Signals_US!G102=-1,-Signals_US!R102*Mapping!$E$9,0))</f>
        <v>5.000000000000001E-2</v>
      </c>
      <c r="J102" s="1">
        <f>IF(Signals_US!H102=1,Signals_US!Q102*Mapping!$E$10,IF(Signals_US!H102=-1,-Signals_US!R102*Mapping!$E$10,0))</f>
        <v>5.000000000000001E-2</v>
      </c>
      <c r="K102" s="1">
        <f>IF(Signals_US!F102=1,Signals_US!Q102*Mapping!$E$11,IF(Signals_US!F102=-1,-Signals_US!R102*Mapping!$E$11,0))</f>
        <v>0</v>
      </c>
      <c r="L102" s="1">
        <f>IF(Signals_US!N102=1,Signals_US!Q102*Mapping!$E$12,IF(Signals_US!N102=-1,-Signals_US!R102*Mapping!$E$12,0))</f>
        <v>0</v>
      </c>
      <c r="M102" s="1">
        <f>IF(Signals_US!I102=1,Signals_US!Q102*Mapping!$E$13,IF(Signals_US!I102=-1,-Signals_US!R102*Mapping!$E$13,0))</f>
        <v>-5.000000000000001E-2</v>
      </c>
      <c r="N102" s="1">
        <f>0</f>
        <v>0</v>
      </c>
      <c r="O102" s="1">
        <f>0</f>
        <v>0</v>
      </c>
      <c r="P102" s="1">
        <f>IF(Signals_US!E102=1,Signals_US!Q102*Mapping!$E$16,IF(Signals_US!E102=-1,-Signals_US!R102*Mapping!$E$16,0))</f>
        <v>0</v>
      </c>
      <c r="Q102" s="1">
        <f>IF(Signals_US!J102=1,Signals_US!Q102*Mapping!$E$17,IF(Signals_US!J102=-1,-Signals_US!R102*Mapping!$E$17,0))</f>
        <v>5.000000000000001E-2</v>
      </c>
      <c r="R102" s="1">
        <f>IF(Signals_US!K102=1,Signals_US!Q102*Mapping!$E$18,IF(Signals_US!K102=-1,-Signals_US!R102*Mapping!$E$18,0))</f>
        <v>-5.000000000000001E-2</v>
      </c>
      <c r="S102" s="1">
        <f>IF(Signals_US!M102=1,Signals_US!Q102*Mapping!$E$19,IF(Signals_US!M102=-1,-Signals_US!R102*Mapping!$E$19,0))</f>
        <v>0</v>
      </c>
      <c r="T102" s="1">
        <f>IF(Signals_US!L102=1,Signals_US!Q102*Mapping!$E$20,IF(Signals_US!L102=-1,-Signals_US!R102*Mapping!$E$20,0))</f>
        <v>-5.000000000000001E-2</v>
      </c>
      <c r="U102" s="1">
        <f t="shared" si="1"/>
        <v>0</v>
      </c>
    </row>
    <row r="103" spans="1:21">
      <c r="A103" s="5">
        <f>Signals_US!B103</f>
        <v>42125</v>
      </c>
      <c r="B103" s="1">
        <f>0</f>
        <v>0</v>
      </c>
      <c r="C103" s="1">
        <f>IF(Signals_US!F103=1,Signals_US!Q103*Mapping!$E$3,IF(Signals_US!F103=-1,-Signals_US!R103*Mapping!$E$3,0))</f>
        <v>0</v>
      </c>
      <c r="D103" s="1">
        <f>IF(Signals_US!C103=1,Signals_US!Q103*Mapping!$E$4,IF(Signals_US!C103=-1,-Signals_US!R103*Mapping!$E$4,0))</f>
        <v>0</v>
      </c>
      <c r="E103" s="1">
        <f>IF(Signals_US!C103=1,Signals_US!Q103*Mapping!$E$5,IF(Signals_US!C103=-1,-Signals_US!R103*Mapping!$E$5,0))</f>
        <v>0</v>
      </c>
      <c r="F103" s="1">
        <f>IF(Signals_US!C103=1,Signals_US!Q103*Mapping!$E$6,IF(Signals_US!C103=-1,-Signals_US!R103*Mapping!$E$6,0))</f>
        <v>0</v>
      </c>
      <c r="G103" s="1">
        <f>IF(Signals_US!F103=1,Signals_US!Q103*Mapping!$E$7,IF(Signals_US!F103=-1,-Signals_US!R103*Mapping!$E$7,0))</f>
        <v>0</v>
      </c>
      <c r="H103" s="1">
        <f>IF(Signals_US!D103=1,Signals_US!Q103*Mapping!$E$8,IF(Signals_US!D103=-1,-Signals_US!R103*Mapping!$E$8,0))</f>
        <v>0</v>
      </c>
      <c r="I103" s="1">
        <f>IF(Signals_US!G103=1,Signals_US!Q103*Mapping!$E$9,IF(Signals_US!G103=-1,-Signals_US!R103*Mapping!$E$9,0))</f>
        <v>5.000000000000001E-2</v>
      </c>
      <c r="J103" s="1">
        <f>IF(Signals_US!H103=1,Signals_US!Q103*Mapping!$E$10,IF(Signals_US!H103=-1,-Signals_US!R103*Mapping!$E$10,0))</f>
        <v>0</v>
      </c>
      <c r="K103" s="1">
        <f>IF(Signals_US!F103=1,Signals_US!Q103*Mapping!$E$11,IF(Signals_US!F103=-1,-Signals_US!R103*Mapping!$E$11,0))</f>
        <v>0</v>
      </c>
      <c r="L103" s="1">
        <f>IF(Signals_US!N103=1,Signals_US!Q103*Mapping!$E$12,IF(Signals_US!N103=-1,-Signals_US!R103*Mapping!$E$12,0))</f>
        <v>-5.000000000000001E-2</v>
      </c>
      <c r="M103" s="1">
        <f>IF(Signals_US!I103=1,Signals_US!Q103*Mapping!$E$13,IF(Signals_US!I103=-1,-Signals_US!R103*Mapping!$E$13,0))</f>
        <v>-5.000000000000001E-2</v>
      </c>
      <c r="N103" s="1">
        <f>0</f>
        <v>0</v>
      </c>
      <c r="O103" s="1">
        <f>0</f>
        <v>0</v>
      </c>
      <c r="P103" s="1">
        <f>IF(Signals_US!E103=1,Signals_US!Q103*Mapping!$E$16,IF(Signals_US!E103=-1,-Signals_US!R103*Mapping!$E$16,0))</f>
        <v>5.000000000000001E-2</v>
      </c>
      <c r="Q103" s="1">
        <f>IF(Signals_US!J103=1,Signals_US!Q103*Mapping!$E$17,IF(Signals_US!J103=-1,-Signals_US!R103*Mapping!$E$17,0))</f>
        <v>0</v>
      </c>
      <c r="R103" s="1">
        <f>IF(Signals_US!K103=1,Signals_US!Q103*Mapping!$E$18,IF(Signals_US!K103=-1,-Signals_US!R103*Mapping!$E$18,0))</f>
        <v>-5.000000000000001E-2</v>
      </c>
      <c r="S103" s="1">
        <f>IF(Signals_US!M103=1,Signals_US!Q103*Mapping!$E$19,IF(Signals_US!M103=-1,-Signals_US!R103*Mapping!$E$19,0))</f>
        <v>0</v>
      </c>
      <c r="T103" s="1">
        <f>IF(Signals_US!L103=1,Signals_US!Q103*Mapping!$E$20,IF(Signals_US!L103=-1,-Signals_US!R103*Mapping!$E$20,0))</f>
        <v>5.000000000000001E-2</v>
      </c>
      <c r="U103" s="1">
        <f t="shared" si="1"/>
        <v>0</v>
      </c>
    </row>
    <row r="104" spans="1:21">
      <c r="A104" s="5">
        <f>Signals_US!B104</f>
        <v>42156</v>
      </c>
      <c r="B104" s="1">
        <f>0</f>
        <v>0</v>
      </c>
      <c r="C104" s="1">
        <f>IF(Signals_US!F104=1,Signals_US!Q104*Mapping!$E$3,IF(Signals_US!F104=-1,-Signals_US!R104*Mapping!$E$3,0))</f>
        <v>0</v>
      </c>
      <c r="D104" s="1">
        <f>IF(Signals_US!C104=1,Signals_US!Q104*Mapping!$E$4,IF(Signals_US!C104=-1,-Signals_US!R104*Mapping!$E$4,0))</f>
        <v>0</v>
      </c>
      <c r="E104" s="1">
        <f>IF(Signals_US!C104=1,Signals_US!Q104*Mapping!$E$5,IF(Signals_US!C104=-1,-Signals_US!R104*Mapping!$E$5,0))</f>
        <v>0</v>
      </c>
      <c r="F104" s="1">
        <f>IF(Signals_US!C104=1,Signals_US!Q104*Mapping!$E$6,IF(Signals_US!C104=-1,-Signals_US!R104*Mapping!$E$6,0))</f>
        <v>0</v>
      </c>
      <c r="G104" s="1">
        <f>IF(Signals_US!F104=1,Signals_US!Q104*Mapping!$E$7,IF(Signals_US!F104=-1,-Signals_US!R104*Mapping!$E$7,0))</f>
        <v>0</v>
      </c>
      <c r="H104" s="1">
        <f>IF(Signals_US!D104=1,Signals_US!Q104*Mapping!$E$8,IF(Signals_US!D104=-1,-Signals_US!R104*Mapping!$E$8,0))</f>
        <v>0</v>
      </c>
      <c r="I104" s="1">
        <f>IF(Signals_US!G104=1,Signals_US!Q104*Mapping!$E$9,IF(Signals_US!G104=-1,-Signals_US!R104*Mapping!$E$9,0))</f>
        <v>5.000000000000001E-2</v>
      </c>
      <c r="J104" s="1">
        <f>IF(Signals_US!H104=1,Signals_US!Q104*Mapping!$E$10,IF(Signals_US!H104=-1,-Signals_US!R104*Mapping!$E$10,0))</f>
        <v>5.000000000000001E-2</v>
      </c>
      <c r="K104" s="1">
        <f>IF(Signals_US!F104=1,Signals_US!Q104*Mapping!$E$11,IF(Signals_US!F104=-1,-Signals_US!R104*Mapping!$E$11,0))</f>
        <v>0</v>
      </c>
      <c r="L104" s="1">
        <f>IF(Signals_US!N104=1,Signals_US!Q104*Mapping!$E$12,IF(Signals_US!N104=-1,-Signals_US!R104*Mapping!$E$12,0))</f>
        <v>0</v>
      </c>
      <c r="M104" s="1">
        <f>IF(Signals_US!I104=1,Signals_US!Q104*Mapping!$E$13,IF(Signals_US!I104=-1,-Signals_US!R104*Mapping!$E$13,0))</f>
        <v>-5.000000000000001E-2</v>
      </c>
      <c r="N104" s="1">
        <f>0</f>
        <v>0</v>
      </c>
      <c r="O104" s="1">
        <f>0</f>
        <v>0</v>
      </c>
      <c r="P104" s="1">
        <f>IF(Signals_US!E104=1,Signals_US!Q104*Mapping!$E$16,IF(Signals_US!E104=-1,-Signals_US!R104*Mapping!$E$16,0))</f>
        <v>5.000000000000001E-2</v>
      </c>
      <c r="Q104" s="1">
        <f>IF(Signals_US!J104=1,Signals_US!Q104*Mapping!$E$17,IF(Signals_US!J104=-1,-Signals_US!R104*Mapping!$E$17,0))</f>
        <v>0</v>
      </c>
      <c r="R104" s="1">
        <f>IF(Signals_US!K104=1,Signals_US!Q104*Mapping!$E$18,IF(Signals_US!K104=-1,-Signals_US!R104*Mapping!$E$18,0))</f>
        <v>-5.000000000000001E-2</v>
      </c>
      <c r="S104" s="1">
        <f>IF(Signals_US!M104=1,Signals_US!Q104*Mapping!$E$19,IF(Signals_US!M104=-1,-Signals_US!R104*Mapping!$E$19,0))</f>
        <v>0</v>
      </c>
      <c r="T104" s="1">
        <f>IF(Signals_US!L104=1,Signals_US!Q104*Mapping!$E$20,IF(Signals_US!L104=-1,-Signals_US!R104*Mapping!$E$20,0))</f>
        <v>-5.000000000000001E-2</v>
      </c>
      <c r="U104" s="1">
        <f t="shared" si="1"/>
        <v>0</v>
      </c>
    </row>
    <row r="105" spans="1:21">
      <c r="A105" s="5">
        <f>Signals_US!B105</f>
        <v>42186</v>
      </c>
      <c r="B105" s="1">
        <f>0</f>
        <v>0</v>
      </c>
      <c r="C105" s="1">
        <f>IF(Signals_US!F105=1,Signals_US!Q105*Mapping!$E$3,IF(Signals_US!F105=-1,-Signals_US!R105*Mapping!$E$3,0))</f>
        <v>0</v>
      </c>
      <c r="D105" s="1">
        <f>IF(Signals_US!C105=1,Signals_US!Q105*Mapping!$E$4,IF(Signals_US!C105=-1,-Signals_US!R105*Mapping!$E$4,0))</f>
        <v>-1.666666666666667E-2</v>
      </c>
      <c r="E105" s="1">
        <f>IF(Signals_US!C105=1,Signals_US!Q105*Mapping!$E$5,IF(Signals_US!C105=-1,-Signals_US!R105*Mapping!$E$5,0))</f>
        <v>-1.666666666666667E-2</v>
      </c>
      <c r="F105" s="1">
        <f>IF(Signals_US!C105=1,Signals_US!Q105*Mapping!$E$6,IF(Signals_US!C105=-1,-Signals_US!R105*Mapping!$E$6,0))</f>
        <v>-1.666666666666667E-2</v>
      </c>
      <c r="G105" s="1">
        <f>IF(Signals_US!F105=1,Signals_US!Q105*Mapping!$E$7,IF(Signals_US!F105=-1,-Signals_US!R105*Mapping!$E$7,0))</f>
        <v>0</v>
      </c>
      <c r="H105" s="1">
        <f>IF(Signals_US!D105=1,Signals_US!Q105*Mapping!$E$8,IF(Signals_US!D105=-1,-Signals_US!R105*Mapping!$E$8,0))</f>
        <v>0</v>
      </c>
      <c r="I105" s="1">
        <f>IF(Signals_US!G105=1,Signals_US!Q105*Mapping!$E$9,IF(Signals_US!G105=-1,-Signals_US!R105*Mapping!$E$9,0))</f>
        <v>5.000000000000001E-2</v>
      </c>
      <c r="J105" s="1">
        <f>IF(Signals_US!H105=1,Signals_US!Q105*Mapping!$E$10,IF(Signals_US!H105=-1,-Signals_US!R105*Mapping!$E$10,0))</f>
        <v>5.000000000000001E-2</v>
      </c>
      <c r="K105" s="1">
        <f>IF(Signals_US!F105=1,Signals_US!Q105*Mapping!$E$11,IF(Signals_US!F105=-1,-Signals_US!R105*Mapping!$E$11,0))</f>
        <v>0</v>
      </c>
      <c r="L105" s="1">
        <f>IF(Signals_US!N105=1,Signals_US!Q105*Mapping!$E$12,IF(Signals_US!N105=-1,-Signals_US!R105*Mapping!$E$12,0))</f>
        <v>0</v>
      </c>
      <c r="M105" s="1">
        <f>IF(Signals_US!I105=1,Signals_US!Q105*Mapping!$E$13,IF(Signals_US!I105=-1,-Signals_US!R105*Mapping!$E$13,0))</f>
        <v>-5.000000000000001E-2</v>
      </c>
      <c r="N105" s="1">
        <f>0</f>
        <v>0</v>
      </c>
      <c r="O105" s="1">
        <f>0</f>
        <v>0</v>
      </c>
      <c r="P105" s="1">
        <f>IF(Signals_US!E105=1,Signals_US!Q105*Mapping!$E$16,IF(Signals_US!E105=-1,-Signals_US!R105*Mapping!$E$16,0))</f>
        <v>5.000000000000001E-2</v>
      </c>
      <c r="Q105" s="1">
        <f>IF(Signals_US!J105=1,Signals_US!Q105*Mapping!$E$17,IF(Signals_US!J105=-1,-Signals_US!R105*Mapping!$E$17,0))</f>
        <v>0</v>
      </c>
      <c r="R105" s="1">
        <f>IF(Signals_US!K105=1,Signals_US!Q105*Mapping!$E$18,IF(Signals_US!K105=-1,-Signals_US!R105*Mapping!$E$18,0))</f>
        <v>-5.000000000000001E-2</v>
      </c>
      <c r="S105" s="1">
        <f>IF(Signals_US!M105=1,Signals_US!Q105*Mapping!$E$19,IF(Signals_US!M105=-1,-Signals_US!R105*Mapping!$E$19,0))</f>
        <v>0</v>
      </c>
      <c r="T105" s="1">
        <f>IF(Signals_US!L105=1,Signals_US!Q105*Mapping!$E$20,IF(Signals_US!L105=-1,-Signals_US!R105*Mapping!$E$20,0))</f>
        <v>0</v>
      </c>
      <c r="U105" s="1">
        <f t="shared" si="1"/>
        <v>0</v>
      </c>
    </row>
    <row r="106" spans="1:21">
      <c r="A106" s="5">
        <f>Signals_US!B106</f>
        <v>42217</v>
      </c>
      <c r="B106" s="1">
        <f>0</f>
        <v>0</v>
      </c>
      <c r="C106" s="1">
        <f>IF(Signals_US!F106=1,Signals_US!Q106*Mapping!$E$3,IF(Signals_US!F106=-1,-Signals_US!R106*Mapping!$E$3,0))</f>
        <v>0</v>
      </c>
      <c r="D106" s="1">
        <f>IF(Signals_US!C106=1,Signals_US!Q106*Mapping!$E$4,IF(Signals_US!C106=-1,-Signals_US!R106*Mapping!$E$4,0))</f>
        <v>0</v>
      </c>
      <c r="E106" s="1">
        <f>IF(Signals_US!C106=1,Signals_US!Q106*Mapping!$E$5,IF(Signals_US!C106=-1,-Signals_US!R106*Mapping!$E$5,0))</f>
        <v>0</v>
      </c>
      <c r="F106" s="1">
        <f>IF(Signals_US!C106=1,Signals_US!Q106*Mapping!$E$6,IF(Signals_US!C106=-1,-Signals_US!R106*Mapping!$E$6,0))</f>
        <v>0</v>
      </c>
      <c r="G106" s="1">
        <f>IF(Signals_US!F106=1,Signals_US!Q106*Mapping!$E$7,IF(Signals_US!F106=-1,-Signals_US!R106*Mapping!$E$7,0))</f>
        <v>0</v>
      </c>
      <c r="H106" s="1">
        <f>IF(Signals_US!D106=1,Signals_US!Q106*Mapping!$E$8,IF(Signals_US!D106=-1,-Signals_US!R106*Mapping!$E$8,0))</f>
        <v>0</v>
      </c>
      <c r="I106" s="1">
        <f>IF(Signals_US!G106=1,Signals_US!Q106*Mapping!$E$9,IF(Signals_US!G106=-1,-Signals_US!R106*Mapping!$E$9,0))</f>
        <v>5.000000000000001E-2</v>
      </c>
      <c r="J106" s="1">
        <f>IF(Signals_US!H106=1,Signals_US!Q106*Mapping!$E$10,IF(Signals_US!H106=-1,-Signals_US!R106*Mapping!$E$10,0))</f>
        <v>5.000000000000001E-2</v>
      </c>
      <c r="K106" s="1">
        <f>IF(Signals_US!F106=1,Signals_US!Q106*Mapping!$E$11,IF(Signals_US!F106=-1,-Signals_US!R106*Mapping!$E$11,0))</f>
        <v>0</v>
      </c>
      <c r="L106" s="1">
        <f>IF(Signals_US!N106=1,Signals_US!Q106*Mapping!$E$12,IF(Signals_US!N106=-1,-Signals_US!R106*Mapping!$E$12,0))</f>
        <v>-5.000000000000001E-2</v>
      </c>
      <c r="M106" s="1">
        <f>IF(Signals_US!I106=1,Signals_US!Q106*Mapping!$E$13,IF(Signals_US!I106=-1,-Signals_US!R106*Mapping!$E$13,0))</f>
        <v>-5.000000000000001E-2</v>
      </c>
      <c r="N106" s="1">
        <f>0</f>
        <v>0</v>
      </c>
      <c r="O106" s="1">
        <f>0</f>
        <v>0</v>
      </c>
      <c r="P106" s="1">
        <f>IF(Signals_US!E106=1,Signals_US!Q106*Mapping!$E$16,IF(Signals_US!E106=-1,-Signals_US!R106*Mapping!$E$16,0))</f>
        <v>5.000000000000001E-2</v>
      </c>
      <c r="Q106" s="1">
        <f>IF(Signals_US!J106=1,Signals_US!Q106*Mapping!$E$17,IF(Signals_US!J106=-1,-Signals_US!R106*Mapping!$E$17,0))</f>
        <v>0</v>
      </c>
      <c r="R106" s="1">
        <f>IF(Signals_US!K106=1,Signals_US!Q106*Mapping!$E$18,IF(Signals_US!K106=-1,-Signals_US!R106*Mapping!$E$18,0))</f>
        <v>-5.000000000000001E-2</v>
      </c>
      <c r="S106" s="1">
        <f>IF(Signals_US!M106=1,Signals_US!Q106*Mapping!$E$19,IF(Signals_US!M106=-1,-Signals_US!R106*Mapping!$E$19,0))</f>
        <v>0</v>
      </c>
      <c r="T106" s="1">
        <f>IF(Signals_US!L106=1,Signals_US!Q106*Mapping!$E$20,IF(Signals_US!L106=-1,-Signals_US!R106*Mapping!$E$20,0))</f>
        <v>0</v>
      </c>
      <c r="U106" s="1">
        <f t="shared" si="1"/>
        <v>0</v>
      </c>
    </row>
    <row r="107" spans="1:21">
      <c r="A107" s="5">
        <f>Signals_US!B107</f>
        <v>42248</v>
      </c>
      <c r="B107" s="1">
        <f>0</f>
        <v>0</v>
      </c>
      <c r="C107" s="1">
        <f>IF(Signals_US!F107=1,Signals_US!Q107*Mapping!$E$3,IF(Signals_US!F107=-1,-Signals_US!R107*Mapping!$E$3,0))</f>
        <v>1.666666666666667E-2</v>
      </c>
      <c r="D107" s="1">
        <f>IF(Signals_US!C107=1,Signals_US!Q107*Mapping!$E$4,IF(Signals_US!C107=-1,-Signals_US!R107*Mapping!$E$4,0))</f>
        <v>-1.666666666666667E-2</v>
      </c>
      <c r="E107" s="1">
        <f>IF(Signals_US!C107=1,Signals_US!Q107*Mapping!$E$5,IF(Signals_US!C107=-1,-Signals_US!R107*Mapping!$E$5,0))</f>
        <v>-1.666666666666667E-2</v>
      </c>
      <c r="F107" s="1">
        <f>IF(Signals_US!C107=1,Signals_US!Q107*Mapping!$E$6,IF(Signals_US!C107=-1,-Signals_US!R107*Mapping!$E$6,0))</f>
        <v>-1.666666666666667E-2</v>
      </c>
      <c r="G107" s="1">
        <f>IF(Signals_US!F107=1,Signals_US!Q107*Mapping!$E$7,IF(Signals_US!F107=-1,-Signals_US!R107*Mapping!$E$7,0))</f>
        <v>1.666666666666667E-2</v>
      </c>
      <c r="H107" s="1">
        <f>IF(Signals_US!D107=1,Signals_US!Q107*Mapping!$E$8,IF(Signals_US!D107=-1,-Signals_US!R107*Mapping!$E$8,0))</f>
        <v>0</v>
      </c>
      <c r="I107" s="1">
        <f>IF(Signals_US!G107=1,Signals_US!Q107*Mapping!$E$9,IF(Signals_US!G107=-1,-Signals_US!R107*Mapping!$E$9,0))</f>
        <v>0</v>
      </c>
      <c r="J107" s="1">
        <f>IF(Signals_US!H107=1,Signals_US!Q107*Mapping!$E$10,IF(Signals_US!H107=-1,-Signals_US!R107*Mapping!$E$10,0))</f>
        <v>5.000000000000001E-2</v>
      </c>
      <c r="K107" s="1">
        <f>IF(Signals_US!F107=1,Signals_US!Q107*Mapping!$E$11,IF(Signals_US!F107=-1,-Signals_US!R107*Mapping!$E$11,0))</f>
        <v>1.666666666666667E-2</v>
      </c>
      <c r="L107" s="1">
        <f>IF(Signals_US!N107=1,Signals_US!Q107*Mapping!$E$12,IF(Signals_US!N107=-1,-Signals_US!R107*Mapping!$E$12,0))</f>
        <v>-5.000000000000001E-2</v>
      </c>
      <c r="M107" s="1">
        <f>IF(Signals_US!I107=1,Signals_US!Q107*Mapping!$E$13,IF(Signals_US!I107=-1,-Signals_US!R107*Mapping!$E$13,0))</f>
        <v>-5.000000000000001E-2</v>
      </c>
      <c r="N107" s="1">
        <f>0</f>
        <v>0</v>
      </c>
      <c r="O107" s="1">
        <f>0</f>
        <v>0</v>
      </c>
      <c r="P107" s="1">
        <f>IF(Signals_US!E107=1,Signals_US!Q107*Mapping!$E$16,IF(Signals_US!E107=-1,-Signals_US!R107*Mapping!$E$16,0))</f>
        <v>5.000000000000001E-2</v>
      </c>
      <c r="Q107" s="1">
        <f>IF(Signals_US!J107=1,Signals_US!Q107*Mapping!$E$17,IF(Signals_US!J107=-1,-Signals_US!R107*Mapping!$E$17,0))</f>
        <v>0</v>
      </c>
      <c r="R107" s="1">
        <f>IF(Signals_US!K107=1,Signals_US!Q107*Mapping!$E$18,IF(Signals_US!K107=-1,-Signals_US!R107*Mapping!$E$18,0))</f>
        <v>0</v>
      </c>
      <c r="S107" s="1">
        <f>IF(Signals_US!M107=1,Signals_US!Q107*Mapping!$E$19,IF(Signals_US!M107=-1,-Signals_US!R107*Mapping!$E$19,0))</f>
        <v>0</v>
      </c>
      <c r="T107" s="1">
        <f>IF(Signals_US!L107=1,Signals_US!Q107*Mapping!$E$20,IF(Signals_US!L107=-1,-Signals_US!R107*Mapping!$E$20,0))</f>
        <v>0</v>
      </c>
      <c r="U107" s="1">
        <f t="shared" si="1"/>
        <v>0</v>
      </c>
    </row>
    <row r="108" spans="1:21">
      <c r="A108" s="5">
        <f>Signals_US!B108</f>
        <v>42278</v>
      </c>
      <c r="B108" s="1">
        <f>0</f>
        <v>0</v>
      </c>
      <c r="C108" s="1">
        <f>IF(Signals_US!F108=1,Signals_US!Q108*Mapping!$E$3,IF(Signals_US!F108=-1,-Signals_US!R108*Mapping!$E$3,0))</f>
        <v>1.666666666666667E-2</v>
      </c>
      <c r="D108" s="1">
        <f>IF(Signals_US!C108=1,Signals_US!Q108*Mapping!$E$4,IF(Signals_US!C108=-1,-Signals_US!R108*Mapping!$E$4,0))</f>
        <v>-1.666666666666667E-2</v>
      </c>
      <c r="E108" s="1">
        <f>IF(Signals_US!C108=1,Signals_US!Q108*Mapping!$E$5,IF(Signals_US!C108=-1,-Signals_US!R108*Mapping!$E$5,0))</f>
        <v>-1.666666666666667E-2</v>
      </c>
      <c r="F108" s="1">
        <f>IF(Signals_US!C108=1,Signals_US!Q108*Mapping!$E$6,IF(Signals_US!C108=-1,-Signals_US!R108*Mapping!$E$6,0))</f>
        <v>-1.666666666666667E-2</v>
      </c>
      <c r="G108" s="1">
        <f>IF(Signals_US!F108=1,Signals_US!Q108*Mapping!$E$7,IF(Signals_US!F108=-1,-Signals_US!R108*Mapping!$E$7,0))</f>
        <v>1.666666666666667E-2</v>
      </c>
      <c r="H108" s="1">
        <f>IF(Signals_US!D108=1,Signals_US!Q108*Mapping!$E$8,IF(Signals_US!D108=-1,-Signals_US!R108*Mapping!$E$8,0))</f>
        <v>0</v>
      </c>
      <c r="I108" s="1">
        <f>IF(Signals_US!G108=1,Signals_US!Q108*Mapping!$E$9,IF(Signals_US!G108=-1,-Signals_US!R108*Mapping!$E$9,0))</f>
        <v>0</v>
      </c>
      <c r="J108" s="1">
        <f>IF(Signals_US!H108=1,Signals_US!Q108*Mapping!$E$10,IF(Signals_US!H108=-1,-Signals_US!R108*Mapping!$E$10,0))</f>
        <v>0</v>
      </c>
      <c r="K108" s="1">
        <f>IF(Signals_US!F108=1,Signals_US!Q108*Mapping!$E$11,IF(Signals_US!F108=-1,-Signals_US!R108*Mapping!$E$11,0))</f>
        <v>1.666666666666667E-2</v>
      </c>
      <c r="L108" s="1">
        <f>IF(Signals_US!N108=1,Signals_US!Q108*Mapping!$E$12,IF(Signals_US!N108=-1,-Signals_US!R108*Mapping!$E$12,0))</f>
        <v>-5.000000000000001E-2</v>
      </c>
      <c r="M108" s="1">
        <f>IF(Signals_US!I108=1,Signals_US!Q108*Mapping!$E$13,IF(Signals_US!I108=-1,-Signals_US!R108*Mapping!$E$13,0))</f>
        <v>-5.000000000000001E-2</v>
      </c>
      <c r="N108" s="1">
        <f>0</f>
        <v>0</v>
      </c>
      <c r="O108" s="1">
        <f>0</f>
        <v>0</v>
      </c>
      <c r="P108" s="1">
        <f>IF(Signals_US!E108=1,Signals_US!Q108*Mapping!$E$16,IF(Signals_US!E108=-1,-Signals_US!R108*Mapping!$E$16,0))</f>
        <v>5.000000000000001E-2</v>
      </c>
      <c r="Q108" s="1">
        <f>IF(Signals_US!J108=1,Signals_US!Q108*Mapping!$E$17,IF(Signals_US!J108=-1,-Signals_US!R108*Mapping!$E$17,0))</f>
        <v>0</v>
      </c>
      <c r="R108" s="1">
        <f>IF(Signals_US!K108=1,Signals_US!Q108*Mapping!$E$18,IF(Signals_US!K108=-1,-Signals_US!R108*Mapping!$E$18,0))</f>
        <v>5.000000000000001E-2</v>
      </c>
      <c r="S108" s="1">
        <f>IF(Signals_US!M108=1,Signals_US!Q108*Mapping!$E$19,IF(Signals_US!M108=-1,-Signals_US!R108*Mapping!$E$19,0))</f>
        <v>0</v>
      </c>
      <c r="T108" s="1">
        <f>IF(Signals_US!L108=1,Signals_US!Q108*Mapping!$E$20,IF(Signals_US!L108=-1,-Signals_US!R108*Mapping!$E$20,0))</f>
        <v>0</v>
      </c>
      <c r="U108" s="1">
        <f t="shared" si="1"/>
        <v>0</v>
      </c>
    </row>
    <row r="109" spans="1:21">
      <c r="A109" s="5">
        <f>Signals_US!B109</f>
        <v>42309</v>
      </c>
      <c r="B109" s="1">
        <f>0</f>
        <v>0</v>
      </c>
      <c r="C109" s="1">
        <f>IF(Signals_US!F109=1,Signals_US!Q109*Mapping!$E$3,IF(Signals_US!F109=-1,-Signals_US!R109*Mapping!$E$3,0))</f>
        <v>1.666666666666667E-2</v>
      </c>
      <c r="D109" s="1">
        <f>IF(Signals_US!C109=1,Signals_US!Q109*Mapping!$E$4,IF(Signals_US!C109=-1,-Signals_US!R109*Mapping!$E$4,0))</f>
        <v>-1.666666666666667E-2</v>
      </c>
      <c r="E109" s="1">
        <f>IF(Signals_US!C109=1,Signals_US!Q109*Mapping!$E$5,IF(Signals_US!C109=-1,-Signals_US!R109*Mapping!$E$5,0))</f>
        <v>-1.666666666666667E-2</v>
      </c>
      <c r="F109" s="1">
        <f>IF(Signals_US!C109=1,Signals_US!Q109*Mapping!$E$6,IF(Signals_US!C109=-1,-Signals_US!R109*Mapping!$E$6,0))</f>
        <v>-1.666666666666667E-2</v>
      </c>
      <c r="G109" s="1">
        <f>IF(Signals_US!F109=1,Signals_US!Q109*Mapping!$E$7,IF(Signals_US!F109=-1,-Signals_US!R109*Mapping!$E$7,0))</f>
        <v>1.666666666666667E-2</v>
      </c>
      <c r="H109" s="1">
        <f>IF(Signals_US!D109=1,Signals_US!Q109*Mapping!$E$8,IF(Signals_US!D109=-1,-Signals_US!R109*Mapping!$E$8,0))</f>
        <v>0</v>
      </c>
      <c r="I109" s="1">
        <f>IF(Signals_US!G109=1,Signals_US!Q109*Mapping!$E$9,IF(Signals_US!G109=-1,-Signals_US!R109*Mapping!$E$9,0))</f>
        <v>-5.000000000000001E-2</v>
      </c>
      <c r="J109" s="1">
        <f>IF(Signals_US!H109=1,Signals_US!Q109*Mapping!$E$10,IF(Signals_US!H109=-1,-Signals_US!R109*Mapping!$E$10,0))</f>
        <v>0</v>
      </c>
      <c r="K109" s="1">
        <f>IF(Signals_US!F109=1,Signals_US!Q109*Mapping!$E$11,IF(Signals_US!F109=-1,-Signals_US!R109*Mapping!$E$11,0))</f>
        <v>1.666666666666667E-2</v>
      </c>
      <c r="L109" s="1">
        <f>IF(Signals_US!N109=1,Signals_US!Q109*Mapping!$E$12,IF(Signals_US!N109=-1,-Signals_US!R109*Mapping!$E$12,0))</f>
        <v>0</v>
      </c>
      <c r="M109" s="1">
        <f>IF(Signals_US!I109=1,Signals_US!Q109*Mapping!$E$13,IF(Signals_US!I109=-1,-Signals_US!R109*Mapping!$E$13,0))</f>
        <v>-5.000000000000001E-2</v>
      </c>
      <c r="N109" s="1">
        <f>0</f>
        <v>0</v>
      </c>
      <c r="O109" s="1">
        <f>0</f>
        <v>0</v>
      </c>
      <c r="P109" s="1">
        <f>IF(Signals_US!E109=1,Signals_US!Q109*Mapping!$E$16,IF(Signals_US!E109=-1,-Signals_US!R109*Mapping!$E$16,0))</f>
        <v>5.000000000000001E-2</v>
      </c>
      <c r="Q109" s="1">
        <f>IF(Signals_US!J109=1,Signals_US!Q109*Mapping!$E$17,IF(Signals_US!J109=-1,-Signals_US!R109*Mapping!$E$17,0))</f>
        <v>0</v>
      </c>
      <c r="R109" s="1">
        <f>IF(Signals_US!K109=1,Signals_US!Q109*Mapping!$E$18,IF(Signals_US!K109=-1,-Signals_US!R109*Mapping!$E$18,0))</f>
        <v>5.000000000000001E-2</v>
      </c>
      <c r="S109" s="1">
        <f>IF(Signals_US!M109=1,Signals_US!Q109*Mapping!$E$19,IF(Signals_US!M109=-1,-Signals_US!R109*Mapping!$E$19,0))</f>
        <v>0</v>
      </c>
      <c r="T109" s="1">
        <f>IF(Signals_US!L109=1,Signals_US!Q109*Mapping!$E$20,IF(Signals_US!L109=-1,-Signals_US!R109*Mapping!$E$20,0))</f>
        <v>0</v>
      </c>
      <c r="U109" s="1">
        <f t="shared" si="1"/>
        <v>0</v>
      </c>
    </row>
    <row r="110" spans="1:21">
      <c r="A110" s="5">
        <f>Signals_US!B110</f>
        <v>42339</v>
      </c>
      <c r="B110" s="1">
        <f>0</f>
        <v>0</v>
      </c>
      <c r="C110" s="1">
        <f>IF(Signals_US!F110=1,Signals_US!Q110*Mapping!$E$3,IF(Signals_US!F110=-1,-Signals_US!R110*Mapping!$E$3,0))</f>
        <v>1.666666666666667E-2</v>
      </c>
      <c r="D110" s="1">
        <f>IF(Signals_US!C110=1,Signals_US!Q110*Mapping!$E$4,IF(Signals_US!C110=-1,-Signals_US!R110*Mapping!$E$4,0))</f>
        <v>-1.666666666666667E-2</v>
      </c>
      <c r="E110" s="1">
        <f>IF(Signals_US!C110=1,Signals_US!Q110*Mapping!$E$5,IF(Signals_US!C110=-1,-Signals_US!R110*Mapping!$E$5,0))</f>
        <v>-1.666666666666667E-2</v>
      </c>
      <c r="F110" s="1">
        <f>IF(Signals_US!C110=1,Signals_US!Q110*Mapping!$E$6,IF(Signals_US!C110=-1,-Signals_US!R110*Mapping!$E$6,0))</f>
        <v>-1.666666666666667E-2</v>
      </c>
      <c r="G110" s="1">
        <f>IF(Signals_US!F110=1,Signals_US!Q110*Mapping!$E$7,IF(Signals_US!F110=-1,-Signals_US!R110*Mapping!$E$7,0))</f>
        <v>1.666666666666667E-2</v>
      </c>
      <c r="H110" s="1">
        <f>IF(Signals_US!D110=1,Signals_US!Q110*Mapping!$E$8,IF(Signals_US!D110=-1,-Signals_US!R110*Mapping!$E$8,0))</f>
        <v>0</v>
      </c>
      <c r="I110" s="1">
        <f>IF(Signals_US!G110=1,Signals_US!Q110*Mapping!$E$9,IF(Signals_US!G110=-1,-Signals_US!R110*Mapping!$E$9,0))</f>
        <v>-5.000000000000001E-2</v>
      </c>
      <c r="J110" s="1">
        <f>IF(Signals_US!H110=1,Signals_US!Q110*Mapping!$E$10,IF(Signals_US!H110=-1,-Signals_US!R110*Mapping!$E$10,0))</f>
        <v>5.000000000000001E-2</v>
      </c>
      <c r="K110" s="1">
        <f>IF(Signals_US!F110=1,Signals_US!Q110*Mapping!$E$11,IF(Signals_US!F110=-1,-Signals_US!R110*Mapping!$E$11,0))</f>
        <v>1.666666666666667E-2</v>
      </c>
      <c r="L110" s="1">
        <f>IF(Signals_US!N110=1,Signals_US!Q110*Mapping!$E$12,IF(Signals_US!N110=-1,-Signals_US!R110*Mapping!$E$12,0))</f>
        <v>0</v>
      </c>
      <c r="M110" s="1">
        <f>IF(Signals_US!I110=1,Signals_US!Q110*Mapping!$E$13,IF(Signals_US!I110=-1,-Signals_US!R110*Mapping!$E$13,0))</f>
        <v>-5.000000000000001E-2</v>
      </c>
      <c r="N110" s="1">
        <f>0</f>
        <v>0</v>
      </c>
      <c r="O110" s="1">
        <f>0</f>
        <v>0</v>
      </c>
      <c r="P110" s="1">
        <f>IF(Signals_US!E110=1,Signals_US!Q110*Mapping!$E$16,IF(Signals_US!E110=-1,-Signals_US!R110*Mapping!$E$16,0))</f>
        <v>0</v>
      </c>
      <c r="Q110" s="1">
        <f>IF(Signals_US!J110=1,Signals_US!Q110*Mapping!$E$17,IF(Signals_US!J110=-1,-Signals_US!R110*Mapping!$E$17,0))</f>
        <v>0</v>
      </c>
      <c r="R110" s="1">
        <f>IF(Signals_US!K110=1,Signals_US!Q110*Mapping!$E$18,IF(Signals_US!K110=-1,-Signals_US!R110*Mapping!$E$18,0))</f>
        <v>5.000000000000001E-2</v>
      </c>
      <c r="S110" s="1">
        <f>IF(Signals_US!M110=1,Signals_US!Q110*Mapping!$E$19,IF(Signals_US!M110=-1,-Signals_US!R110*Mapping!$E$19,0))</f>
        <v>0</v>
      </c>
      <c r="T110" s="1">
        <f>IF(Signals_US!L110=1,Signals_US!Q110*Mapping!$E$20,IF(Signals_US!L110=-1,-Signals_US!R110*Mapping!$E$20,0))</f>
        <v>0</v>
      </c>
      <c r="U110" s="1">
        <f t="shared" si="1"/>
        <v>0</v>
      </c>
    </row>
    <row r="111" spans="1:21">
      <c r="A111" s="5">
        <f>Signals_US!B111</f>
        <v>42370</v>
      </c>
      <c r="B111" s="1">
        <f>0</f>
        <v>0</v>
      </c>
      <c r="C111" s="1">
        <f>IF(Signals_US!F111=1,Signals_US!Q111*Mapping!$E$3,IF(Signals_US!F111=-1,-Signals_US!R111*Mapping!$E$3,0))</f>
        <v>1.666666666666667E-2</v>
      </c>
      <c r="D111" s="1">
        <f>IF(Signals_US!C111=1,Signals_US!Q111*Mapping!$E$4,IF(Signals_US!C111=-1,-Signals_US!R111*Mapping!$E$4,0))</f>
        <v>0</v>
      </c>
      <c r="E111" s="1">
        <f>IF(Signals_US!C111=1,Signals_US!Q111*Mapping!$E$5,IF(Signals_US!C111=-1,-Signals_US!R111*Mapping!$E$5,0))</f>
        <v>0</v>
      </c>
      <c r="F111" s="1">
        <f>IF(Signals_US!C111=1,Signals_US!Q111*Mapping!$E$6,IF(Signals_US!C111=-1,-Signals_US!R111*Mapping!$E$6,0))</f>
        <v>0</v>
      </c>
      <c r="G111" s="1">
        <f>IF(Signals_US!F111=1,Signals_US!Q111*Mapping!$E$7,IF(Signals_US!F111=-1,-Signals_US!R111*Mapping!$E$7,0))</f>
        <v>1.666666666666667E-2</v>
      </c>
      <c r="H111" s="1">
        <f>IF(Signals_US!D111=1,Signals_US!Q111*Mapping!$E$8,IF(Signals_US!D111=-1,-Signals_US!R111*Mapping!$E$8,0))</f>
        <v>0</v>
      </c>
      <c r="I111" s="1">
        <f>IF(Signals_US!G111=1,Signals_US!Q111*Mapping!$E$9,IF(Signals_US!G111=-1,-Signals_US!R111*Mapping!$E$9,0))</f>
        <v>-5.000000000000001E-2</v>
      </c>
      <c r="J111" s="1">
        <f>IF(Signals_US!H111=1,Signals_US!Q111*Mapping!$E$10,IF(Signals_US!H111=-1,-Signals_US!R111*Mapping!$E$10,0))</f>
        <v>5.000000000000001E-2</v>
      </c>
      <c r="K111" s="1">
        <f>IF(Signals_US!F111=1,Signals_US!Q111*Mapping!$E$11,IF(Signals_US!F111=-1,-Signals_US!R111*Mapping!$E$11,0))</f>
        <v>1.666666666666667E-2</v>
      </c>
      <c r="L111" s="1">
        <f>IF(Signals_US!N111=1,Signals_US!Q111*Mapping!$E$12,IF(Signals_US!N111=-1,-Signals_US!R111*Mapping!$E$12,0))</f>
        <v>-5.000000000000001E-2</v>
      </c>
      <c r="M111" s="1">
        <f>IF(Signals_US!I111=1,Signals_US!Q111*Mapping!$E$13,IF(Signals_US!I111=-1,-Signals_US!R111*Mapping!$E$13,0))</f>
        <v>-5.000000000000001E-2</v>
      </c>
      <c r="N111" s="1">
        <f>0</f>
        <v>0</v>
      </c>
      <c r="O111" s="1">
        <f>0</f>
        <v>0</v>
      </c>
      <c r="P111" s="1">
        <f>IF(Signals_US!E111=1,Signals_US!Q111*Mapping!$E$16,IF(Signals_US!E111=-1,-Signals_US!R111*Mapping!$E$16,0))</f>
        <v>0</v>
      </c>
      <c r="Q111" s="1">
        <f>IF(Signals_US!J111=1,Signals_US!Q111*Mapping!$E$17,IF(Signals_US!J111=-1,-Signals_US!R111*Mapping!$E$17,0))</f>
        <v>0</v>
      </c>
      <c r="R111" s="1">
        <f>IF(Signals_US!K111=1,Signals_US!Q111*Mapping!$E$18,IF(Signals_US!K111=-1,-Signals_US!R111*Mapping!$E$18,0))</f>
        <v>5.000000000000001E-2</v>
      </c>
      <c r="S111" s="1">
        <f>IF(Signals_US!M111=1,Signals_US!Q111*Mapping!$E$19,IF(Signals_US!M111=-1,-Signals_US!R111*Mapping!$E$19,0))</f>
        <v>0</v>
      </c>
      <c r="T111" s="1">
        <f>IF(Signals_US!L111=1,Signals_US!Q111*Mapping!$E$20,IF(Signals_US!L111=-1,-Signals_US!R111*Mapping!$E$20,0))</f>
        <v>0</v>
      </c>
      <c r="U111" s="1">
        <f t="shared" si="1"/>
        <v>0</v>
      </c>
    </row>
    <row r="112" spans="1:21">
      <c r="A112" s="5">
        <f>Signals_US!B112</f>
        <v>42401</v>
      </c>
      <c r="B112" s="1">
        <f>0</f>
        <v>0</v>
      </c>
      <c r="C112" s="1">
        <f>IF(Signals_US!F112=1,Signals_US!Q112*Mapping!$E$3,IF(Signals_US!F112=-1,-Signals_US!R112*Mapping!$E$3,0))</f>
        <v>0</v>
      </c>
      <c r="D112" s="1">
        <f>IF(Signals_US!C112=1,Signals_US!Q112*Mapping!$E$4,IF(Signals_US!C112=-1,-Signals_US!R112*Mapping!$E$4,0))</f>
        <v>0</v>
      </c>
      <c r="E112" s="1">
        <f>IF(Signals_US!C112=1,Signals_US!Q112*Mapping!$E$5,IF(Signals_US!C112=-1,-Signals_US!R112*Mapping!$E$5,0))</f>
        <v>0</v>
      </c>
      <c r="F112" s="1">
        <f>IF(Signals_US!C112=1,Signals_US!Q112*Mapping!$E$6,IF(Signals_US!C112=-1,-Signals_US!R112*Mapping!$E$6,0))</f>
        <v>0</v>
      </c>
      <c r="G112" s="1">
        <f>IF(Signals_US!F112=1,Signals_US!Q112*Mapping!$E$7,IF(Signals_US!F112=-1,-Signals_US!R112*Mapping!$E$7,0))</f>
        <v>0</v>
      </c>
      <c r="H112" s="1">
        <f>IF(Signals_US!D112=1,Signals_US!Q112*Mapping!$E$8,IF(Signals_US!D112=-1,-Signals_US!R112*Mapping!$E$8,0))</f>
        <v>5.000000000000001E-2</v>
      </c>
      <c r="I112" s="1">
        <f>IF(Signals_US!G112=1,Signals_US!Q112*Mapping!$E$9,IF(Signals_US!G112=-1,-Signals_US!R112*Mapping!$E$9,0))</f>
        <v>-5.000000000000001E-2</v>
      </c>
      <c r="J112" s="1">
        <f>IF(Signals_US!H112=1,Signals_US!Q112*Mapping!$E$10,IF(Signals_US!H112=-1,-Signals_US!R112*Mapping!$E$10,0))</f>
        <v>5.000000000000001E-2</v>
      </c>
      <c r="K112" s="1">
        <f>IF(Signals_US!F112=1,Signals_US!Q112*Mapping!$E$11,IF(Signals_US!F112=-1,-Signals_US!R112*Mapping!$E$11,0))</f>
        <v>0</v>
      </c>
      <c r="L112" s="1">
        <f>IF(Signals_US!N112=1,Signals_US!Q112*Mapping!$E$12,IF(Signals_US!N112=-1,-Signals_US!R112*Mapping!$E$12,0))</f>
        <v>-5.000000000000001E-2</v>
      </c>
      <c r="M112" s="1">
        <f>IF(Signals_US!I112=1,Signals_US!Q112*Mapping!$E$13,IF(Signals_US!I112=-1,-Signals_US!R112*Mapping!$E$13,0))</f>
        <v>-5.000000000000001E-2</v>
      </c>
      <c r="N112" s="1">
        <f>0</f>
        <v>0</v>
      </c>
      <c r="O112" s="1">
        <f>0</f>
        <v>0</v>
      </c>
      <c r="P112" s="1">
        <f>IF(Signals_US!E112=1,Signals_US!Q112*Mapping!$E$16,IF(Signals_US!E112=-1,-Signals_US!R112*Mapping!$E$16,0))</f>
        <v>5.000000000000001E-2</v>
      </c>
      <c r="Q112" s="1">
        <f>IF(Signals_US!J112=1,Signals_US!Q112*Mapping!$E$17,IF(Signals_US!J112=-1,-Signals_US!R112*Mapping!$E$17,0))</f>
        <v>0</v>
      </c>
      <c r="R112" s="1">
        <f>IF(Signals_US!K112=1,Signals_US!Q112*Mapping!$E$18,IF(Signals_US!K112=-1,-Signals_US!R112*Mapping!$E$18,0))</f>
        <v>0</v>
      </c>
      <c r="S112" s="1">
        <f>IF(Signals_US!M112=1,Signals_US!Q112*Mapping!$E$19,IF(Signals_US!M112=-1,-Signals_US!R112*Mapping!$E$19,0))</f>
        <v>0</v>
      </c>
      <c r="T112" s="1">
        <f>IF(Signals_US!L112=1,Signals_US!Q112*Mapping!$E$20,IF(Signals_US!L112=-1,-Signals_US!R112*Mapping!$E$20,0))</f>
        <v>0</v>
      </c>
      <c r="U112" s="1">
        <f t="shared" si="1"/>
        <v>0</v>
      </c>
    </row>
    <row r="113" spans="1:21">
      <c r="A113" s="5">
        <f>Signals_US!B113</f>
        <v>42430</v>
      </c>
      <c r="B113" s="1">
        <f>0</f>
        <v>0</v>
      </c>
      <c r="C113" s="1">
        <f>IF(Signals_US!F113=1,Signals_US!Q113*Mapping!$E$3,IF(Signals_US!F113=-1,-Signals_US!R113*Mapping!$E$3,0))</f>
        <v>0</v>
      </c>
      <c r="D113" s="1">
        <f>IF(Signals_US!C113=1,Signals_US!Q113*Mapping!$E$4,IF(Signals_US!C113=-1,-Signals_US!R113*Mapping!$E$4,0))</f>
        <v>-1.666666666666667E-2</v>
      </c>
      <c r="E113" s="1">
        <f>IF(Signals_US!C113=1,Signals_US!Q113*Mapping!$E$5,IF(Signals_US!C113=-1,-Signals_US!R113*Mapping!$E$5,0))</f>
        <v>-1.666666666666667E-2</v>
      </c>
      <c r="F113" s="1">
        <f>IF(Signals_US!C113=1,Signals_US!Q113*Mapping!$E$6,IF(Signals_US!C113=-1,-Signals_US!R113*Mapping!$E$6,0))</f>
        <v>-1.666666666666667E-2</v>
      </c>
      <c r="G113" s="1">
        <f>IF(Signals_US!F113=1,Signals_US!Q113*Mapping!$E$7,IF(Signals_US!F113=-1,-Signals_US!R113*Mapping!$E$7,0))</f>
        <v>0</v>
      </c>
      <c r="H113" s="1">
        <f>IF(Signals_US!D113=1,Signals_US!Q113*Mapping!$E$8,IF(Signals_US!D113=-1,-Signals_US!R113*Mapping!$E$8,0))</f>
        <v>0</v>
      </c>
      <c r="I113" s="1">
        <f>IF(Signals_US!G113=1,Signals_US!Q113*Mapping!$E$9,IF(Signals_US!G113=-1,-Signals_US!R113*Mapping!$E$9,0))</f>
        <v>0</v>
      </c>
      <c r="J113" s="1">
        <f>IF(Signals_US!H113=1,Signals_US!Q113*Mapping!$E$10,IF(Signals_US!H113=-1,-Signals_US!R113*Mapping!$E$10,0))</f>
        <v>0</v>
      </c>
      <c r="K113" s="1">
        <f>IF(Signals_US!F113=1,Signals_US!Q113*Mapping!$E$11,IF(Signals_US!F113=-1,-Signals_US!R113*Mapping!$E$11,0))</f>
        <v>0</v>
      </c>
      <c r="L113" s="1">
        <f>IF(Signals_US!N113=1,Signals_US!Q113*Mapping!$E$12,IF(Signals_US!N113=-1,-Signals_US!R113*Mapping!$E$12,0))</f>
        <v>-5.000000000000001E-2</v>
      </c>
      <c r="M113" s="1">
        <f>IF(Signals_US!I113=1,Signals_US!Q113*Mapping!$E$13,IF(Signals_US!I113=-1,-Signals_US!R113*Mapping!$E$13,0))</f>
        <v>-5.000000000000001E-2</v>
      </c>
      <c r="N113" s="1">
        <f>0</f>
        <v>0</v>
      </c>
      <c r="O113" s="1">
        <f>0</f>
        <v>0</v>
      </c>
      <c r="P113" s="1">
        <f>IF(Signals_US!E113=1,Signals_US!Q113*Mapping!$E$16,IF(Signals_US!E113=-1,-Signals_US!R113*Mapping!$E$16,0))</f>
        <v>5.000000000000001E-2</v>
      </c>
      <c r="Q113" s="1">
        <f>IF(Signals_US!J113=1,Signals_US!Q113*Mapping!$E$17,IF(Signals_US!J113=-1,-Signals_US!R113*Mapping!$E$17,0))</f>
        <v>5.000000000000001E-2</v>
      </c>
      <c r="R113" s="1">
        <f>IF(Signals_US!K113=1,Signals_US!Q113*Mapping!$E$18,IF(Signals_US!K113=-1,-Signals_US!R113*Mapping!$E$18,0))</f>
        <v>5.000000000000001E-2</v>
      </c>
      <c r="S113" s="1">
        <f>IF(Signals_US!M113=1,Signals_US!Q113*Mapping!$E$19,IF(Signals_US!M113=-1,-Signals_US!R113*Mapping!$E$19,0))</f>
        <v>0</v>
      </c>
      <c r="T113" s="1">
        <f>IF(Signals_US!L113=1,Signals_US!Q113*Mapping!$E$20,IF(Signals_US!L113=-1,-Signals_US!R113*Mapping!$E$20,0))</f>
        <v>0</v>
      </c>
      <c r="U113" s="1">
        <f t="shared" si="1"/>
        <v>0</v>
      </c>
    </row>
    <row r="114" spans="1:21">
      <c r="A114" s="5">
        <f>Signals_US!B114</f>
        <v>42461</v>
      </c>
      <c r="B114" s="1">
        <f>0</f>
        <v>0</v>
      </c>
      <c r="C114" s="1">
        <f>IF(Signals_US!F114=1,Signals_US!Q114*Mapping!$E$3,IF(Signals_US!F114=-1,-Signals_US!R114*Mapping!$E$3,0))</f>
        <v>0</v>
      </c>
      <c r="D114" s="1">
        <f>IF(Signals_US!C114=1,Signals_US!Q114*Mapping!$E$4,IF(Signals_US!C114=-1,-Signals_US!R114*Mapping!$E$4,0))</f>
        <v>-1.666666666666667E-2</v>
      </c>
      <c r="E114" s="1">
        <f>IF(Signals_US!C114=1,Signals_US!Q114*Mapping!$E$5,IF(Signals_US!C114=-1,-Signals_US!R114*Mapping!$E$5,0))</f>
        <v>-1.666666666666667E-2</v>
      </c>
      <c r="F114" s="1">
        <f>IF(Signals_US!C114=1,Signals_US!Q114*Mapping!$E$6,IF(Signals_US!C114=-1,-Signals_US!R114*Mapping!$E$6,0))</f>
        <v>-1.666666666666667E-2</v>
      </c>
      <c r="G114" s="1">
        <f>IF(Signals_US!F114=1,Signals_US!Q114*Mapping!$E$7,IF(Signals_US!F114=-1,-Signals_US!R114*Mapping!$E$7,0))</f>
        <v>0</v>
      </c>
      <c r="H114" s="1">
        <f>IF(Signals_US!D114=1,Signals_US!Q114*Mapping!$E$8,IF(Signals_US!D114=-1,-Signals_US!R114*Mapping!$E$8,0))</f>
        <v>0</v>
      </c>
      <c r="I114" s="1">
        <f>IF(Signals_US!G114=1,Signals_US!Q114*Mapping!$E$9,IF(Signals_US!G114=-1,-Signals_US!R114*Mapping!$E$9,0))</f>
        <v>0</v>
      </c>
      <c r="J114" s="1">
        <f>IF(Signals_US!H114=1,Signals_US!Q114*Mapping!$E$10,IF(Signals_US!H114=-1,-Signals_US!R114*Mapping!$E$10,0))</f>
        <v>5.000000000000001E-2</v>
      </c>
      <c r="K114" s="1">
        <f>IF(Signals_US!F114=1,Signals_US!Q114*Mapping!$E$11,IF(Signals_US!F114=-1,-Signals_US!R114*Mapping!$E$11,0))</f>
        <v>0</v>
      </c>
      <c r="L114" s="1">
        <f>IF(Signals_US!N114=1,Signals_US!Q114*Mapping!$E$12,IF(Signals_US!N114=-1,-Signals_US!R114*Mapping!$E$12,0))</f>
        <v>-5.000000000000001E-2</v>
      </c>
      <c r="M114" s="1">
        <f>IF(Signals_US!I114=1,Signals_US!Q114*Mapping!$E$13,IF(Signals_US!I114=-1,-Signals_US!R114*Mapping!$E$13,0))</f>
        <v>-5.000000000000001E-2</v>
      </c>
      <c r="N114" s="1">
        <f>0</f>
        <v>0</v>
      </c>
      <c r="O114" s="1">
        <f>0</f>
        <v>0</v>
      </c>
      <c r="P114" s="1">
        <f>IF(Signals_US!E114=1,Signals_US!Q114*Mapping!$E$16,IF(Signals_US!E114=-1,-Signals_US!R114*Mapping!$E$16,0))</f>
        <v>0</v>
      </c>
      <c r="Q114" s="1">
        <f>IF(Signals_US!J114=1,Signals_US!Q114*Mapping!$E$17,IF(Signals_US!J114=-1,-Signals_US!R114*Mapping!$E$17,0))</f>
        <v>0</v>
      </c>
      <c r="R114" s="1">
        <f>IF(Signals_US!K114=1,Signals_US!Q114*Mapping!$E$18,IF(Signals_US!K114=-1,-Signals_US!R114*Mapping!$E$18,0))</f>
        <v>5.000000000000001E-2</v>
      </c>
      <c r="S114" s="1">
        <f>IF(Signals_US!M114=1,Signals_US!Q114*Mapping!$E$19,IF(Signals_US!M114=-1,-Signals_US!R114*Mapping!$E$19,0))</f>
        <v>0</v>
      </c>
      <c r="T114" s="1">
        <f>IF(Signals_US!L114=1,Signals_US!Q114*Mapping!$E$20,IF(Signals_US!L114=-1,-Signals_US!R114*Mapping!$E$20,0))</f>
        <v>5.000000000000001E-2</v>
      </c>
      <c r="U114" s="1">
        <f t="shared" si="1"/>
        <v>0</v>
      </c>
    </row>
    <row r="115" spans="1:21">
      <c r="A115" s="5">
        <f>Signals_US!B115</f>
        <v>42491</v>
      </c>
      <c r="B115" s="1">
        <f>0</f>
        <v>0</v>
      </c>
      <c r="C115" s="1">
        <f>IF(Signals_US!F115=1,Signals_US!Q115*Mapping!$E$3,IF(Signals_US!F115=-1,-Signals_US!R115*Mapping!$E$3,0))</f>
        <v>0</v>
      </c>
      <c r="D115" s="1">
        <f>IF(Signals_US!C115=1,Signals_US!Q115*Mapping!$E$4,IF(Signals_US!C115=-1,-Signals_US!R115*Mapping!$E$4,0))</f>
        <v>-1.666666666666667E-2</v>
      </c>
      <c r="E115" s="1">
        <f>IF(Signals_US!C115=1,Signals_US!Q115*Mapping!$E$5,IF(Signals_US!C115=-1,-Signals_US!R115*Mapping!$E$5,0))</f>
        <v>-1.666666666666667E-2</v>
      </c>
      <c r="F115" s="1">
        <f>IF(Signals_US!C115=1,Signals_US!Q115*Mapping!$E$6,IF(Signals_US!C115=-1,-Signals_US!R115*Mapping!$E$6,0))</f>
        <v>-1.666666666666667E-2</v>
      </c>
      <c r="G115" s="1">
        <f>IF(Signals_US!F115=1,Signals_US!Q115*Mapping!$E$7,IF(Signals_US!F115=-1,-Signals_US!R115*Mapping!$E$7,0))</f>
        <v>0</v>
      </c>
      <c r="H115" s="1">
        <f>IF(Signals_US!D115=1,Signals_US!Q115*Mapping!$E$8,IF(Signals_US!D115=-1,-Signals_US!R115*Mapping!$E$8,0))</f>
        <v>5.000000000000001E-2</v>
      </c>
      <c r="I115" s="1">
        <f>IF(Signals_US!G115=1,Signals_US!Q115*Mapping!$E$9,IF(Signals_US!G115=-1,-Signals_US!R115*Mapping!$E$9,0))</f>
        <v>0</v>
      </c>
      <c r="J115" s="1">
        <f>IF(Signals_US!H115=1,Signals_US!Q115*Mapping!$E$10,IF(Signals_US!H115=-1,-Signals_US!R115*Mapping!$E$10,0))</f>
        <v>0</v>
      </c>
      <c r="K115" s="1">
        <f>IF(Signals_US!F115=1,Signals_US!Q115*Mapping!$E$11,IF(Signals_US!F115=-1,-Signals_US!R115*Mapping!$E$11,0))</f>
        <v>0</v>
      </c>
      <c r="L115" s="1">
        <f>IF(Signals_US!N115=1,Signals_US!Q115*Mapping!$E$12,IF(Signals_US!N115=-1,-Signals_US!R115*Mapping!$E$12,0))</f>
        <v>0</v>
      </c>
      <c r="M115" s="1">
        <f>IF(Signals_US!I115=1,Signals_US!Q115*Mapping!$E$13,IF(Signals_US!I115=-1,-Signals_US!R115*Mapping!$E$13,0))</f>
        <v>-5.000000000000001E-2</v>
      </c>
      <c r="N115" s="1">
        <f>0</f>
        <v>0</v>
      </c>
      <c r="O115" s="1">
        <f>0</f>
        <v>0</v>
      </c>
      <c r="P115" s="1">
        <f>IF(Signals_US!E115=1,Signals_US!Q115*Mapping!$E$16,IF(Signals_US!E115=-1,-Signals_US!R115*Mapping!$E$16,0))</f>
        <v>0</v>
      </c>
      <c r="Q115" s="1">
        <f>IF(Signals_US!J115=1,Signals_US!Q115*Mapping!$E$17,IF(Signals_US!J115=-1,-Signals_US!R115*Mapping!$E$17,0))</f>
        <v>-5.000000000000001E-2</v>
      </c>
      <c r="R115" s="1">
        <f>IF(Signals_US!K115=1,Signals_US!Q115*Mapping!$E$18,IF(Signals_US!K115=-1,-Signals_US!R115*Mapping!$E$18,0))</f>
        <v>5.000000000000001E-2</v>
      </c>
      <c r="S115" s="1">
        <f>IF(Signals_US!M115=1,Signals_US!Q115*Mapping!$E$19,IF(Signals_US!M115=-1,-Signals_US!R115*Mapping!$E$19,0))</f>
        <v>0</v>
      </c>
      <c r="T115" s="1">
        <f>IF(Signals_US!L115=1,Signals_US!Q115*Mapping!$E$20,IF(Signals_US!L115=-1,-Signals_US!R115*Mapping!$E$20,0))</f>
        <v>5.000000000000001E-2</v>
      </c>
      <c r="U115" s="1">
        <f t="shared" si="1"/>
        <v>0</v>
      </c>
    </row>
    <row r="116" spans="1:21">
      <c r="A116" s="5">
        <f>Signals_US!B116</f>
        <v>42522</v>
      </c>
      <c r="B116" s="1">
        <f>0</f>
        <v>0</v>
      </c>
      <c r="C116" s="1">
        <f>IF(Signals_US!F116=1,Signals_US!Q116*Mapping!$E$3,IF(Signals_US!F116=-1,-Signals_US!R116*Mapping!$E$3,0))</f>
        <v>-1.666666666666667E-2</v>
      </c>
      <c r="D116" s="1">
        <f>IF(Signals_US!C116=1,Signals_US!Q116*Mapping!$E$4,IF(Signals_US!C116=-1,-Signals_US!R116*Mapping!$E$4,0))</f>
        <v>0</v>
      </c>
      <c r="E116" s="1">
        <f>IF(Signals_US!C116=1,Signals_US!Q116*Mapping!$E$5,IF(Signals_US!C116=-1,-Signals_US!R116*Mapping!$E$5,0))</f>
        <v>0</v>
      </c>
      <c r="F116" s="1">
        <f>IF(Signals_US!C116=1,Signals_US!Q116*Mapping!$E$6,IF(Signals_US!C116=-1,-Signals_US!R116*Mapping!$E$6,0))</f>
        <v>0</v>
      </c>
      <c r="G116" s="1">
        <f>IF(Signals_US!F116=1,Signals_US!Q116*Mapping!$E$7,IF(Signals_US!F116=-1,-Signals_US!R116*Mapping!$E$7,0))</f>
        <v>-1.666666666666667E-2</v>
      </c>
      <c r="H116" s="1">
        <f>IF(Signals_US!D116=1,Signals_US!Q116*Mapping!$E$8,IF(Signals_US!D116=-1,-Signals_US!R116*Mapping!$E$8,0))</f>
        <v>5.000000000000001E-2</v>
      </c>
      <c r="I116" s="1">
        <f>IF(Signals_US!G116=1,Signals_US!Q116*Mapping!$E$9,IF(Signals_US!G116=-1,-Signals_US!R116*Mapping!$E$9,0))</f>
        <v>-5.000000000000001E-2</v>
      </c>
      <c r="J116" s="1">
        <f>IF(Signals_US!H116=1,Signals_US!Q116*Mapping!$E$10,IF(Signals_US!H116=-1,-Signals_US!R116*Mapping!$E$10,0))</f>
        <v>0</v>
      </c>
      <c r="K116" s="1">
        <f>IF(Signals_US!F116=1,Signals_US!Q116*Mapping!$E$11,IF(Signals_US!F116=-1,-Signals_US!R116*Mapping!$E$11,0))</f>
        <v>-1.666666666666667E-2</v>
      </c>
      <c r="L116" s="1">
        <f>IF(Signals_US!N116=1,Signals_US!Q116*Mapping!$E$12,IF(Signals_US!N116=-1,-Signals_US!R116*Mapping!$E$12,0))</f>
        <v>0</v>
      </c>
      <c r="M116" s="1">
        <f>IF(Signals_US!I116=1,Signals_US!Q116*Mapping!$E$13,IF(Signals_US!I116=-1,-Signals_US!R116*Mapping!$E$13,0))</f>
        <v>-5.000000000000001E-2</v>
      </c>
      <c r="N116" s="1">
        <f>0</f>
        <v>0</v>
      </c>
      <c r="O116" s="1">
        <f>0</f>
        <v>0</v>
      </c>
      <c r="P116" s="1">
        <f>IF(Signals_US!E116=1,Signals_US!Q116*Mapping!$E$16,IF(Signals_US!E116=-1,-Signals_US!R116*Mapping!$E$16,0))</f>
        <v>0</v>
      </c>
      <c r="Q116" s="1">
        <f>IF(Signals_US!J116=1,Signals_US!Q116*Mapping!$E$17,IF(Signals_US!J116=-1,-Signals_US!R116*Mapping!$E$17,0))</f>
        <v>0</v>
      </c>
      <c r="R116" s="1">
        <f>IF(Signals_US!K116=1,Signals_US!Q116*Mapping!$E$18,IF(Signals_US!K116=-1,-Signals_US!R116*Mapping!$E$18,0))</f>
        <v>5.000000000000001E-2</v>
      </c>
      <c r="S116" s="1">
        <f>IF(Signals_US!M116=1,Signals_US!Q116*Mapping!$E$19,IF(Signals_US!M116=-1,-Signals_US!R116*Mapping!$E$19,0))</f>
        <v>0</v>
      </c>
      <c r="T116" s="1">
        <f>IF(Signals_US!L116=1,Signals_US!Q116*Mapping!$E$20,IF(Signals_US!L116=-1,-Signals_US!R116*Mapping!$E$20,0))</f>
        <v>5.000000000000001E-2</v>
      </c>
      <c r="U116" s="1">
        <f t="shared" si="1"/>
        <v>0</v>
      </c>
    </row>
    <row r="117" spans="1:21">
      <c r="A117" s="5">
        <f>Signals_US!B117</f>
        <v>42552</v>
      </c>
      <c r="B117" s="1">
        <f>0</f>
        <v>0</v>
      </c>
      <c r="C117" s="1">
        <f>IF(Signals_US!F117=1,Signals_US!Q117*Mapping!$E$3,IF(Signals_US!F117=-1,-Signals_US!R117*Mapping!$E$3,0))</f>
        <v>-1.666666666666667E-2</v>
      </c>
      <c r="D117" s="1">
        <f>IF(Signals_US!C117=1,Signals_US!Q117*Mapping!$E$4,IF(Signals_US!C117=-1,-Signals_US!R117*Mapping!$E$4,0))</f>
        <v>-1.666666666666667E-2</v>
      </c>
      <c r="E117" s="1">
        <f>IF(Signals_US!C117=1,Signals_US!Q117*Mapping!$E$5,IF(Signals_US!C117=-1,-Signals_US!R117*Mapping!$E$5,0))</f>
        <v>-1.666666666666667E-2</v>
      </c>
      <c r="F117" s="1">
        <f>IF(Signals_US!C117=1,Signals_US!Q117*Mapping!$E$6,IF(Signals_US!C117=-1,-Signals_US!R117*Mapping!$E$6,0))</f>
        <v>-1.666666666666667E-2</v>
      </c>
      <c r="G117" s="1">
        <f>IF(Signals_US!F117=1,Signals_US!Q117*Mapping!$E$7,IF(Signals_US!F117=-1,-Signals_US!R117*Mapping!$E$7,0))</f>
        <v>-1.666666666666667E-2</v>
      </c>
      <c r="H117" s="1">
        <f>IF(Signals_US!D117=1,Signals_US!Q117*Mapping!$E$8,IF(Signals_US!D117=-1,-Signals_US!R117*Mapping!$E$8,0))</f>
        <v>0</v>
      </c>
      <c r="I117" s="1">
        <f>IF(Signals_US!G117=1,Signals_US!Q117*Mapping!$E$9,IF(Signals_US!G117=-1,-Signals_US!R117*Mapping!$E$9,0))</f>
        <v>0</v>
      </c>
      <c r="J117" s="1">
        <f>IF(Signals_US!H117=1,Signals_US!Q117*Mapping!$E$10,IF(Signals_US!H117=-1,-Signals_US!R117*Mapping!$E$10,0))</f>
        <v>5.000000000000001E-2</v>
      </c>
      <c r="K117" s="1">
        <f>IF(Signals_US!F117=1,Signals_US!Q117*Mapping!$E$11,IF(Signals_US!F117=-1,-Signals_US!R117*Mapping!$E$11,0))</f>
        <v>-1.666666666666667E-2</v>
      </c>
      <c r="L117" s="1">
        <f>IF(Signals_US!N117=1,Signals_US!Q117*Mapping!$E$12,IF(Signals_US!N117=-1,-Signals_US!R117*Mapping!$E$12,0))</f>
        <v>0</v>
      </c>
      <c r="M117" s="1">
        <f>IF(Signals_US!I117=1,Signals_US!Q117*Mapping!$E$13,IF(Signals_US!I117=-1,-Signals_US!R117*Mapping!$E$13,0))</f>
        <v>0</v>
      </c>
      <c r="N117" s="1">
        <f>0</f>
        <v>0</v>
      </c>
      <c r="O117" s="1">
        <f>0</f>
        <v>0</v>
      </c>
      <c r="P117" s="1">
        <f>IF(Signals_US!E117=1,Signals_US!Q117*Mapping!$E$16,IF(Signals_US!E117=-1,-Signals_US!R117*Mapping!$E$16,0))</f>
        <v>0</v>
      </c>
      <c r="Q117" s="1">
        <f>IF(Signals_US!J117=1,Signals_US!Q117*Mapping!$E$17,IF(Signals_US!J117=-1,-Signals_US!R117*Mapping!$E$17,0))</f>
        <v>-5.000000000000001E-2</v>
      </c>
      <c r="R117" s="1">
        <f>IF(Signals_US!K117=1,Signals_US!Q117*Mapping!$E$18,IF(Signals_US!K117=-1,-Signals_US!R117*Mapping!$E$18,0))</f>
        <v>5.000000000000001E-2</v>
      </c>
      <c r="S117" s="1">
        <f>IF(Signals_US!M117=1,Signals_US!Q117*Mapping!$E$19,IF(Signals_US!M117=-1,-Signals_US!R117*Mapping!$E$19,0))</f>
        <v>0</v>
      </c>
      <c r="T117" s="1">
        <f>IF(Signals_US!L117=1,Signals_US!Q117*Mapping!$E$20,IF(Signals_US!L117=-1,-Signals_US!R117*Mapping!$E$20,0))</f>
        <v>5.000000000000001E-2</v>
      </c>
      <c r="U117" s="1">
        <f t="shared" si="1"/>
        <v>0</v>
      </c>
    </row>
    <row r="118" spans="1:21">
      <c r="A118" s="5">
        <f>Signals_US!B118</f>
        <v>42583</v>
      </c>
      <c r="B118" s="1">
        <f>0</f>
        <v>0</v>
      </c>
      <c r="C118" s="1">
        <f>IF(Signals_US!F118=1,Signals_US!Q118*Mapping!$E$3,IF(Signals_US!F118=-1,-Signals_US!R118*Mapping!$E$3,0))</f>
        <v>-1.666666666666667E-2</v>
      </c>
      <c r="D118" s="1">
        <f>IF(Signals_US!C118=1,Signals_US!Q118*Mapping!$E$4,IF(Signals_US!C118=-1,-Signals_US!R118*Mapping!$E$4,0))</f>
        <v>-1.666666666666667E-2</v>
      </c>
      <c r="E118" s="1">
        <f>IF(Signals_US!C118=1,Signals_US!Q118*Mapping!$E$5,IF(Signals_US!C118=-1,-Signals_US!R118*Mapping!$E$5,0))</f>
        <v>-1.666666666666667E-2</v>
      </c>
      <c r="F118" s="1">
        <f>IF(Signals_US!C118=1,Signals_US!Q118*Mapping!$E$6,IF(Signals_US!C118=-1,-Signals_US!R118*Mapping!$E$6,0))</f>
        <v>-1.666666666666667E-2</v>
      </c>
      <c r="G118" s="1">
        <f>IF(Signals_US!F118=1,Signals_US!Q118*Mapping!$E$7,IF(Signals_US!F118=-1,-Signals_US!R118*Mapping!$E$7,0))</f>
        <v>-1.666666666666667E-2</v>
      </c>
      <c r="H118" s="1">
        <f>IF(Signals_US!D118=1,Signals_US!Q118*Mapping!$E$8,IF(Signals_US!D118=-1,-Signals_US!R118*Mapping!$E$8,0))</f>
        <v>0</v>
      </c>
      <c r="I118" s="1">
        <f>IF(Signals_US!G118=1,Signals_US!Q118*Mapping!$E$9,IF(Signals_US!G118=-1,-Signals_US!R118*Mapping!$E$9,0))</f>
        <v>0</v>
      </c>
      <c r="J118" s="1">
        <f>IF(Signals_US!H118=1,Signals_US!Q118*Mapping!$E$10,IF(Signals_US!H118=-1,-Signals_US!R118*Mapping!$E$10,0))</f>
        <v>0</v>
      </c>
      <c r="K118" s="1">
        <f>IF(Signals_US!F118=1,Signals_US!Q118*Mapping!$E$11,IF(Signals_US!F118=-1,-Signals_US!R118*Mapping!$E$11,0))</f>
        <v>-1.666666666666667E-2</v>
      </c>
      <c r="L118" s="1">
        <f>IF(Signals_US!N118=1,Signals_US!Q118*Mapping!$E$12,IF(Signals_US!N118=-1,-Signals_US!R118*Mapping!$E$12,0))</f>
        <v>0</v>
      </c>
      <c r="M118" s="1">
        <f>IF(Signals_US!I118=1,Signals_US!Q118*Mapping!$E$13,IF(Signals_US!I118=-1,-Signals_US!R118*Mapping!$E$13,0))</f>
        <v>5.000000000000001E-2</v>
      </c>
      <c r="N118" s="1">
        <f>0</f>
        <v>0</v>
      </c>
      <c r="O118" s="1">
        <f>0</f>
        <v>0</v>
      </c>
      <c r="P118" s="1">
        <f>IF(Signals_US!E118=1,Signals_US!Q118*Mapping!$E$16,IF(Signals_US!E118=-1,-Signals_US!R118*Mapping!$E$16,0))</f>
        <v>0</v>
      </c>
      <c r="Q118" s="1">
        <f>IF(Signals_US!J118=1,Signals_US!Q118*Mapping!$E$17,IF(Signals_US!J118=-1,-Signals_US!R118*Mapping!$E$17,0))</f>
        <v>-5.000000000000001E-2</v>
      </c>
      <c r="R118" s="1">
        <f>IF(Signals_US!K118=1,Signals_US!Q118*Mapping!$E$18,IF(Signals_US!K118=-1,-Signals_US!R118*Mapping!$E$18,0))</f>
        <v>5.000000000000001E-2</v>
      </c>
      <c r="S118" s="1">
        <f>IF(Signals_US!M118=1,Signals_US!Q118*Mapping!$E$19,IF(Signals_US!M118=-1,-Signals_US!R118*Mapping!$E$19,0))</f>
        <v>0</v>
      </c>
      <c r="T118" s="1">
        <f>IF(Signals_US!L118=1,Signals_US!Q118*Mapping!$E$20,IF(Signals_US!L118=-1,-Signals_US!R118*Mapping!$E$20,0))</f>
        <v>5.000000000000001E-2</v>
      </c>
      <c r="U118" s="1">
        <f t="shared" si="1"/>
        <v>0</v>
      </c>
    </row>
    <row r="119" spans="1:21">
      <c r="A119" s="5">
        <f>Signals_US!B119</f>
        <v>42614</v>
      </c>
      <c r="B119" s="1">
        <f>0</f>
        <v>0</v>
      </c>
      <c r="C119" s="1">
        <f>IF(Signals_US!F119=1,Signals_US!Q119*Mapping!$E$3,IF(Signals_US!F119=-1,-Signals_US!R119*Mapping!$E$3,0))</f>
        <v>0</v>
      </c>
      <c r="D119" s="1">
        <f>IF(Signals_US!C119=1,Signals_US!Q119*Mapping!$E$4,IF(Signals_US!C119=-1,-Signals_US!R119*Mapping!$E$4,0))</f>
        <v>-1.666666666666667E-2</v>
      </c>
      <c r="E119" s="1">
        <f>IF(Signals_US!C119=1,Signals_US!Q119*Mapping!$E$5,IF(Signals_US!C119=-1,-Signals_US!R119*Mapping!$E$5,0))</f>
        <v>-1.666666666666667E-2</v>
      </c>
      <c r="F119" s="1">
        <f>IF(Signals_US!C119=1,Signals_US!Q119*Mapping!$E$6,IF(Signals_US!C119=-1,-Signals_US!R119*Mapping!$E$6,0))</f>
        <v>-1.666666666666667E-2</v>
      </c>
      <c r="G119" s="1">
        <f>IF(Signals_US!F119=1,Signals_US!Q119*Mapping!$E$7,IF(Signals_US!F119=-1,-Signals_US!R119*Mapping!$E$7,0))</f>
        <v>0</v>
      </c>
      <c r="H119" s="1">
        <f>IF(Signals_US!D119=1,Signals_US!Q119*Mapping!$E$8,IF(Signals_US!D119=-1,-Signals_US!R119*Mapping!$E$8,0))</f>
        <v>0</v>
      </c>
      <c r="I119" s="1">
        <f>IF(Signals_US!G119=1,Signals_US!Q119*Mapping!$E$9,IF(Signals_US!G119=-1,-Signals_US!R119*Mapping!$E$9,0))</f>
        <v>5.000000000000001E-2</v>
      </c>
      <c r="J119" s="1">
        <f>IF(Signals_US!H119=1,Signals_US!Q119*Mapping!$E$10,IF(Signals_US!H119=-1,-Signals_US!R119*Mapping!$E$10,0))</f>
        <v>0</v>
      </c>
      <c r="K119" s="1">
        <f>IF(Signals_US!F119=1,Signals_US!Q119*Mapping!$E$11,IF(Signals_US!F119=-1,-Signals_US!R119*Mapping!$E$11,0))</f>
        <v>0</v>
      </c>
      <c r="L119" s="1">
        <f>IF(Signals_US!N119=1,Signals_US!Q119*Mapping!$E$12,IF(Signals_US!N119=-1,-Signals_US!R119*Mapping!$E$12,0))</f>
        <v>5.000000000000001E-2</v>
      </c>
      <c r="M119" s="1">
        <f>IF(Signals_US!I119=1,Signals_US!Q119*Mapping!$E$13,IF(Signals_US!I119=-1,-Signals_US!R119*Mapping!$E$13,0))</f>
        <v>-5.000000000000001E-2</v>
      </c>
      <c r="N119" s="1">
        <f>0</f>
        <v>0</v>
      </c>
      <c r="O119" s="1">
        <f>0</f>
        <v>0</v>
      </c>
      <c r="P119" s="1">
        <f>IF(Signals_US!E119=1,Signals_US!Q119*Mapping!$E$16,IF(Signals_US!E119=-1,-Signals_US!R119*Mapping!$E$16,0))</f>
        <v>5.000000000000001E-2</v>
      </c>
      <c r="Q119" s="1">
        <f>IF(Signals_US!J119=1,Signals_US!Q119*Mapping!$E$17,IF(Signals_US!J119=-1,-Signals_US!R119*Mapping!$E$17,0))</f>
        <v>0</v>
      </c>
      <c r="R119" s="1">
        <f>IF(Signals_US!K119=1,Signals_US!Q119*Mapping!$E$18,IF(Signals_US!K119=-1,-Signals_US!R119*Mapping!$E$18,0))</f>
        <v>0</v>
      </c>
      <c r="S119" s="1">
        <f>IF(Signals_US!M119=1,Signals_US!Q119*Mapping!$E$19,IF(Signals_US!M119=-1,-Signals_US!R119*Mapping!$E$19,0))</f>
        <v>0</v>
      </c>
      <c r="T119" s="1">
        <f>IF(Signals_US!L119=1,Signals_US!Q119*Mapping!$E$20,IF(Signals_US!L119=-1,-Signals_US!R119*Mapping!$E$20,0))</f>
        <v>-5.000000000000001E-2</v>
      </c>
      <c r="U119" s="1">
        <f t="shared" si="1"/>
        <v>0</v>
      </c>
    </row>
    <row r="120" spans="1:21">
      <c r="A120" s="5">
        <f>Signals_US!B120</f>
        <v>42644</v>
      </c>
      <c r="B120" s="1">
        <f>0</f>
        <v>0</v>
      </c>
      <c r="C120" s="1">
        <f>IF(Signals_US!F120=1,Signals_US!Q120*Mapping!$E$3,IF(Signals_US!F120=-1,-Signals_US!R120*Mapping!$E$3,0))</f>
        <v>1.666666666666667E-2</v>
      </c>
      <c r="D120" s="1">
        <f>IF(Signals_US!C120=1,Signals_US!Q120*Mapping!$E$4,IF(Signals_US!C120=-1,-Signals_US!R120*Mapping!$E$4,0))</f>
        <v>0</v>
      </c>
      <c r="E120" s="1">
        <f>IF(Signals_US!C120=1,Signals_US!Q120*Mapping!$E$5,IF(Signals_US!C120=-1,-Signals_US!R120*Mapping!$E$5,0))</f>
        <v>0</v>
      </c>
      <c r="F120" s="1">
        <f>IF(Signals_US!C120=1,Signals_US!Q120*Mapping!$E$6,IF(Signals_US!C120=-1,-Signals_US!R120*Mapping!$E$6,0))</f>
        <v>0</v>
      </c>
      <c r="G120" s="1">
        <f>IF(Signals_US!F120=1,Signals_US!Q120*Mapping!$E$7,IF(Signals_US!F120=-1,-Signals_US!R120*Mapping!$E$7,0))</f>
        <v>1.666666666666667E-2</v>
      </c>
      <c r="H120" s="1">
        <f>IF(Signals_US!D120=1,Signals_US!Q120*Mapping!$E$8,IF(Signals_US!D120=-1,-Signals_US!R120*Mapping!$E$8,0))</f>
        <v>-5.000000000000001E-2</v>
      </c>
      <c r="I120" s="1">
        <f>IF(Signals_US!G120=1,Signals_US!Q120*Mapping!$E$9,IF(Signals_US!G120=-1,-Signals_US!R120*Mapping!$E$9,0))</f>
        <v>0</v>
      </c>
      <c r="J120" s="1">
        <f>IF(Signals_US!H120=1,Signals_US!Q120*Mapping!$E$10,IF(Signals_US!H120=-1,-Signals_US!R120*Mapping!$E$10,0))</f>
        <v>5.000000000000001E-2</v>
      </c>
      <c r="K120" s="1">
        <f>IF(Signals_US!F120=1,Signals_US!Q120*Mapping!$E$11,IF(Signals_US!F120=-1,-Signals_US!R120*Mapping!$E$11,0))</f>
        <v>1.666666666666667E-2</v>
      </c>
      <c r="L120" s="1">
        <f>IF(Signals_US!N120=1,Signals_US!Q120*Mapping!$E$12,IF(Signals_US!N120=-1,-Signals_US!R120*Mapping!$E$12,0))</f>
        <v>0</v>
      </c>
      <c r="M120" s="1">
        <f>IF(Signals_US!I120=1,Signals_US!Q120*Mapping!$E$13,IF(Signals_US!I120=-1,-Signals_US!R120*Mapping!$E$13,0))</f>
        <v>-5.000000000000001E-2</v>
      </c>
      <c r="N120" s="1">
        <f>0</f>
        <v>0</v>
      </c>
      <c r="O120" s="1">
        <f>0</f>
        <v>0</v>
      </c>
      <c r="P120" s="1">
        <f>IF(Signals_US!E120=1,Signals_US!Q120*Mapping!$E$16,IF(Signals_US!E120=-1,-Signals_US!R120*Mapping!$E$16,0))</f>
        <v>0</v>
      </c>
      <c r="Q120" s="1">
        <f>IF(Signals_US!J120=1,Signals_US!Q120*Mapping!$E$17,IF(Signals_US!J120=-1,-Signals_US!R120*Mapping!$E$17,0))</f>
        <v>0</v>
      </c>
      <c r="R120" s="1">
        <f>IF(Signals_US!K120=1,Signals_US!Q120*Mapping!$E$18,IF(Signals_US!K120=-1,-Signals_US!R120*Mapping!$E$18,0))</f>
        <v>5.000000000000001E-2</v>
      </c>
      <c r="S120" s="1">
        <f>IF(Signals_US!M120=1,Signals_US!Q120*Mapping!$E$19,IF(Signals_US!M120=-1,-Signals_US!R120*Mapping!$E$19,0))</f>
        <v>0</v>
      </c>
      <c r="T120" s="1">
        <f>IF(Signals_US!L120=1,Signals_US!Q120*Mapping!$E$20,IF(Signals_US!L120=-1,-Signals_US!R120*Mapping!$E$20,0))</f>
        <v>-5.000000000000001E-2</v>
      </c>
      <c r="U120" s="1">
        <f t="shared" si="1"/>
        <v>0</v>
      </c>
    </row>
    <row r="121" spans="1:21">
      <c r="A121" s="5">
        <f>Signals_US!B121</f>
        <v>42675</v>
      </c>
      <c r="B121" s="1">
        <f>0</f>
        <v>0</v>
      </c>
      <c r="C121" s="1">
        <f>IF(Signals_US!F121=1,Signals_US!Q121*Mapping!$E$3,IF(Signals_US!F121=-1,-Signals_US!R121*Mapping!$E$3,0))</f>
        <v>1.666666666666667E-2</v>
      </c>
      <c r="D121" s="1">
        <f>IF(Signals_US!C121=1,Signals_US!Q121*Mapping!$E$4,IF(Signals_US!C121=-1,-Signals_US!R121*Mapping!$E$4,0))</f>
        <v>0</v>
      </c>
      <c r="E121" s="1">
        <f>IF(Signals_US!C121=1,Signals_US!Q121*Mapping!$E$5,IF(Signals_US!C121=-1,-Signals_US!R121*Mapping!$E$5,0))</f>
        <v>0</v>
      </c>
      <c r="F121" s="1">
        <f>IF(Signals_US!C121=1,Signals_US!Q121*Mapping!$E$6,IF(Signals_US!C121=-1,-Signals_US!R121*Mapping!$E$6,0))</f>
        <v>0</v>
      </c>
      <c r="G121" s="1">
        <f>IF(Signals_US!F121=1,Signals_US!Q121*Mapping!$E$7,IF(Signals_US!F121=-1,-Signals_US!R121*Mapping!$E$7,0))</f>
        <v>1.666666666666667E-2</v>
      </c>
      <c r="H121" s="1">
        <f>IF(Signals_US!D121=1,Signals_US!Q121*Mapping!$E$8,IF(Signals_US!D121=-1,-Signals_US!R121*Mapping!$E$8,0))</f>
        <v>-5.000000000000001E-2</v>
      </c>
      <c r="I121" s="1">
        <f>IF(Signals_US!G121=1,Signals_US!Q121*Mapping!$E$9,IF(Signals_US!G121=-1,-Signals_US!R121*Mapping!$E$9,0))</f>
        <v>0</v>
      </c>
      <c r="J121" s="1">
        <f>IF(Signals_US!H121=1,Signals_US!Q121*Mapping!$E$10,IF(Signals_US!H121=-1,-Signals_US!R121*Mapping!$E$10,0))</f>
        <v>5.000000000000001E-2</v>
      </c>
      <c r="K121" s="1">
        <f>IF(Signals_US!F121=1,Signals_US!Q121*Mapping!$E$11,IF(Signals_US!F121=-1,-Signals_US!R121*Mapping!$E$11,0))</f>
        <v>1.666666666666667E-2</v>
      </c>
      <c r="L121" s="1">
        <f>IF(Signals_US!N121=1,Signals_US!Q121*Mapping!$E$12,IF(Signals_US!N121=-1,-Signals_US!R121*Mapping!$E$12,0))</f>
        <v>5.000000000000001E-2</v>
      </c>
      <c r="M121" s="1">
        <f>IF(Signals_US!I121=1,Signals_US!Q121*Mapping!$E$13,IF(Signals_US!I121=-1,-Signals_US!R121*Mapping!$E$13,0))</f>
        <v>0</v>
      </c>
      <c r="N121" s="1">
        <f>0</f>
        <v>0</v>
      </c>
      <c r="O121" s="1">
        <f>0</f>
        <v>0</v>
      </c>
      <c r="P121" s="1">
        <f>IF(Signals_US!E121=1,Signals_US!Q121*Mapping!$E$16,IF(Signals_US!E121=-1,-Signals_US!R121*Mapping!$E$16,0))</f>
        <v>0</v>
      </c>
      <c r="Q121" s="1">
        <f>IF(Signals_US!J121=1,Signals_US!Q121*Mapping!$E$17,IF(Signals_US!J121=-1,-Signals_US!R121*Mapping!$E$17,0))</f>
        <v>-5.000000000000001E-2</v>
      </c>
      <c r="R121" s="1">
        <f>IF(Signals_US!K121=1,Signals_US!Q121*Mapping!$E$18,IF(Signals_US!K121=-1,-Signals_US!R121*Mapping!$E$18,0))</f>
        <v>0</v>
      </c>
      <c r="S121" s="1">
        <f>IF(Signals_US!M121=1,Signals_US!Q121*Mapping!$E$19,IF(Signals_US!M121=-1,-Signals_US!R121*Mapping!$E$19,0))</f>
        <v>0</v>
      </c>
      <c r="T121" s="1">
        <f>IF(Signals_US!L121=1,Signals_US!Q121*Mapping!$E$20,IF(Signals_US!L121=-1,-Signals_US!R121*Mapping!$E$20,0))</f>
        <v>-5.000000000000001E-2</v>
      </c>
      <c r="U121" s="1">
        <f t="shared" si="1"/>
        <v>0</v>
      </c>
    </row>
    <row r="122" spans="1:21">
      <c r="A122" s="5">
        <f>Signals_US!B122</f>
        <v>42705</v>
      </c>
      <c r="B122" s="1">
        <f>0</f>
        <v>0</v>
      </c>
      <c r="C122" s="1">
        <f>IF(Signals_US!F122=1,Signals_US!Q122*Mapping!$E$3,IF(Signals_US!F122=-1,-Signals_US!R122*Mapping!$E$3,0))</f>
        <v>0</v>
      </c>
      <c r="D122" s="1">
        <f>IF(Signals_US!C122=1,Signals_US!Q122*Mapping!$E$4,IF(Signals_US!C122=-1,-Signals_US!R122*Mapping!$E$4,0))</f>
        <v>-1.666666666666667E-2</v>
      </c>
      <c r="E122" s="1">
        <f>IF(Signals_US!C122=1,Signals_US!Q122*Mapping!$E$5,IF(Signals_US!C122=-1,-Signals_US!R122*Mapping!$E$5,0))</f>
        <v>-1.666666666666667E-2</v>
      </c>
      <c r="F122" s="1">
        <f>IF(Signals_US!C122=1,Signals_US!Q122*Mapping!$E$6,IF(Signals_US!C122=-1,-Signals_US!R122*Mapping!$E$6,0))</f>
        <v>-1.666666666666667E-2</v>
      </c>
      <c r="G122" s="1">
        <f>IF(Signals_US!F122=1,Signals_US!Q122*Mapping!$E$7,IF(Signals_US!F122=-1,-Signals_US!R122*Mapping!$E$7,0))</f>
        <v>0</v>
      </c>
      <c r="H122" s="1">
        <f>IF(Signals_US!D122=1,Signals_US!Q122*Mapping!$E$8,IF(Signals_US!D122=-1,-Signals_US!R122*Mapping!$E$8,0))</f>
        <v>5.000000000000001E-2</v>
      </c>
      <c r="I122" s="1">
        <f>IF(Signals_US!G122=1,Signals_US!Q122*Mapping!$E$9,IF(Signals_US!G122=-1,-Signals_US!R122*Mapping!$E$9,0))</f>
        <v>0</v>
      </c>
      <c r="J122" s="1">
        <f>IF(Signals_US!H122=1,Signals_US!Q122*Mapping!$E$10,IF(Signals_US!H122=-1,-Signals_US!R122*Mapping!$E$10,0))</f>
        <v>0</v>
      </c>
      <c r="K122" s="1">
        <f>IF(Signals_US!F122=1,Signals_US!Q122*Mapping!$E$11,IF(Signals_US!F122=-1,-Signals_US!R122*Mapping!$E$11,0))</f>
        <v>0</v>
      </c>
      <c r="L122" s="1">
        <f>IF(Signals_US!N122=1,Signals_US!Q122*Mapping!$E$12,IF(Signals_US!N122=-1,-Signals_US!R122*Mapping!$E$12,0))</f>
        <v>0</v>
      </c>
      <c r="M122" s="1">
        <f>IF(Signals_US!I122=1,Signals_US!Q122*Mapping!$E$13,IF(Signals_US!I122=-1,-Signals_US!R122*Mapping!$E$13,0))</f>
        <v>-5.000000000000001E-2</v>
      </c>
      <c r="N122" s="1">
        <f>0</f>
        <v>0</v>
      </c>
      <c r="O122" s="1">
        <f>0</f>
        <v>0</v>
      </c>
      <c r="P122" s="1">
        <f>IF(Signals_US!E122=1,Signals_US!Q122*Mapping!$E$16,IF(Signals_US!E122=-1,-Signals_US!R122*Mapping!$E$16,0))</f>
        <v>5.000000000000001E-2</v>
      </c>
      <c r="Q122" s="1">
        <f>IF(Signals_US!J122=1,Signals_US!Q122*Mapping!$E$17,IF(Signals_US!J122=-1,-Signals_US!R122*Mapping!$E$17,0))</f>
        <v>5.000000000000001E-2</v>
      </c>
      <c r="R122" s="1">
        <f>IF(Signals_US!K122=1,Signals_US!Q122*Mapping!$E$18,IF(Signals_US!K122=-1,-Signals_US!R122*Mapping!$E$18,0))</f>
        <v>-5.000000000000001E-2</v>
      </c>
      <c r="S122" s="1">
        <f>IF(Signals_US!M122=1,Signals_US!Q122*Mapping!$E$19,IF(Signals_US!M122=-1,-Signals_US!R122*Mapping!$E$19,0))</f>
        <v>0</v>
      </c>
      <c r="T122" s="1">
        <f>IF(Signals_US!L122=1,Signals_US!Q122*Mapping!$E$20,IF(Signals_US!L122=-1,-Signals_US!R122*Mapping!$E$20,0))</f>
        <v>0</v>
      </c>
      <c r="U122" s="1">
        <f t="shared" si="1"/>
        <v>0</v>
      </c>
    </row>
    <row r="123" spans="1:21">
      <c r="A123" s="5">
        <f>Signals_US!B123</f>
        <v>42736</v>
      </c>
      <c r="B123" s="1">
        <f>0</f>
        <v>0</v>
      </c>
      <c r="C123" s="1">
        <f>IF(Signals_US!F123=1,Signals_US!Q123*Mapping!$E$3,IF(Signals_US!F123=-1,-Signals_US!R123*Mapping!$E$3,0))</f>
        <v>0</v>
      </c>
      <c r="D123" s="1">
        <f>IF(Signals_US!C123=1,Signals_US!Q123*Mapping!$E$4,IF(Signals_US!C123=-1,-Signals_US!R123*Mapping!$E$4,0))</f>
        <v>1.666666666666667E-2</v>
      </c>
      <c r="E123" s="1">
        <f>IF(Signals_US!C123=1,Signals_US!Q123*Mapping!$E$5,IF(Signals_US!C123=-1,-Signals_US!R123*Mapping!$E$5,0))</f>
        <v>1.666666666666667E-2</v>
      </c>
      <c r="F123" s="1">
        <f>IF(Signals_US!C123=1,Signals_US!Q123*Mapping!$E$6,IF(Signals_US!C123=-1,-Signals_US!R123*Mapping!$E$6,0))</f>
        <v>1.666666666666667E-2</v>
      </c>
      <c r="G123" s="1">
        <f>IF(Signals_US!F123=1,Signals_US!Q123*Mapping!$E$7,IF(Signals_US!F123=-1,-Signals_US!R123*Mapping!$E$7,0))</f>
        <v>0</v>
      </c>
      <c r="H123" s="1">
        <f>IF(Signals_US!D123=1,Signals_US!Q123*Mapping!$E$8,IF(Signals_US!D123=-1,-Signals_US!R123*Mapping!$E$8,0))</f>
        <v>0</v>
      </c>
      <c r="I123" s="1">
        <f>IF(Signals_US!G123=1,Signals_US!Q123*Mapping!$E$9,IF(Signals_US!G123=-1,-Signals_US!R123*Mapping!$E$9,0))</f>
        <v>5.000000000000001E-2</v>
      </c>
      <c r="J123" s="1">
        <f>IF(Signals_US!H123=1,Signals_US!Q123*Mapping!$E$10,IF(Signals_US!H123=-1,-Signals_US!R123*Mapping!$E$10,0))</f>
        <v>0</v>
      </c>
      <c r="K123" s="1">
        <f>IF(Signals_US!F123=1,Signals_US!Q123*Mapping!$E$11,IF(Signals_US!F123=-1,-Signals_US!R123*Mapping!$E$11,0))</f>
        <v>0</v>
      </c>
      <c r="L123" s="1">
        <f>IF(Signals_US!N123=1,Signals_US!Q123*Mapping!$E$12,IF(Signals_US!N123=-1,-Signals_US!R123*Mapping!$E$12,0))</f>
        <v>0</v>
      </c>
      <c r="M123" s="1">
        <f>IF(Signals_US!I123=1,Signals_US!Q123*Mapping!$E$13,IF(Signals_US!I123=-1,-Signals_US!R123*Mapping!$E$13,0))</f>
        <v>-5.000000000000001E-2</v>
      </c>
      <c r="N123" s="1">
        <f>0</f>
        <v>0</v>
      </c>
      <c r="O123" s="1">
        <f>0</f>
        <v>0</v>
      </c>
      <c r="P123" s="1">
        <f>IF(Signals_US!E123=1,Signals_US!Q123*Mapping!$E$16,IF(Signals_US!E123=-1,-Signals_US!R123*Mapping!$E$16,0))</f>
        <v>0</v>
      </c>
      <c r="Q123" s="1">
        <f>IF(Signals_US!J123=1,Signals_US!Q123*Mapping!$E$17,IF(Signals_US!J123=-1,-Signals_US!R123*Mapping!$E$17,0))</f>
        <v>5.000000000000001E-2</v>
      </c>
      <c r="R123" s="1">
        <f>IF(Signals_US!K123=1,Signals_US!Q123*Mapping!$E$18,IF(Signals_US!K123=-1,-Signals_US!R123*Mapping!$E$18,0))</f>
        <v>-5.000000000000001E-2</v>
      </c>
      <c r="S123" s="1">
        <f>IF(Signals_US!M123=1,Signals_US!Q123*Mapping!$E$19,IF(Signals_US!M123=-1,-Signals_US!R123*Mapping!$E$19,0))</f>
        <v>0</v>
      </c>
      <c r="T123" s="1">
        <f>IF(Signals_US!L123=1,Signals_US!Q123*Mapping!$E$20,IF(Signals_US!L123=-1,-Signals_US!R123*Mapping!$E$20,0))</f>
        <v>-5.000000000000001E-2</v>
      </c>
      <c r="U123" s="1">
        <f t="shared" si="1"/>
        <v>0</v>
      </c>
    </row>
    <row r="124" spans="1:21">
      <c r="A124" s="5">
        <f>Signals_US!B124</f>
        <v>42767</v>
      </c>
      <c r="B124" s="1">
        <f>0</f>
        <v>0</v>
      </c>
      <c r="C124" s="1">
        <f>IF(Signals_US!F124=1,Signals_US!Q124*Mapping!$E$3,IF(Signals_US!F124=-1,-Signals_US!R124*Mapping!$E$3,0))</f>
        <v>1.666666666666667E-2</v>
      </c>
      <c r="D124" s="1">
        <f>IF(Signals_US!C124=1,Signals_US!Q124*Mapping!$E$4,IF(Signals_US!C124=-1,-Signals_US!R124*Mapping!$E$4,0))</f>
        <v>0</v>
      </c>
      <c r="E124" s="1">
        <f>IF(Signals_US!C124=1,Signals_US!Q124*Mapping!$E$5,IF(Signals_US!C124=-1,-Signals_US!R124*Mapping!$E$5,0))</f>
        <v>0</v>
      </c>
      <c r="F124" s="1">
        <f>IF(Signals_US!C124=1,Signals_US!Q124*Mapping!$E$6,IF(Signals_US!C124=-1,-Signals_US!R124*Mapping!$E$6,0))</f>
        <v>0</v>
      </c>
      <c r="G124" s="1">
        <f>IF(Signals_US!F124=1,Signals_US!Q124*Mapping!$E$7,IF(Signals_US!F124=-1,-Signals_US!R124*Mapping!$E$7,0))</f>
        <v>1.666666666666667E-2</v>
      </c>
      <c r="H124" s="1">
        <f>IF(Signals_US!D124=1,Signals_US!Q124*Mapping!$E$8,IF(Signals_US!D124=-1,-Signals_US!R124*Mapping!$E$8,0))</f>
        <v>-5.000000000000001E-2</v>
      </c>
      <c r="I124" s="1">
        <f>IF(Signals_US!G124=1,Signals_US!Q124*Mapping!$E$9,IF(Signals_US!G124=-1,-Signals_US!R124*Mapping!$E$9,0))</f>
        <v>0</v>
      </c>
      <c r="J124" s="1">
        <f>IF(Signals_US!H124=1,Signals_US!Q124*Mapping!$E$10,IF(Signals_US!H124=-1,-Signals_US!R124*Mapping!$E$10,0))</f>
        <v>5.000000000000001E-2</v>
      </c>
      <c r="K124" s="1">
        <f>IF(Signals_US!F124=1,Signals_US!Q124*Mapping!$E$11,IF(Signals_US!F124=-1,-Signals_US!R124*Mapping!$E$11,0))</f>
        <v>1.666666666666667E-2</v>
      </c>
      <c r="L124" s="1">
        <f>IF(Signals_US!N124=1,Signals_US!Q124*Mapping!$E$12,IF(Signals_US!N124=-1,-Signals_US!R124*Mapping!$E$12,0))</f>
        <v>-5.000000000000001E-2</v>
      </c>
      <c r="M124" s="1">
        <f>IF(Signals_US!I124=1,Signals_US!Q124*Mapping!$E$13,IF(Signals_US!I124=-1,-Signals_US!R124*Mapping!$E$13,0))</f>
        <v>5.000000000000001E-2</v>
      </c>
      <c r="N124" s="1">
        <f>0</f>
        <v>0</v>
      </c>
      <c r="O124" s="1">
        <f>0</f>
        <v>0</v>
      </c>
      <c r="P124" s="1">
        <f>IF(Signals_US!E124=1,Signals_US!Q124*Mapping!$E$16,IF(Signals_US!E124=-1,-Signals_US!R124*Mapping!$E$16,0))</f>
        <v>-5.000000000000001E-2</v>
      </c>
      <c r="Q124" s="1">
        <f>IF(Signals_US!J124=1,Signals_US!Q124*Mapping!$E$17,IF(Signals_US!J124=-1,-Signals_US!R124*Mapping!$E$17,0))</f>
        <v>0</v>
      </c>
      <c r="R124" s="1">
        <f>IF(Signals_US!K124=1,Signals_US!Q124*Mapping!$E$18,IF(Signals_US!K124=-1,-Signals_US!R124*Mapping!$E$18,0))</f>
        <v>0</v>
      </c>
      <c r="S124" s="1">
        <f>IF(Signals_US!M124=1,Signals_US!Q124*Mapping!$E$19,IF(Signals_US!M124=-1,-Signals_US!R124*Mapping!$E$19,0))</f>
        <v>0</v>
      </c>
      <c r="T124" s="1">
        <f>IF(Signals_US!L124=1,Signals_US!Q124*Mapping!$E$20,IF(Signals_US!L124=-1,-Signals_US!R124*Mapping!$E$20,0))</f>
        <v>0</v>
      </c>
      <c r="U124" s="1">
        <f t="shared" si="1"/>
        <v>0</v>
      </c>
    </row>
    <row r="125" spans="1:21">
      <c r="A125" s="5">
        <f>Signals_US!B125</f>
        <v>42795</v>
      </c>
      <c r="B125" s="1">
        <f>0</f>
        <v>0</v>
      </c>
      <c r="C125" s="1">
        <f>IF(Signals_US!F125=1,Signals_US!Q125*Mapping!$E$3,IF(Signals_US!F125=-1,-Signals_US!R125*Mapping!$E$3,0))</f>
        <v>0</v>
      </c>
      <c r="D125" s="1">
        <f>IF(Signals_US!C125=1,Signals_US!Q125*Mapping!$E$4,IF(Signals_US!C125=-1,-Signals_US!R125*Mapping!$E$4,0))</f>
        <v>1.666666666666667E-2</v>
      </c>
      <c r="E125" s="1">
        <f>IF(Signals_US!C125=1,Signals_US!Q125*Mapping!$E$5,IF(Signals_US!C125=-1,-Signals_US!R125*Mapping!$E$5,0))</f>
        <v>1.666666666666667E-2</v>
      </c>
      <c r="F125" s="1">
        <f>IF(Signals_US!C125=1,Signals_US!Q125*Mapping!$E$6,IF(Signals_US!C125=-1,-Signals_US!R125*Mapping!$E$6,0))</f>
        <v>1.666666666666667E-2</v>
      </c>
      <c r="G125" s="1">
        <f>IF(Signals_US!F125=1,Signals_US!Q125*Mapping!$E$7,IF(Signals_US!F125=-1,-Signals_US!R125*Mapping!$E$7,0))</f>
        <v>0</v>
      </c>
      <c r="H125" s="1">
        <f>IF(Signals_US!D125=1,Signals_US!Q125*Mapping!$E$8,IF(Signals_US!D125=-1,-Signals_US!R125*Mapping!$E$8,0))</f>
        <v>-5.000000000000001E-2</v>
      </c>
      <c r="I125" s="1">
        <f>IF(Signals_US!G125=1,Signals_US!Q125*Mapping!$E$9,IF(Signals_US!G125=-1,-Signals_US!R125*Mapping!$E$9,0))</f>
        <v>0</v>
      </c>
      <c r="J125" s="1">
        <f>IF(Signals_US!H125=1,Signals_US!Q125*Mapping!$E$10,IF(Signals_US!H125=-1,-Signals_US!R125*Mapping!$E$10,0))</f>
        <v>0</v>
      </c>
      <c r="K125" s="1">
        <f>IF(Signals_US!F125=1,Signals_US!Q125*Mapping!$E$11,IF(Signals_US!F125=-1,-Signals_US!R125*Mapping!$E$11,0))</f>
        <v>0</v>
      </c>
      <c r="L125" s="1">
        <f>IF(Signals_US!N125=1,Signals_US!Q125*Mapping!$E$12,IF(Signals_US!N125=-1,-Signals_US!R125*Mapping!$E$12,0))</f>
        <v>0</v>
      </c>
      <c r="M125" s="1">
        <f>IF(Signals_US!I125=1,Signals_US!Q125*Mapping!$E$13,IF(Signals_US!I125=-1,-Signals_US!R125*Mapping!$E$13,0))</f>
        <v>5.000000000000001E-2</v>
      </c>
      <c r="N125" s="1">
        <f>0</f>
        <v>0</v>
      </c>
      <c r="O125" s="1">
        <f>0</f>
        <v>0</v>
      </c>
      <c r="P125" s="1">
        <f>IF(Signals_US!E125=1,Signals_US!Q125*Mapping!$E$16,IF(Signals_US!E125=-1,-Signals_US!R125*Mapping!$E$16,0))</f>
        <v>0</v>
      </c>
      <c r="Q125" s="1">
        <f>IF(Signals_US!J125=1,Signals_US!Q125*Mapping!$E$17,IF(Signals_US!J125=-1,-Signals_US!R125*Mapping!$E$17,0))</f>
        <v>5.000000000000001E-2</v>
      </c>
      <c r="R125" s="1">
        <f>IF(Signals_US!K125=1,Signals_US!Q125*Mapping!$E$18,IF(Signals_US!K125=-1,-Signals_US!R125*Mapping!$E$18,0))</f>
        <v>-5.000000000000001E-2</v>
      </c>
      <c r="S125" s="1">
        <f>IF(Signals_US!M125=1,Signals_US!Q125*Mapping!$E$19,IF(Signals_US!M125=-1,-Signals_US!R125*Mapping!$E$19,0))</f>
        <v>0</v>
      </c>
      <c r="T125" s="1">
        <f>IF(Signals_US!L125=1,Signals_US!Q125*Mapping!$E$20,IF(Signals_US!L125=-1,-Signals_US!R125*Mapping!$E$20,0))</f>
        <v>-5.000000000000001E-2</v>
      </c>
      <c r="U125" s="1">
        <f t="shared" si="1"/>
        <v>0</v>
      </c>
    </row>
    <row r="126" spans="1:21">
      <c r="A126" s="5">
        <f>Signals_US!B126</f>
        <v>42826</v>
      </c>
      <c r="B126" s="1">
        <f>0</f>
        <v>0</v>
      </c>
      <c r="C126" s="1">
        <f>IF(Signals_US!F126=1,Signals_US!Q126*Mapping!$E$3,IF(Signals_US!F126=-1,-Signals_US!R126*Mapping!$E$3,0))</f>
        <v>0</v>
      </c>
      <c r="D126" s="1">
        <f>IF(Signals_US!C126=1,Signals_US!Q126*Mapping!$E$4,IF(Signals_US!C126=-1,-Signals_US!R126*Mapping!$E$4,0))</f>
        <v>1.666666666666667E-2</v>
      </c>
      <c r="E126" s="1">
        <f>IF(Signals_US!C126=1,Signals_US!Q126*Mapping!$E$5,IF(Signals_US!C126=-1,-Signals_US!R126*Mapping!$E$5,0))</f>
        <v>1.666666666666667E-2</v>
      </c>
      <c r="F126" s="1">
        <f>IF(Signals_US!C126=1,Signals_US!Q126*Mapping!$E$6,IF(Signals_US!C126=-1,-Signals_US!R126*Mapping!$E$6,0))</f>
        <v>1.666666666666667E-2</v>
      </c>
      <c r="G126" s="1">
        <f>IF(Signals_US!F126=1,Signals_US!Q126*Mapping!$E$7,IF(Signals_US!F126=-1,-Signals_US!R126*Mapping!$E$7,0))</f>
        <v>0</v>
      </c>
      <c r="H126" s="1">
        <f>IF(Signals_US!D126=1,Signals_US!Q126*Mapping!$E$8,IF(Signals_US!D126=-1,-Signals_US!R126*Mapping!$E$8,0))</f>
        <v>-5.000000000000001E-2</v>
      </c>
      <c r="I126" s="1">
        <f>IF(Signals_US!G126=1,Signals_US!Q126*Mapping!$E$9,IF(Signals_US!G126=-1,-Signals_US!R126*Mapping!$E$9,0))</f>
        <v>0</v>
      </c>
      <c r="J126" s="1">
        <f>IF(Signals_US!H126=1,Signals_US!Q126*Mapping!$E$10,IF(Signals_US!H126=-1,-Signals_US!R126*Mapping!$E$10,0))</f>
        <v>0</v>
      </c>
      <c r="K126" s="1">
        <f>IF(Signals_US!F126=1,Signals_US!Q126*Mapping!$E$11,IF(Signals_US!F126=-1,-Signals_US!R126*Mapping!$E$11,0))</f>
        <v>0</v>
      </c>
      <c r="L126" s="1">
        <f>IF(Signals_US!N126=1,Signals_US!Q126*Mapping!$E$12,IF(Signals_US!N126=-1,-Signals_US!R126*Mapping!$E$12,0))</f>
        <v>5.000000000000001E-2</v>
      </c>
      <c r="M126" s="1">
        <f>IF(Signals_US!I126=1,Signals_US!Q126*Mapping!$E$13,IF(Signals_US!I126=-1,-Signals_US!R126*Mapping!$E$13,0))</f>
        <v>-5.000000000000001E-2</v>
      </c>
      <c r="N126" s="1">
        <f>0</f>
        <v>0</v>
      </c>
      <c r="O126" s="1">
        <f>0</f>
        <v>0</v>
      </c>
      <c r="P126" s="1">
        <f>IF(Signals_US!E126=1,Signals_US!Q126*Mapping!$E$16,IF(Signals_US!E126=-1,-Signals_US!R126*Mapping!$E$16,0))</f>
        <v>0</v>
      </c>
      <c r="Q126" s="1">
        <f>IF(Signals_US!J126=1,Signals_US!Q126*Mapping!$E$17,IF(Signals_US!J126=-1,-Signals_US!R126*Mapping!$E$17,0))</f>
        <v>5.000000000000001E-2</v>
      </c>
      <c r="R126" s="1">
        <f>IF(Signals_US!K126=1,Signals_US!Q126*Mapping!$E$18,IF(Signals_US!K126=-1,-Signals_US!R126*Mapping!$E$18,0))</f>
        <v>-5.000000000000001E-2</v>
      </c>
      <c r="S126" s="1">
        <f>IF(Signals_US!M126=1,Signals_US!Q126*Mapping!$E$19,IF(Signals_US!M126=-1,-Signals_US!R126*Mapping!$E$19,0))</f>
        <v>0</v>
      </c>
      <c r="T126" s="1">
        <f>IF(Signals_US!L126=1,Signals_US!Q126*Mapping!$E$20,IF(Signals_US!L126=-1,-Signals_US!R126*Mapping!$E$20,0))</f>
        <v>0</v>
      </c>
      <c r="U126" s="1">
        <f t="shared" si="1"/>
        <v>0</v>
      </c>
    </row>
    <row r="127" spans="1:21">
      <c r="A127" s="5">
        <f>Signals_US!B127</f>
        <v>42856</v>
      </c>
      <c r="B127" s="1">
        <f>0</f>
        <v>0</v>
      </c>
      <c r="C127" s="1">
        <f>IF(Signals_US!F127=1,Signals_US!Q127*Mapping!$E$3,IF(Signals_US!F127=-1,-Signals_US!R127*Mapping!$E$3,0))</f>
        <v>0</v>
      </c>
      <c r="D127" s="1">
        <f>IF(Signals_US!C127=1,Signals_US!Q127*Mapping!$E$4,IF(Signals_US!C127=-1,-Signals_US!R127*Mapping!$E$4,0))</f>
        <v>1.666666666666667E-2</v>
      </c>
      <c r="E127" s="1">
        <f>IF(Signals_US!C127=1,Signals_US!Q127*Mapping!$E$5,IF(Signals_US!C127=-1,-Signals_US!R127*Mapping!$E$5,0))</f>
        <v>1.666666666666667E-2</v>
      </c>
      <c r="F127" s="1">
        <f>IF(Signals_US!C127=1,Signals_US!Q127*Mapping!$E$6,IF(Signals_US!C127=-1,-Signals_US!R127*Mapping!$E$6,0))</f>
        <v>1.666666666666667E-2</v>
      </c>
      <c r="G127" s="1">
        <f>IF(Signals_US!F127=1,Signals_US!Q127*Mapping!$E$7,IF(Signals_US!F127=-1,-Signals_US!R127*Mapping!$E$7,0))</f>
        <v>0</v>
      </c>
      <c r="H127" s="1">
        <f>IF(Signals_US!D127=1,Signals_US!Q127*Mapping!$E$8,IF(Signals_US!D127=-1,-Signals_US!R127*Mapping!$E$8,0))</f>
        <v>0</v>
      </c>
      <c r="I127" s="1">
        <f>IF(Signals_US!G127=1,Signals_US!Q127*Mapping!$E$9,IF(Signals_US!G127=-1,-Signals_US!R127*Mapping!$E$9,0))</f>
        <v>0</v>
      </c>
      <c r="J127" s="1">
        <f>IF(Signals_US!H127=1,Signals_US!Q127*Mapping!$E$10,IF(Signals_US!H127=-1,-Signals_US!R127*Mapping!$E$10,0))</f>
        <v>-5.000000000000001E-2</v>
      </c>
      <c r="K127" s="1">
        <f>IF(Signals_US!F127=1,Signals_US!Q127*Mapping!$E$11,IF(Signals_US!F127=-1,-Signals_US!R127*Mapping!$E$11,0))</f>
        <v>0</v>
      </c>
      <c r="L127" s="1">
        <f>IF(Signals_US!N127=1,Signals_US!Q127*Mapping!$E$12,IF(Signals_US!N127=-1,-Signals_US!R127*Mapping!$E$12,0))</f>
        <v>5.000000000000001E-2</v>
      </c>
      <c r="M127" s="1">
        <f>IF(Signals_US!I127=1,Signals_US!Q127*Mapping!$E$13,IF(Signals_US!I127=-1,-Signals_US!R127*Mapping!$E$13,0))</f>
        <v>0</v>
      </c>
      <c r="N127" s="1">
        <f>0</f>
        <v>0</v>
      </c>
      <c r="O127" s="1">
        <f>0</f>
        <v>0</v>
      </c>
      <c r="P127" s="1">
        <f>IF(Signals_US!E127=1,Signals_US!Q127*Mapping!$E$16,IF(Signals_US!E127=-1,-Signals_US!R127*Mapping!$E$16,0))</f>
        <v>0</v>
      </c>
      <c r="Q127" s="1">
        <f>IF(Signals_US!J127=1,Signals_US!Q127*Mapping!$E$17,IF(Signals_US!J127=-1,-Signals_US!R127*Mapping!$E$17,0))</f>
        <v>5.000000000000001E-2</v>
      </c>
      <c r="R127" s="1">
        <f>IF(Signals_US!K127=1,Signals_US!Q127*Mapping!$E$18,IF(Signals_US!K127=-1,-Signals_US!R127*Mapping!$E$18,0))</f>
        <v>-5.000000000000001E-2</v>
      </c>
      <c r="S127" s="1">
        <f>IF(Signals_US!M127=1,Signals_US!Q127*Mapping!$E$19,IF(Signals_US!M127=-1,-Signals_US!R127*Mapping!$E$19,0))</f>
        <v>0</v>
      </c>
      <c r="T127" s="1">
        <f>IF(Signals_US!L127=1,Signals_US!Q127*Mapping!$E$20,IF(Signals_US!L127=-1,-Signals_US!R127*Mapping!$E$20,0))</f>
        <v>-5.000000000000001E-2</v>
      </c>
      <c r="U127" s="1">
        <f t="shared" si="1"/>
        <v>0</v>
      </c>
    </row>
    <row r="128" spans="1:21">
      <c r="A128" s="5">
        <f>Signals_US!B128</f>
        <v>42887</v>
      </c>
      <c r="B128" s="1">
        <f>0</f>
        <v>0</v>
      </c>
      <c r="C128" s="1">
        <f>IF(Signals_US!F128=1,Signals_US!Q128*Mapping!$E$3,IF(Signals_US!F128=-1,-Signals_US!R128*Mapping!$E$3,0))</f>
        <v>0</v>
      </c>
      <c r="D128" s="1">
        <f>IF(Signals_US!C128=1,Signals_US!Q128*Mapping!$E$4,IF(Signals_US!C128=-1,-Signals_US!R128*Mapping!$E$4,0))</f>
        <v>1.666666666666667E-2</v>
      </c>
      <c r="E128" s="1">
        <f>IF(Signals_US!C128=1,Signals_US!Q128*Mapping!$E$5,IF(Signals_US!C128=-1,-Signals_US!R128*Mapping!$E$5,0))</f>
        <v>1.666666666666667E-2</v>
      </c>
      <c r="F128" s="1">
        <f>IF(Signals_US!C128=1,Signals_US!Q128*Mapping!$E$6,IF(Signals_US!C128=-1,-Signals_US!R128*Mapping!$E$6,0))</f>
        <v>1.666666666666667E-2</v>
      </c>
      <c r="G128" s="1">
        <f>IF(Signals_US!F128=1,Signals_US!Q128*Mapping!$E$7,IF(Signals_US!F128=-1,-Signals_US!R128*Mapping!$E$7,0))</f>
        <v>0</v>
      </c>
      <c r="H128" s="1">
        <f>IF(Signals_US!D128=1,Signals_US!Q128*Mapping!$E$8,IF(Signals_US!D128=-1,-Signals_US!R128*Mapping!$E$8,0))</f>
        <v>-5.000000000000001E-2</v>
      </c>
      <c r="I128" s="1">
        <f>IF(Signals_US!G128=1,Signals_US!Q128*Mapping!$E$9,IF(Signals_US!G128=-1,-Signals_US!R128*Mapping!$E$9,0))</f>
        <v>0</v>
      </c>
      <c r="J128" s="1">
        <f>IF(Signals_US!H128=1,Signals_US!Q128*Mapping!$E$10,IF(Signals_US!H128=-1,-Signals_US!R128*Mapping!$E$10,0))</f>
        <v>0</v>
      </c>
      <c r="K128" s="1">
        <f>IF(Signals_US!F128=1,Signals_US!Q128*Mapping!$E$11,IF(Signals_US!F128=-1,-Signals_US!R128*Mapping!$E$11,0))</f>
        <v>0</v>
      </c>
      <c r="L128" s="1">
        <f>IF(Signals_US!N128=1,Signals_US!Q128*Mapping!$E$12,IF(Signals_US!N128=-1,-Signals_US!R128*Mapping!$E$12,0))</f>
        <v>5.000000000000001E-2</v>
      </c>
      <c r="M128" s="1">
        <f>IF(Signals_US!I128=1,Signals_US!Q128*Mapping!$E$13,IF(Signals_US!I128=-1,-Signals_US!R128*Mapping!$E$13,0))</f>
        <v>5.000000000000001E-2</v>
      </c>
      <c r="N128" s="1">
        <f>0</f>
        <v>0</v>
      </c>
      <c r="O128" s="1">
        <f>0</f>
        <v>0</v>
      </c>
      <c r="P128" s="1">
        <f>IF(Signals_US!E128=1,Signals_US!Q128*Mapping!$E$16,IF(Signals_US!E128=-1,-Signals_US!R128*Mapping!$E$16,0))</f>
        <v>0</v>
      </c>
      <c r="Q128" s="1">
        <f>IF(Signals_US!J128=1,Signals_US!Q128*Mapping!$E$17,IF(Signals_US!J128=-1,-Signals_US!R128*Mapping!$E$17,0))</f>
        <v>0</v>
      </c>
      <c r="R128" s="1">
        <f>IF(Signals_US!K128=1,Signals_US!Q128*Mapping!$E$18,IF(Signals_US!K128=-1,-Signals_US!R128*Mapping!$E$18,0))</f>
        <v>-5.000000000000001E-2</v>
      </c>
      <c r="S128" s="1">
        <f>IF(Signals_US!M128=1,Signals_US!Q128*Mapping!$E$19,IF(Signals_US!M128=-1,-Signals_US!R128*Mapping!$E$19,0))</f>
        <v>0</v>
      </c>
      <c r="T128" s="1">
        <f>IF(Signals_US!L128=1,Signals_US!Q128*Mapping!$E$20,IF(Signals_US!L128=-1,-Signals_US!R128*Mapping!$E$20,0))</f>
        <v>-5.000000000000001E-2</v>
      </c>
      <c r="U128" s="1">
        <f t="shared" si="1"/>
        <v>0</v>
      </c>
    </row>
    <row r="129" spans="1:21">
      <c r="A129" s="5">
        <f>Signals_US!B129</f>
        <v>42917</v>
      </c>
      <c r="B129" s="1">
        <f>0</f>
        <v>0</v>
      </c>
      <c r="C129" s="1">
        <f>IF(Signals_US!F129=1,Signals_US!Q129*Mapping!$E$3,IF(Signals_US!F129=-1,-Signals_US!R129*Mapping!$E$3,0))</f>
        <v>0</v>
      </c>
      <c r="D129" s="1">
        <f>IF(Signals_US!C129=1,Signals_US!Q129*Mapping!$E$4,IF(Signals_US!C129=-1,-Signals_US!R129*Mapping!$E$4,0))</f>
        <v>1.666666666666667E-2</v>
      </c>
      <c r="E129" s="1">
        <f>IF(Signals_US!C129=1,Signals_US!Q129*Mapping!$E$5,IF(Signals_US!C129=-1,-Signals_US!R129*Mapping!$E$5,0))</f>
        <v>1.666666666666667E-2</v>
      </c>
      <c r="F129" s="1">
        <f>IF(Signals_US!C129=1,Signals_US!Q129*Mapping!$E$6,IF(Signals_US!C129=-1,-Signals_US!R129*Mapping!$E$6,0))</f>
        <v>1.666666666666667E-2</v>
      </c>
      <c r="G129" s="1">
        <f>IF(Signals_US!F129=1,Signals_US!Q129*Mapping!$E$7,IF(Signals_US!F129=-1,-Signals_US!R129*Mapping!$E$7,0))</f>
        <v>0</v>
      </c>
      <c r="H129" s="1">
        <f>IF(Signals_US!D129=1,Signals_US!Q129*Mapping!$E$8,IF(Signals_US!D129=-1,-Signals_US!R129*Mapping!$E$8,0))</f>
        <v>-5.000000000000001E-2</v>
      </c>
      <c r="I129" s="1">
        <f>IF(Signals_US!G129=1,Signals_US!Q129*Mapping!$E$9,IF(Signals_US!G129=-1,-Signals_US!R129*Mapping!$E$9,0))</f>
        <v>-5.000000000000001E-2</v>
      </c>
      <c r="J129" s="1">
        <f>IF(Signals_US!H129=1,Signals_US!Q129*Mapping!$E$10,IF(Signals_US!H129=-1,-Signals_US!R129*Mapping!$E$10,0))</f>
        <v>5.000000000000001E-2</v>
      </c>
      <c r="K129" s="1">
        <f>IF(Signals_US!F129=1,Signals_US!Q129*Mapping!$E$11,IF(Signals_US!F129=-1,-Signals_US!R129*Mapping!$E$11,0))</f>
        <v>0</v>
      </c>
      <c r="L129" s="1">
        <f>IF(Signals_US!N129=1,Signals_US!Q129*Mapping!$E$12,IF(Signals_US!N129=-1,-Signals_US!R129*Mapping!$E$12,0))</f>
        <v>0</v>
      </c>
      <c r="M129" s="1">
        <f>IF(Signals_US!I129=1,Signals_US!Q129*Mapping!$E$13,IF(Signals_US!I129=-1,-Signals_US!R129*Mapping!$E$13,0))</f>
        <v>5.000000000000001E-2</v>
      </c>
      <c r="N129" s="1">
        <f>0</f>
        <v>0</v>
      </c>
      <c r="O129" s="1">
        <f>0</f>
        <v>0</v>
      </c>
      <c r="P129" s="1">
        <f>IF(Signals_US!E129=1,Signals_US!Q129*Mapping!$E$16,IF(Signals_US!E129=-1,-Signals_US!R129*Mapping!$E$16,0))</f>
        <v>0</v>
      </c>
      <c r="Q129" s="1">
        <f>IF(Signals_US!J129=1,Signals_US!Q129*Mapping!$E$17,IF(Signals_US!J129=-1,-Signals_US!R129*Mapping!$E$17,0))</f>
        <v>0</v>
      </c>
      <c r="R129" s="1">
        <f>IF(Signals_US!K129=1,Signals_US!Q129*Mapping!$E$18,IF(Signals_US!K129=-1,-Signals_US!R129*Mapping!$E$18,0))</f>
        <v>-5.000000000000001E-2</v>
      </c>
      <c r="S129" s="1">
        <f>IF(Signals_US!M129=1,Signals_US!Q129*Mapping!$E$19,IF(Signals_US!M129=-1,-Signals_US!R129*Mapping!$E$19,0))</f>
        <v>0</v>
      </c>
      <c r="T129" s="1">
        <f>IF(Signals_US!L129=1,Signals_US!Q129*Mapping!$E$20,IF(Signals_US!L129=-1,-Signals_US!R129*Mapping!$E$20,0))</f>
        <v>0</v>
      </c>
      <c r="U129" s="1">
        <f t="shared" si="1"/>
        <v>0</v>
      </c>
    </row>
    <row r="130" spans="1:21">
      <c r="A130" s="5">
        <f>Signals_US!B130</f>
        <v>42948</v>
      </c>
      <c r="B130" s="1">
        <f>0</f>
        <v>0</v>
      </c>
      <c r="C130" s="1">
        <f>IF(Signals_US!F130=1,Signals_US!Q130*Mapping!$E$3,IF(Signals_US!F130=-1,-Signals_US!R130*Mapping!$E$3,0))</f>
        <v>0</v>
      </c>
      <c r="D130" s="1">
        <f>IF(Signals_US!C130=1,Signals_US!Q130*Mapping!$E$4,IF(Signals_US!C130=-1,-Signals_US!R130*Mapping!$E$4,0))</f>
        <v>1.666666666666667E-2</v>
      </c>
      <c r="E130" s="1">
        <f>IF(Signals_US!C130=1,Signals_US!Q130*Mapping!$E$5,IF(Signals_US!C130=-1,-Signals_US!R130*Mapping!$E$5,0))</f>
        <v>1.666666666666667E-2</v>
      </c>
      <c r="F130" s="1">
        <f>IF(Signals_US!C130=1,Signals_US!Q130*Mapping!$E$6,IF(Signals_US!C130=-1,-Signals_US!R130*Mapping!$E$6,0))</f>
        <v>1.666666666666667E-2</v>
      </c>
      <c r="G130" s="1">
        <f>IF(Signals_US!F130=1,Signals_US!Q130*Mapping!$E$7,IF(Signals_US!F130=-1,-Signals_US!R130*Mapping!$E$7,0))</f>
        <v>0</v>
      </c>
      <c r="H130" s="1">
        <f>IF(Signals_US!D130=1,Signals_US!Q130*Mapping!$E$8,IF(Signals_US!D130=-1,-Signals_US!R130*Mapping!$E$8,0))</f>
        <v>-5.000000000000001E-2</v>
      </c>
      <c r="I130" s="1">
        <f>IF(Signals_US!G130=1,Signals_US!Q130*Mapping!$E$9,IF(Signals_US!G130=-1,-Signals_US!R130*Mapping!$E$9,0))</f>
        <v>0</v>
      </c>
      <c r="J130" s="1">
        <f>IF(Signals_US!H130=1,Signals_US!Q130*Mapping!$E$10,IF(Signals_US!H130=-1,-Signals_US!R130*Mapping!$E$10,0))</f>
        <v>5.000000000000001E-2</v>
      </c>
      <c r="K130" s="1">
        <f>IF(Signals_US!F130=1,Signals_US!Q130*Mapping!$E$11,IF(Signals_US!F130=-1,-Signals_US!R130*Mapping!$E$11,0))</f>
        <v>0</v>
      </c>
      <c r="L130" s="1">
        <f>IF(Signals_US!N130=1,Signals_US!Q130*Mapping!$E$12,IF(Signals_US!N130=-1,-Signals_US!R130*Mapping!$E$12,0))</f>
        <v>0</v>
      </c>
      <c r="M130" s="1">
        <f>IF(Signals_US!I130=1,Signals_US!Q130*Mapping!$E$13,IF(Signals_US!I130=-1,-Signals_US!R130*Mapping!$E$13,0))</f>
        <v>5.000000000000001E-2</v>
      </c>
      <c r="N130" s="1">
        <f>0</f>
        <v>0</v>
      </c>
      <c r="O130" s="1">
        <f>0</f>
        <v>0</v>
      </c>
      <c r="P130" s="1">
        <f>IF(Signals_US!E130=1,Signals_US!Q130*Mapping!$E$16,IF(Signals_US!E130=-1,-Signals_US!R130*Mapping!$E$16,0))</f>
        <v>0</v>
      </c>
      <c r="Q130" s="1">
        <f>IF(Signals_US!J130=1,Signals_US!Q130*Mapping!$E$17,IF(Signals_US!J130=-1,-Signals_US!R130*Mapping!$E$17,0))</f>
        <v>0</v>
      </c>
      <c r="R130" s="1">
        <f>IF(Signals_US!K130=1,Signals_US!Q130*Mapping!$E$18,IF(Signals_US!K130=-1,-Signals_US!R130*Mapping!$E$18,0))</f>
        <v>-5.000000000000001E-2</v>
      </c>
      <c r="S130" s="1">
        <f>IF(Signals_US!M130=1,Signals_US!Q130*Mapping!$E$19,IF(Signals_US!M130=-1,-Signals_US!R130*Mapping!$E$19,0))</f>
        <v>0</v>
      </c>
      <c r="T130" s="1">
        <f>IF(Signals_US!L130=1,Signals_US!Q130*Mapping!$E$20,IF(Signals_US!L130=-1,-Signals_US!R130*Mapping!$E$20,0))</f>
        <v>-5.000000000000001E-2</v>
      </c>
      <c r="U130" s="1">
        <f t="shared" si="1"/>
        <v>0</v>
      </c>
    </row>
    <row r="131" spans="1:21">
      <c r="A131" s="5">
        <f>Signals_US!B131</f>
        <v>42979</v>
      </c>
      <c r="B131" s="1">
        <f>0</f>
        <v>0</v>
      </c>
      <c r="C131" s="1">
        <f>IF(Signals_US!F131=1,Signals_US!Q131*Mapping!$E$3,IF(Signals_US!F131=-1,-Signals_US!R131*Mapping!$E$3,0))</f>
        <v>0</v>
      </c>
      <c r="D131" s="1">
        <f>IF(Signals_US!C131=1,Signals_US!Q131*Mapping!$E$4,IF(Signals_US!C131=-1,-Signals_US!R131*Mapping!$E$4,0))</f>
        <v>1.666666666666667E-2</v>
      </c>
      <c r="E131" s="1">
        <f>IF(Signals_US!C131=1,Signals_US!Q131*Mapping!$E$5,IF(Signals_US!C131=-1,-Signals_US!R131*Mapping!$E$5,0))</f>
        <v>1.666666666666667E-2</v>
      </c>
      <c r="F131" s="1">
        <f>IF(Signals_US!C131=1,Signals_US!Q131*Mapping!$E$6,IF(Signals_US!C131=-1,-Signals_US!R131*Mapping!$E$6,0))</f>
        <v>1.666666666666667E-2</v>
      </c>
      <c r="G131" s="1">
        <f>IF(Signals_US!F131=1,Signals_US!Q131*Mapping!$E$7,IF(Signals_US!F131=-1,-Signals_US!R131*Mapping!$E$7,0))</f>
        <v>0</v>
      </c>
      <c r="H131" s="1">
        <f>IF(Signals_US!D131=1,Signals_US!Q131*Mapping!$E$8,IF(Signals_US!D131=-1,-Signals_US!R131*Mapping!$E$8,0))</f>
        <v>-5.000000000000001E-2</v>
      </c>
      <c r="I131" s="1">
        <f>IF(Signals_US!G131=1,Signals_US!Q131*Mapping!$E$9,IF(Signals_US!G131=-1,-Signals_US!R131*Mapping!$E$9,0))</f>
        <v>0</v>
      </c>
      <c r="J131" s="1">
        <f>IF(Signals_US!H131=1,Signals_US!Q131*Mapping!$E$10,IF(Signals_US!H131=-1,-Signals_US!R131*Mapping!$E$10,0))</f>
        <v>5.000000000000001E-2</v>
      </c>
      <c r="K131" s="1">
        <f>IF(Signals_US!F131=1,Signals_US!Q131*Mapping!$E$11,IF(Signals_US!F131=-1,-Signals_US!R131*Mapping!$E$11,0))</f>
        <v>0</v>
      </c>
      <c r="L131" s="1">
        <f>IF(Signals_US!N131=1,Signals_US!Q131*Mapping!$E$12,IF(Signals_US!N131=-1,-Signals_US!R131*Mapping!$E$12,0))</f>
        <v>0</v>
      </c>
      <c r="M131" s="1">
        <f>IF(Signals_US!I131=1,Signals_US!Q131*Mapping!$E$13,IF(Signals_US!I131=-1,-Signals_US!R131*Mapping!$E$13,0))</f>
        <v>5.000000000000001E-2</v>
      </c>
      <c r="N131" s="1">
        <f>0</f>
        <v>0</v>
      </c>
      <c r="O131" s="1">
        <f>0</f>
        <v>0</v>
      </c>
      <c r="P131" s="1">
        <f>IF(Signals_US!E131=1,Signals_US!Q131*Mapping!$E$16,IF(Signals_US!E131=-1,-Signals_US!R131*Mapping!$E$16,0))</f>
        <v>0</v>
      </c>
      <c r="Q131" s="1">
        <f>IF(Signals_US!J131=1,Signals_US!Q131*Mapping!$E$17,IF(Signals_US!J131=-1,-Signals_US!R131*Mapping!$E$17,0))</f>
        <v>0</v>
      </c>
      <c r="R131" s="1">
        <f>IF(Signals_US!K131=1,Signals_US!Q131*Mapping!$E$18,IF(Signals_US!K131=-1,-Signals_US!R131*Mapping!$E$18,0))</f>
        <v>-5.000000000000001E-2</v>
      </c>
      <c r="S131" s="1">
        <f>IF(Signals_US!M131=1,Signals_US!Q131*Mapping!$E$19,IF(Signals_US!M131=-1,-Signals_US!R131*Mapping!$E$19,0))</f>
        <v>0</v>
      </c>
      <c r="T131" s="1">
        <f>IF(Signals_US!L131=1,Signals_US!Q131*Mapping!$E$20,IF(Signals_US!L131=-1,-Signals_US!R131*Mapping!$E$20,0))</f>
        <v>-5.000000000000001E-2</v>
      </c>
      <c r="U131" s="1">
        <f t="shared" ref="U131:U194" si="2">ROUND(SUM(B131:T131),12)</f>
        <v>0</v>
      </c>
    </row>
    <row r="132" spans="1:21">
      <c r="A132" s="5">
        <f>Signals_US!B132</f>
        <v>43009</v>
      </c>
      <c r="B132" s="1">
        <f>0</f>
        <v>0</v>
      </c>
      <c r="C132" s="1">
        <f>IF(Signals_US!F132=1,Signals_US!Q132*Mapping!$E$3,IF(Signals_US!F132=-1,-Signals_US!R132*Mapping!$E$3,0))</f>
        <v>0</v>
      </c>
      <c r="D132" s="1">
        <f>IF(Signals_US!C132=1,Signals_US!Q132*Mapping!$E$4,IF(Signals_US!C132=-1,-Signals_US!R132*Mapping!$E$4,0))</f>
        <v>1.666666666666667E-2</v>
      </c>
      <c r="E132" s="1">
        <f>IF(Signals_US!C132=1,Signals_US!Q132*Mapping!$E$5,IF(Signals_US!C132=-1,-Signals_US!R132*Mapping!$E$5,0))</f>
        <v>1.666666666666667E-2</v>
      </c>
      <c r="F132" s="1">
        <f>IF(Signals_US!C132=1,Signals_US!Q132*Mapping!$E$6,IF(Signals_US!C132=-1,-Signals_US!R132*Mapping!$E$6,0))</f>
        <v>1.666666666666667E-2</v>
      </c>
      <c r="G132" s="1">
        <f>IF(Signals_US!F132=1,Signals_US!Q132*Mapping!$E$7,IF(Signals_US!F132=-1,-Signals_US!R132*Mapping!$E$7,0))</f>
        <v>0</v>
      </c>
      <c r="H132" s="1">
        <f>IF(Signals_US!D132=1,Signals_US!Q132*Mapping!$E$8,IF(Signals_US!D132=-1,-Signals_US!R132*Mapping!$E$8,0))</f>
        <v>-5.000000000000001E-2</v>
      </c>
      <c r="I132" s="1">
        <f>IF(Signals_US!G132=1,Signals_US!Q132*Mapping!$E$9,IF(Signals_US!G132=-1,-Signals_US!R132*Mapping!$E$9,0))</f>
        <v>5.000000000000001E-2</v>
      </c>
      <c r="J132" s="1">
        <f>IF(Signals_US!H132=1,Signals_US!Q132*Mapping!$E$10,IF(Signals_US!H132=-1,-Signals_US!R132*Mapping!$E$10,0))</f>
        <v>5.000000000000001E-2</v>
      </c>
      <c r="K132" s="1">
        <f>IF(Signals_US!F132=1,Signals_US!Q132*Mapping!$E$11,IF(Signals_US!F132=-1,-Signals_US!R132*Mapping!$E$11,0))</f>
        <v>0</v>
      </c>
      <c r="L132" s="1">
        <f>IF(Signals_US!N132=1,Signals_US!Q132*Mapping!$E$12,IF(Signals_US!N132=-1,-Signals_US!R132*Mapping!$E$12,0))</f>
        <v>0</v>
      </c>
      <c r="M132" s="1">
        <f>IF(Signals_US!I132=1,Signals_US!Q132*Mapping!$E$13,IF(Signals_US!I132=-1,-Signals_US!R132*Mapping!$E$13,0))</f>
        <v>0</v>
      </c>
      <c r="N132" s="1">
        <f>0</f>
        <v>0</v>
      </c>
      <c r="O132" s="1">
        <f>0</f>
        <v>0</v>
      </c>
      <c r="P132" s="1">
        <f>IF(Signals_US!E132=1,Signals_US!Q132*Mapping!$E$16,IF(Signals_US!E132=-1,-Signals_US!R132*Mapping!$E$16,0))</f>
        <v>0</v>
      </c>
      <c r="Q132" s="1">
        <f>IF(Signals_US!J132=1,Signals_US!Q132*Mapping!$E$17,IF(Signals_US!J132=-1,-Signals_US!R132*Mapping!$E$17,0))</f>
        <v>0</v>
      </c>
      <c r="R132" s="1">
        <f>IF(Signals_US!K132=1,Signals_US!Q132*Mapping!$E$18,IF(Signals_US!K132=-1,-Signals_US!R132*Mapping!$E$18,0))</f>
        <v>-5.000000000000001E-2</v>
      </c>
      <c r="S132" s="1">
        <f>IF(Signals_US!M132=1,Signals_US!Q132*Mapping!$E$19,IF(Signals_US!M132=-1,-Signals_US!R132*Mapping!$E$19,0))</f>
        <v>0</v>
      </c>
      <c r="T132" s="1">
        <f>IF(Signals_US!L132=1,Signals_US!Q132*Mapping!$E$20,IF(Signals_US!L132=-1,-Signals_US!R132*Mapping!$E$20,0))</f>
        <v>-5.000000000000001E-2</v>
      </c>
      <c r="U132" s="1">
        <f t="shared" si="2"/>
        <v>0</v>
      </c>
    </row>
    <row r="133" spans="1:21">
      <c r="A133" s="5">
        <f>Signals_US!B133</f>
        <v>43040</v>
      </c>
      <c r="B133" s="1">
        <f>0</f>
        <v>0</v>
      </c>
      <c r="C133" s="1">
        <f>IF(Signals_US!F133=1,Signals_US!Q133*Mapping!$E$3,IF(Signals_US!F133=-1,-Signals_US!R133*Mapping!$E$3,0))</f>
        <v>1.666666666666667E-2</v>
      </c>
      <c r="D133" s="1">
        <f>IF(Signals_US!C133=1,Signals_US!Q133*Mapping!$E$4,IF(Signals_US!C133=-1,-Signals_US!R133*Mapping!$E$4,0))</f>
        <v>1.666666666666667E-2</v>
      </c>
      <c r="E133" s="1">
        <f>IF(Signals_US!C133=1,Signals_US!Q133*Mapping!$E$5,IF(Signals_US!C133=-1,-Signals_US!R133*Mapping!$E$5,0))</f>
        <v>1.666666666666667E-2</v>
      </c>
      <c r="F133" s="1">
        <f>IF(Signals_US!C133=1,Signals_US!Q133*Mapping!$E$6,IF(Signals_US!C133=-1,-Signals_US!R133*Mapping!$E$6,0))</f>
        <v>1.666666666666667E-2</v>
      </c>
      <c r="G133" s="1">
        <f>IF(Signals_US!F133=1,Signals_US!Q133*Mapping!$E$7,IF(Signals_US!F133=-1,-Signals_US!R133*Mapping!$E$7,0))</f>
        <v>1.666666666666667E-2</v>
      </c>
      <c r="H133" s="1">
        <f>IF(Signals_US!D133=1,Signals_US!Q133*Mapping!$E$8,IF(Signals_US!D133=-1,-Signals_US!R133*Mapping!$E$8,0))</f>
        <v>0</v>
      </c>
      <c r="I133" s="1">
        <f>IF(Signals_US!G133=1,Signals_US!Q133*Mapping!$E$9,IF(Signals_US!G133=-1,-Signals_US!R133*Mapping!$E$9,0))</f>
        <v>0</v>
      </c>
      <c r="J133" s="1">
        <f>IF(Signals_US!H133=1,Signals_US!Q133*Mapping!$E$10,IF(Signals_US!H133=-1,-Signals_US!R133*Mapping!$E$10,0))</f>
        <v>5.000000000000001E-2</v>
      </c>
      <c r="K133" s="1">
        <f>IF(Signals_US!F133=1,Signals_US!Q133*Mapping!$E$11,IF(Signals_US!F133=-1,-Signals_US!R133*Mapping!$E$11,0))</f>
        <v>1.666666666666667E-2</v>
      </c>
      <c r="L133" s="1">
        <f>IF(Signals_US!N133=1,Signals_US!Q133*Mapping!$E$12,IF(Signals_US!N133=-1,-Signals_US!R133*Mapping!$E$12,0))</f>
        <v>-5.000000000000001E-2</v>
      </c>
      <c r="M133" s="1">
        <f>IF(Signals_US!I133=1,Signals_US!Q133*Mapping!$E$13,IF(Signals_US!I133=-1,-Signals_US!R133*Mapping!$E$13,0))</f>
        <v>0</v>
      </c>
      <c r="N133" s="1">
        <f>0</f>
        <v>0</v>
      </c>
      <c r="O133" s="1">
        <f>0</f>
        <v>0</v>
      </c>
      <c r="P133" s="1">
        <f>IF(Signals_US!E133=1,Signals_US!Q133*Mapping!$E$16,IF(Signals_US!E133=-1,-Signals_US!R133*Mapping!$E$16,0))</f>
        <v>0</v>
      </c>
      <c r="Q133" s="1">
        <f>IF(Signals_US!J133=1,Signals_US!Q133*Mapping!$E$17,IF(Signals_US!J133=-1,-Signals_US!R133*Mapping!$E$17,0))</f>
        <v>0</v>
      </c>
      <c r="R133" s="1">
        <f>IF(Signals_US!K133=1,Signals_US!Q133*Mapping!$E$18,IF(Signals_US!K133=-1,-Signals_US!R133*Mapping!$E$18,0))</f>
        <v>-5.000000000000001E-2</v>
      </c>
      <c r="S133" s="1">
        <f>IF(Signals_US!M133=1,Signals_US!Q133*Mapping!$E$19,IF(Signals_US!M133=-1,-Signals_US!R133*Mapping!$E$19,0))</f>
        <v>0</v>
      </c>
      <c r="T133" s="1">
        <f>IF(Signals_US!L133=1,Signals_US!Q133*Mapping!$E$20,IF(Signals_US!L133=-1,-Signals_US!R133*Mapping!$E$20,0))</f>
        <v>-5.000000000000001E-2</v>
      </c>
      <c r="U133" s="1">
        <f t="shared" si="2"/>
        <v>0</v>
      </c>
    </row>
    <row r="134" spans="1:21">
      <c r="A134" s="5">
        <f>Signals_US!B134</f>
        <v>43070</v>
      </c>
      <c r="B134" s="1">
        <f>0</f>
        <v>0</v>
      </c>
      <c r="C134" s="1">
        <f>IF(Signals_US!F134=1,Signals_US!Q134*Mapping!$E$3,IF(Signals_US!F134=-1,-Signals_US!R134*Mapping!$E$3,0))</f>
        <v>0</v>
      </c>
      <c r="D134" s="1">
        <f>IF(Signals_US!C134=1,Signals_US!Q134*Mapping!$E$4,IF(Signals_US!C134=-1,-Signals_US!R134*Mapping!$E$4,0))</f>
        <v>1.666666666666667E-2</v>
      </c>
      <c r="E134" s="1">
        <f>IF(Signals_US!C134=1,Signals_US!Q134*Mapping!$E$5,IF(Signals_US!C134=-1,-Signals_US!R134*Mapping!$E$5,0))</f>
        <v>1.666666666666667E-2</v>
      </c>
      <c r="F134" s="1">
        <f>IF(Signals_US!C134=1,Signals_US!Q134*Mapping!$E$6,IF(Signals_US!C134=-1,-Signals_US!R134*Mapping!$E$6,0))</f>
        <v>1.666666666666667E-2</v>
      </c>
      <c r="G134" s="1">
        <f>IF(Signals_US!F134=1,Signals_US!Q134*Mapping!$E$7,IF(Signals_US!F134=-1,-Signals_US!R134*Mapping!$E$7,0))</f>
        <v>0</v>
      </c>
      <c r="H134" s="1">
        <f>IF(Signals_US!D134=1,Signals_US!Q134*Mapping!$E$8,IF(Signals_US!D134=-1,-Signals_US!R134*Mapping!$E$8,0))</f>
        <v>-5.000000000000001E-2</v>
      </c>
      <c r="I134" s="1">
        <f>IF(Signals_US!G134=1,Signals_US!Q134*Mapping!$E$9,IF(Signals_US!G134=-1,-Signals_US!R134*Mapping!$E$9,0))</f>
        <v>0</v>
      </c>
      <c r="J134" s="1">
        <f>IF(Signals_US!H134=1,Signals_US!Q134*Mapping!$E$10,IF(Signals_US!H134=-1,-Signals_US!R134*Mapping!$E$10,0))</f>
        <v>0</v>
      </c>
      <c r="K134" s="1">
        <f>IF(Signals_US!F134=1,Signals_US!Q134*Mapping!$E$11,IF(Signals_US!F134=-1,-Signals_US!R134*Mapping!$E$11,0))</f>
        <v>0</v>
      </c>
      <c r="L134" s="1">
        <f>IF(Signals_US!N134=1,Signals_US!Q134*Mapping!$E$12,IF(Signals_US!N134=-1,-Signals_US!R134*Mapping!$E$12,0))</f>
        <v>-5.000000000000001E-2</v>
      </c>
      <c r="M134" s="1">
        <f>IF(Signals_US!I134=1,Signals_US!Q134*Mapping!$E$13,IF(Signals_US!I134=-1,-Signals_US!R134*Mapping!$E$13,0))</f>
        <v>5.000000000000001E-2</v>
      </c>
      <c r="N134" s="1">
        <f>0</f>
        <v>0</v>
      </c>
      <c r="O134" s="1">
        <f>0</f>
        <v>0</v>
      </c>
      <c r="P134" s="1">
        <f>IF(Signals_US!E134=1,Signals_US!Q134*Mapping!$E$16,IF(Signals_US!E134=-1,-Signals_US!R134*Mapping!$E$16,0))</f>
        <v>0</v>
      </c>
      <c r="Q134" s="1">
        <f>IF(Signals_US!J134=1,Signals_US!Q134*Mapping!$E$17,IF(Signals_US!J134=-1,-Signals_US!R134*Mapping!$E$17,0))</f>
        <v>5.000000000000001E-2</v>
      </c>
      <c r="R134" s="1">
        <f>IF(Signals_US!K134=1,Signals_US!Q134*Mapping!$E$18,IF(Signals_US!K134=-1,-Signals_US!R134*Mapping!$E$18,0))</f>
        <v>-5.000000000000001E-2</v>
      </c>
      <c r="S134" s="1">
        <f>IF(Signals_US!M134=1,Signals_US!Q134*Mapping!$E$19,IF(Signals_US!M134=-1,-Signals_US!R134*Mapping!$E$19,0))</f>
        <v>0</v>
      </c>
      <c r="T134" s="1">
        <f>IF(Signals_US!L134=1,Signals_US!Q134*Mapping!$E$20,IF(Signals_US!L134=-1,-Signals_US!R134*Mapping!$E$20,0))</f>
        <v>0</v>
      </c>
      <c r="U134" s="1">
        <f t="shared" si="2"/>
        <v>0</v>
      </c>
    </row>
    <row r="135" spans="1:21">
      <c r="A135" s="5">
        <f>Signals_US!B135</f>
        <v>43101</v>
      </c>
      <c r="B135" s="1">
        <f>0</f>
        <v>0</v>
      </c>
      <c r="C135" s="1">
        <f>IF(Signals_US!F135=1,Signals_US!Q135*Mapping!$E$3,IF(Signals_US!F135=-1,-Signals_US!R135*Mapping!$E$3,0))</f>
        <v>0</v>
      </c>
      <c r="D135" s="1">
        <f>IF(Signals_US!C135=1,Signals_US!Q135*Mapping!$E$4,IF(Signals_US!C135=-1,-Signals_US!R135*Mapping!$E$4,0))</f>
        <v>1.666666666666667E-2</v>
      </c>
      <c r="E135" s="1">
        <f>IF(Signals_US!C135=1,Signals_US!Q135*Mapping!$E$5,IF(Signals_US!C135=-1,-Signals_US!R135*Mapping!$E$5,0))</f>
        <v>1.666666666666667E-2</v>
      </c>
      <c r="F135" s="1">
        <f>IF(Signals_US!C135=1,Signals_US!Q135*Mapping!$E$6,IF(Signals_US!C135=-1,-Signals_US!R135*Mapping!$E$6,0))</f>
        <v>1.666666666666667E-2</v>
      </c>
      <c r="G135" s="1">
        <f>IF(Signals_US!F135=1,Signals_US!Q135*Mapping!$E$7,IF(Signals_US!F135=-1,-Signals_US!R135*Mapping!$E$7,0))</f>
        <v>0</v>
      </c>
      <c r="H135" s="1">
        <f>IF(Signals_US!D135=1,Signals_US!Q135*Mapping!$E$8,IF(Signals_US!D135=-1,-Signals_US!R135*Mapping!$E$8,0))</f>
        <v>-5.000000000000001E-2</v>
      </c>
      <c r="I135" s="1">
        <f>IF(Signals_US!G135=1,Signals_US!Q135*Mapping!$E$9,IF(Signals_US!G135=-1,-Signals_US!R135*Mapping!$E$9,0))</f>
        <v>0</v>
      </c>
      <c r="J135" s="1">
        <f>IF(Signals_US!H135=1,Signals_US!Q135*Mapping!$E$10,IF(Signals_US!H135=-1,-Signals_US!R135*Mapping!$E$10,0))</f>
        <v>0</v>
      </c>
      <c r="K135" s="1">
        <f>IF(Signals_US!F135=1,Signals_US!Q135*Mapping!$E$11,IF(Signals_US!F135=-1,-Signals_US!R135*Mapping!$E$11,0))</f>
        <v>0</v>
      </c>
      <c r="L135" s="1">
        <f>IF(Signals_US!N135=1,Signals_US!Q135*Mapping!$E$12,IF(Signals_US!N135=-1,-Signals_US!R135*Mapping!$E$12,0))</f>
        <v>-5.000000000000001E-2</v>
      </c>
      <c r="M135" s="1">
        <f>IF(Signals_US!I135=1,Signals_US!Q135*Mapping!$E$13,IF(Signals_US!I135=-1,-Signals_US!R135*Mapping!$E$13,0))</f>
        <v>0</v>
      </c>
      <c r="N135" s="1">
        <f>0</f>
        <v>0</v>
      </c>
      <c r="O135" s="1">
        <f>0</f>
        <v>0</v>
      </c>
      <c r="P135" s="1">
        <f>IF(Signals_US!E135=1,Signals_US!Q135*Mapping!$E$16,IF(Signals_US!E135=-1,-Signals_US!R135*Mapping!$E$16,0))</f>
        <v>5.000000000000001E-2</v>
      </c>
      <c r="Q135" s="1">
        <f>IF(Signals_US!J135=1,Signals_US!Q135*Mapping!$E$17,IF(Signals_US!J135=-1,-Signals_US!R135*Mapping!$E$17,0))</f>
        <v>5.000000000000001E-2</v>
      </c>
      <c r="R135" s="1">
        <f>IF(Signals_US!K135=1,Signals_US!Q135*Mapping!$E$18,IF(Signals_US!K135=-1,-Signals_US!R135*Mapping!$E$18,0))</f>
        <v>-5.000000000000001E-2</v>
      </c>
      <c r="S135" s="1">
        <f>IF(Signals_US!M135=1,Signals_US!Q135*Mapping!$E$19,IF(Signals_US!M135=-1,-Signals_US!R135*Mapping!$E$19,0))</f>
        <v>0</v>
      </c>
      <c r="T135" s="1">
        <f>IF(Signals_US!L135=1,Signals_US!Q135*Mapping!$E$20,IF(Signals_US!L135=-1,-Signals_US!R135*Mapping!$E$20,0))</f>
        <v>0</v>
      </c>
      <c r="U135" s="1">
        <f t="shared" si="2"/>
        <v>0</v>
      </c>
    </row>
    <row r="136" spans="1:21">
      <c r="A136" s="5">
        <f>Signals_US!B136</f>
        <v>43132</v>
      </c>
      <c r="B136" s="1">
        <f>0</f>
        <v>0</v>
      </c>
      <c r="C136" s="1">
        <f>IF(Signals_US!F136=1,Signals_US!Q136*Mapping!$E$3,IF(Signals_US!F136=-1,-Signals_US!R136*Mapping!$E$3,0))</f>
        <v>1.666666666666667E-2</v>
      </c>
      <c r="D136" s="1">
        <f>IF(Signals_US!C136=1,Signals_US!Q136*Mapping!$E$4,IF(Signals_US!C136=-1,-Signals_US!R136*Mapping!$E$4,0))</f>
        <v>1.666666666666667E-2</v>
      </c>
      <c r="E136" s="1">
        <f>IF(Signals_US!C136=1,Signals_US!Q136*Mapping!$E$5,IF(Signals_US!C136=-1,-Signals_US!R136*Mapping!$E$5,0))</f>
        <v>1.666666666666667E-2</v>
      </c>
      <c r="F136" s="1">
        <f>IF(Signals_US!C136=1,Signals_US!Q136*Mapping!$E$6,IF(Signals_US!C136=-1,-Signals_US!R136*Mapping!$E$6,0))</f>
        <v>1.666666666666667E-2</v>
      </c>
      <c r="G136" s="1">
        <f>IF(Signals_US!F136=1,Signals_US!Q136*Mapping!$E$7,IF(Signals_US!F136=-1,-Signals_US!R136*Mapping!$E$7,0))</f>
        <v>1.666666666666667E-2</v>
      </c>
      <c r="H136" s="1">
        <f>IF(Signals_US!D136=1,Signals_US!Q136*Mapping!$E$8,IF(Signals_US!D136=-1,-Signals_US!R136*Mapping!$E$8,0))</f>
        <v>-5.000000000000001E-2</v>
      </c>
      <c r="I136" s="1">
        <f>IF(Signals_US!G136=1,Signals_US!Q136*Mapping!$E$9,IF(Signals_US!G136=-1,-Signals_US!R136*Mapping!$E$9,0))</f>
        <v>0</v>
      </c>
      <c r="J136" s="1">
        <f>IF(Signals_US!H136=1,Signals_US!Q136*Mapping!$E$10,IF(Signals_US!H136=-1,-Signals_US!R136*Mapping!$E$10,0))</f>
        <v>-5.000000000000001E-2</v>
      </c>
      <c r="K136" s="1">
        <f>IF(Signals_US!F136=1,Signals_US!Q136*Mapping!$E$11,IF(Signals_US!F136=-1,-Signals_US!R136*Mapping!$E$11,0))</f>
        <v>1.666666666666667E-2</v>
      </c>
      <c r="L136" s="1">
        <f>IF(Signals_US!N136=1,Signals_US!Q136*Mapping!$E$12,IF(Signals_US!N136=-1,-Signals_US!R136*Mapping!$E$12,0))</f>
        <v>-5.000000000000001E-2</v>
      </c>
      <c r="M136" s="1">
        <f>IF(Signals_US!I136=1,Signals_US!Q136*Mapping!$E$13,IF(Signals_US!I136=-1,-Signals_US!R136*Mapping!$E$13,0))</f>
        <v>0</v>
      </c>
      <c r="N136" s="1">
        <f>0</f>
        <v>0</v>
      </c>
      <c r="O136" s="1">
        <f>0</f>
        <v>0</v>
      </c>
      <c r="P136" s="1">
        <f>IF(Signals_US!E136=1,Signals_US!Q136*Mapping!$E$16,IF(Signals_US!E136=-1,-Signals_US!R136*Mapping!$E$16,0))</f>
        <v>0</v>
      </c>
      <c r="Q136" s="1">
        <f>IF(Signals_US!J136=1,Signals_US!Q136*Mapping!$E$17,IF(Signals_US!J136=-1,-Signals_US!R136*Mapping!$E$17,0))</f>
        <v>5.000000000000001E-2</v>
      </c>
      <c r="R136" s="1">
        <f>IF(Signals_US!K136=1,Signals_US!Q136*Mapping!$E$18,IF(Signals_US!K136=-1,-Signals_US!R136*Mapping!$E$18,0))</f>
        <v>0</v>
      </c>
      <c r="S136" s="1">
        <f>IF(Signals_US!M136=1,Signals_US!Q136*Mapping!$E$19,IF(Signals_US!M136=-1,-Signals_US!R136*Mapping!$E$19,0))</f>
        <v>0</v>
      </c>
      <c r="T136" s="1">
        <f>IF(Signals_US!L136=1,Signals_US!Q136*Mapping!$E$20,IF(Signals_US!L136=-1,-Signals_US!R136*Mapping!$E$20,0))</f>
        <v>0</v>
      </c>
      <c r="U136" s="1">
        <f t="shared" si="2"/>
        <v>0</v>
      </c>
    </row>
    <row r="137" spans="1:21">
      <c r="A137" s="5">
        <f>Signals_US!B137</f>
        <v>43160</v>
      </c>
      <c r="B137" s="1">
        <f>0</f>
        <v>0</v>
      </c>
      <c r="C137" s="1">
        <f>IF(Signals_US!F137=1,Signals_US!Q137*Mapping!$E$3,IF(Signals_US!F137=-1,-Signals_US!R137*Mapping!$E$3,0))</f>
        <v>0</v>
      </c>
      <c r="D137" s="1">
        <f>IF(Signals_US!C137=1,Signals_US!Q137*Mapping!$E$4,IF(Signals_US!C137=-1,-Signals_US!R137*Mapping!$E$4,0))</f>
        <v>1.111111111111111E-2</v>
      </c>
      <c r="E137" s="1">
        <f>IF(Signals_US!C137=1,Signals_US!Q137*Mapping!$E$5,IF(Signals_US!C137=-1,-Signals_US!R137*Mapping!$E$5,0))</f>
        <v>1.111111111111111E-2</v>
      </c>
      <c r="F137" s="1">
        <f>IF(Signals_US!C137=1,Signals_US!Q137*Mapping!$E$6,IF(Signals_US!C137=-1,-Signals_US!R137*Mapping!$E$6,0))</f>
        <v>1.111111111111111E-2</v>
      </c>
      <c r="G137" s="1">
        <f>IF(Signals_US!F137=1,Signals_US!Q137*Mapping!$E$7,IF(Signals_US!F137=-1,-Signals_US!R137*Mapping!$E$7,0))</f>
        <v>0</v>
      </c>
      <c r="H137" s="1">
        <f>IF(Signals_US!D137=1,Signals_US!Q137*Mapping!$E$8,IF(Signals_US!D137=-1,-Signals_US!R137*Mapping!$E$8,0))</f>
        <v>-0.05</v>
      </c>
      <c r="I137" s="1">
        <f>IF(Signals_US!G137=1,Signals_US!Q137*Mapping!$E$9,IF(Signals_US!G137=-1,-Signals_US!R137*Mapping!$E$9,0))</f>
        <v>0</v>
      </c>
      <c r="J137" s="1">
        <f>IF(Signals_US!H137=1,Signals_US!Q137*Mapping!$E$10,IF(Signals_US!H137=-1,-Signals_US!R137*Mapping!$E$10,0))</f>
        <v>3.3333333333333333E-2</v>
      </c>
      <c r="K137" s="1">
        <f>IF(Signals_US!F137=1,Signals_US!Q137*Mapping!$E$11,IF(Signals_US!F137=-1,-Signals_US!R137*Mapping!$E$11,0))</f>
        <v>0</v>
      </c>
      <c r="L137" s="1">
        <f>IF(Signals_US!N137=1,Signals_US!Q137*Mapping!$E$12,IF(Signals_US!N137=-1,-Signals_US!R137*Mapping!$E$12,0))</f>
        <v>0</v>
      </c>
      <c r="M137" s="1">
        <f>IF(Signals_US!I137=1,Signals_US!Q137*Mapping!$E$13,IF(Signals_US!I137=-1,-Signals_US!R137*Mapping!$E$13,0))</f>
        <v>0</v>
      </c>
      <c r="N137" s="1">
        <f>0</f>
        <v>0</v>
      </c>
      <c r="O137" s="1">
        <f>0</f>
        <v>0</v>
      </c>
      <c r="P137" s="1">
        <f>IF(Signals_US!E137=1,Signals_US!Q137*Mapping!$E$16,IF(Signals_US!E137=-1,-Signals_US!R137*Mapping!$E$16,0))</f>
        <v>0</v>
      </c>
      <c r="Q137" s="1">
        <f>IF(Signals_US!J137=1,Signals_US!Q137*Mapping!$E$17,IF(Signals_US!J137=-1,-Signals_US!R137*Mapping!$E$17,0))</f>
        <v>3.3333333333333333E-2</v>
      </c>
      <c r="R137" s="1">
        <f>IF(Signals_US!K137=1,Signals_US!Q137*Mapping!$E$18,IF(Signals_US!K137=-1,-Signals_US!R137*Mapping!$E$18,0))</f>
        <v>0</v>
      </c>
      <c r="S137" s="1">
        <f>IF(Signals_US!M137=1,Signals_US!Q137*Mapping!$E$19,IF(Signals_US!M137=-1,-Signals_US!R137*Mapping!$E$19,0))</f>
        <v>0</v>
      </c>
      <c r="T137" s="1">
        <f>IF(Signals_US!L137=1,Signals_US!Q137*Mapping!$E$20,IF(Signals_US!L137=-1,-Signals_US!R137*Mapping!$E$20,0))</f>
        <v>-0.05</v>
      </c>
      <c r="U137" s="1">
        <f t="shared" si="2"/>
        <v>0</v>
      </c>
    </row>
    <row r="138" spans="1:21">
      <c r="A138" s="5">
        <f>Signals_US!B138</f>
        <v>43191</v>
      </c>
      <c r="B138" s="1">
        <f>0</f>
        <v>0</v>
      </c>
      <c r="C138" s="1">
        <f>IF(Signals_US!F138=1,Signals_US!Q138*Mapping!$E$3,IF(Signals_US!F138=-1,-Signals_US!R138*Mapping!$E$3,0))</f>
        <v>1.666666666666667E-2</v>
      </c>
      <c r="D138" s="1">
        <f>IF(Signals_US!C138=1,Signals_US!Q138*Mapping!$E$4,IF(Signals_US!C138=-1,-Signals_US!R138*Mapping!$E$4,0))</f>
        <v>0</v>
      </c>
      <c r="E138" s="1">
        <f>IF(Signals_US!C138=1,Signals_US!Q138*Mapping!$E$5,IF(Signals_US!C138=-1,-Signals_US!R138*Mapping!$E$5,0))</f>
        <v>0</v>
      </c>
      <c r="F138" s="1">
        <f>IF(Signals_US!C138=1,Signals_US!Q138*Mapping!$E$6,IF(Signals_US!C138=-1,-Signals_US!R138*Mapping!$E$6,0))</f>
        <v>0</v>
      </c>
      <c r="G138" s="1">
        <f>IF(Signals_US!F138=1,Signals_US!Q138*Mapping!$E$7,IF(Signals_US!F138=-1,-Signals_US!R138*Mapping!$E$7,0))</f>
        <v>1.666666666666667E-2</v>
      </c>
      <c r="H138" s="1">
        <f>IF(Signals_US!D138=1,Signals_US!Q138*Mapping!$E$8,IF(Signals_US!D138=-1,-Signals_US!R138*Mapping!$E$8,0))</f>
        <v>0</v>
      </c>
      <c r="I138" s="1">
        <f>IF(Signals_US!G138=1,Signals_US!Q138*Mapping!$E$9,IF(Signals_US!G138=-1,-Signals_US!R138*Mapping!$E$9,0))</f>
        <v>0</v>
      </c>
      <c r="J138" s="1">
        <f>IF(Signals_US!H138=1,Signals_US!Q138*Mapping!$E$10,IF(Signals_US!H138=-1,-Signals_US!R138*Mapping!$E$10,0))</f>
        <v>5.000000000000001E-2</v>
      </c>
      <c r="K138" s="1">
        <f>IF(Signals_US!F138=1,Signals_US!Q138*Mapping!$E$11,IF(Signals_US!F138=-1,-Signals_US!R138*Mapping!$E$11,0))</f>
        <v>1.666666666666667E-2</v>
      </c>
      <c r="L138" s="1">
        <f>IF(Signals_US!N138=1,Signals_US!Q138*Mapping!$E$12,IF(Signals_US!N138=-1,-Signals_US!R138*Mapping!$E$12,0))</f>
        <v>-5.000000000000001E-2</v>
      </c>
      <c r="M138" s="1">
        <f>IF(Signals_US!I138=1,Signals_US!Q138*Mapping!$E$13,IF(Signals_US!I138=-1,-Signals_US!R138*Mapping!$E$13,0))</f>
        <v>0</v>
      </c>
      <c r="N138" s="1">
        <f>0</f>
        <v>0</v>
      </c>
      <c r="O138" s="1">
        <f>0</f>
        <v>0</v>
      </c>
      <c r="P138" s="1">
        <f>IF(Signals_US!E138=1,Signals_US!Q138*Mapping!$E$16,IF(Signals_US!E138=-1,-Signals_US!R138*Mapping!$E$16,0))</f>
        <v>0</v>
      </c>
      <c r="Q138" s="1">
        <f>IF(Signals_US!J138=1,Signals_US!Q138*Mapping!$E$17,IF(Signals_US!J138=-1,-Signals_US!R138*Mapping!$E$17,0))</f>
        <v>5.000000000000001E-2</v>
      </c>
      <c r="R138" s="1">
        <f>IF(Signals_US!K138=1,Signals_US!Q138*Mapping!$E$18,IF(Signals_US!K138=-1,-Signals_US!R138*Mapping!$E$18,0))</f>
        <v>-5.000000000000001E-2</v>
      </c>
      <c r="S138" s="1">
        <f>IF(Signals_US!M138=1,Signals_US!Q138*Mapping!$E$19,IF(Signals_US!M138=-1,-Signals_US!R138*Mapping!$E$19,0))</f>
        <v>0</v>
      </c>
      <c r="T138" s="1">
        <f>IF(Signals_US!L138=1,Signals_US!Q138*Mapping!$E$20,IF(Signals_US!L138=-1,-Signals_US!R138*Mapping!$E$20,0))</f>
        <v>-5.000000000000001E-2</v>
      </c>
      <c r="U138" s="1">
        <f t="shared" si="2"/>
        <v>0</v>
      </c>
    </row>
    <row r="139" spans="1:21">
      <c r="A139" s="5">
        <f>Signals_US!B139</f>
        <v>43221</v>
      </c>
      <c r="B139" s="1">
        <f>0</f>
        <v>0</v>
      </c>
      <c r="C139" s="1">
        <f>IF(Signals_US!F139=1,Signals_US!Q139*Mapping!$E$3,IF(Signals_US!F139=-1,-Signals_US!R139*Mapping!$E$3,0))</f>
        <v>1.111111111111111E-2</v>
      </c>
      <c r="D139" s="1">
        <f>IF(Signals_US!C139=1,Signals_US!Q139*Mapping!$E$4,IF(Signals_US!C139=-1,-Signals_US!R139*Mapping!$E$4,0))</f>
        <v>0</v>
      </c>
      <c r="E139" s="1">
        <f>IF(Signals_US!C139=1,Signals_US!Q139*Mapping!$E$5,IF(Signals_US!C139=-1,-Signals_US!R139*Mapping!$E$5,0))</f>
        <v>0</v>
      </c>
      <c r="F139" s="1">
        <f>IF(Signals_US!C139=1,Signals_US!Q139*Mapping!$E$6,IF(Signals_US!C139=-1,-Signals_US!R139*Mapping!$E$6,0))</f>
        <v>0</v>
      </c>
      <c r="G139" s="1">
        <f>IF(Signals_US!F139=1,Signals_US!Q139*Mapping!$E$7,IF(Signals_US!F139=-1,-Signals_US!R139*Mapping!$E$7,0))</f>
        <v>1.111111111111111E-2</v>
      </c>
      <c r="H139" s="1">
        <f>IF(Signals_US!D139=1,Signals_US!Q139*Mapping!$E$8,IF(Signals_US!D139=-1,-Signals_US!R139*Mapping!$E$8,0))</f>
        <v>-0.05</v>
      </c>
      <c r="I139" s="1">
        <f>IF(Signals_US!G139=1,Signals_US!Q139*Mapping!$E$9,IF(Signals_US!G139=-1,-Signals_US!R139*Mapping!$E$9,0))</f>
        <v>0</v>
      </c>
      <c r="J139" s="1">
        <f>IF(Signals_US!H139=1,Signals_US!Q139*Mapping!$E$10,IF(Signals_US!H139=-1,-Signals_US!R139*Mapping!$E$10,0))</f>
        <v>3.3333333333333333E-2</v>
      </c>
      <c r="K139" s="1">
        <f>IF(Signals_US!F139=1,Signals_US!Q139*Mapping!$E$11,IF(Signals_US!F139=-1,-Signals_US!R139*Mapping!$E$11,0))</f>
        <v>1.111111111111111E-2</v>
      </c>
      <c r="L139" s="1">
        <f>IF(Signals_US!N139=1,Signals_US!Q139*Mapping!$E$12,IF(Signals_US!N139=-1,-Signals_US!R139*Mapping!$E$12,0))</f>
        <v>0</v>
      </c>
      <c r="M139" s="1">
        <f>IF(Signals_US!I139=1,Signals_US!Q139*Mapping!$E$13,IF(Signals_US!I139=-1,-Signals_US!R139*Mapping!$E$13,0))</f>
        <v>0</v>
      </c>
      <c r="N139" s="1">
        <f>0</f>
        <v>0</v>
      </c>
      <c r="O139" s="1">
        <f>0</f>
        <v>0</v>
      </c>
      <c r="P139" s="1">
        <f>IF(Signals_US!E139=1,Signals_US!Q139*Mapping!$E$16,IF(Signals_US!E139=-1,-Signals_US!R139*Mapping!$E$16,0))</f>
        <v>0</v>
      </c>
      <c r="Q139" s="1">
        <f>IF(Signals_US!J139=1,Signals_US!Q139*Mapping!$E$17,IF(Signals_US!J139=-1,-Signals_US!R139*Mapping!$E$17,0))</f>
        <v>3.3333333333333333E-2</v>
      </c>
      <c r="R139" s="1">
        <f>IF(Signals_US!K139=1,Signals_US!Q139*Mapping!$E$18,IF(Signals_US!K139=-1,-Signals_US!R139*Mapping!$E$18,0))</f>
        <v>0</v>
      </c>
      <c r="S139" s="1">
        <f>IF(Signals_US!M139=1,Signals_US!Q139*Mapping!$E$19,IF(Signals_US!M139=-1,-Signals_US!R139*Mapping!$E$19,0))</f>
        <v>0</v>
      </c>
      <c r="T139" s="1">
        <f>IF(Signals_US!L139=1,Signals_US!Q139*Mapping!$E$20,IF(Signals_US!L139=-1,-Signals_US!R139*Mapping!$E$20,0))</f>
        <v>-0.05</v>
      </c>
      <c r="U139" s="1">
        <f t="shared" si="2"/>
        <v>0</v>
      </c>
    </row>
    <row r="140" spans="1:21">
      <c r="A140" s="5">
        <f>Signals_US!B140</f>
        <v>43252</v>
      </c>
      <c r="B140" s="1">
        <f>0</f>
        <v>0</v>
      </c>
      <c r="C140" s="1">
        <f>IF(Signals_US!F140=1,Signals_US!Q140*Mapping!$E$3,IF(Signals_US!F140=-1,-Signals_US!R140*Mapping!$E$3,0))</f>
        <v>1.666666666666667E-2</v>
      </c>
      <c r="D140" s="1">
        <f>IF(Signals_US!C140=1,Signals_US!Q140*Mapping!$E$4,IF(Signals_US!C140=-1,-Signals_US!R140*Mapping!$E$4,0))</f>
        <v>0</v>
      </c>
      <c r="E140" s="1">
        <f>IF(Signals_US!C140=1,Signals_US!Q140*Mapping!$E$5,IF(Signals_US!C140=-1,-Signals_US!R140*Mapping!$E$5,0))</f>
        <v>0</v>
      </c>
      <c r="F140" s="1">
        <f>IF(Signals_US!C140=1,Signals_US!Q140*Mapping!$E$6,IF(Signals_US!C140=-1,-Signals_US!R140*Mapping!$E$6,0))</f>
        <v>0</v>
      </c>
      <c r="G140" s="1">
        <f>IF(Signals_US!F140=1,Signals_US!Q140*Mapping!$E$7,IF(Signals_US!F140=-1,-Signals_US!R140*Mapping!$E$7,0))</f>
        <v>1.666666666666667E-2</v>
      </c>
      <c r="H140" s="1">
        <f>IF(Signals_US!D140=1,Signals_US!Q140*Mapping!$E$8,IF(Signals_US!D140=-1,-Signals_US!R140*Mapping!$E$8,0))</f>
        <v>-5.000000000000001E-2</v>
      </c>
      <c r="I140" s="1">
        <f>IF(Signals_US!G140=1,Signals_US!Q140*Mapping!$E$9,IF(Signals_US!G140=-1,-Signals_US!R140*Mapping!$E$9,0))</f>
        <v>0</v>
      </c>
      <c r="J140" s="1">
        <f>IF(Signals_US!H140=1,Signals_US!Q140*Mapping!$E$10,IF(Signals_US!H140=-1,-Signals_US!R140*Mapping!$E$10,0))</f>
        <v>5.000000000000001E-2</v>
      </c>
      <c r="K140" s="1">
        <f>IF(Signals_US!F140=1,Signals_US!Q140*Mapping!$E$11,IF(Signals_US!F140=-1,-Signals_US!R140*Mapping!$E$11,0))</f>
        <v>1.666666666666667E-2</v>
      </c>
      <c r="L140" s="1">
        <f>IF(Signals_US!N140=1,Signals_US!Q140*Mapping!$E$12,IF(Signals_US!N140=-1,-Signals_US!R140*Mapping!$E$12,0))</f>
        <v>-5.000000000000001E-2</v>
      </c>
      <c r="M140" s="1">
        <f>IF(Signals_US!I140=1,Signals_US!Q140*Mapping!$E$13,IF(Signals_US!I140=-1,-Signals_US!R140*Mapping!$E$13,0))</f>
        <v>0</v>
      </c>
      <c r="N140" s="1">
        <f>0</f>
        <v>0</v>
      </c>
      <c r="O140" s="1">
        <f>0</f>
        <v>0</v>
      </c>
      <c r="P140" s="1">
        <f>IF(Signals_US!E140=1,Signals_US!Q140*Mapping!$E$16,IF(Signals_US!E140=-1,-Signals_US!R140*Mapping!$E$16,0))</f>
        <v>0</v>
      </c>
      <c r="Q140" s="1">
        <f>IF(Signals_US!J140=1,Signals_US!Q140*Mapping!$E$17,IF(Signals_US!J140=-1,-Signals_US!R140*Mapping!$E$17,0))</f>
        <v>5.000000000000001E-2</v>
      </c>
      <c r="R140" s="1">
        <f>IF(Signals_US!K140=1,Signals_US!Q140*Mapping!$E$18,IF(Signals_US!K140=-1,-Signals_US!R140*Mapping!$E$18,0))</f>
        <v>-5.000000000000001E-2</v>
      </c>
      <c r="S140" s="1">
        <f>IF(Signals_US!M140=1,Signals_US!Q140*Mapping!$E$19,IF(Signals_US!M140=-1,-Signals_US!R140*Mapping!$E$19,0))</f>
        <v>0</v>
      </c>
      <c r="T140" s="1">
        <f>IF(Signals_US!L140=1,Signals_US!Q140*Mapping!$E$20,IF(Signals_US!L140=-1,-Signals_US!R140*Mapping!$E$20,0))</f>
        <v>0</v>
      </c>
      <c r="U140" s="1">
        <f t="shared" si="2"/>
        <v>0</v>
      </c>
    </row>
    <row r="141" spans="1:21">
      <c r="A141" s="5">
        <f>Signals_US!B141</f>
        <v>43282</v>
      </c>
      <c r="B141" s="1">
        <f>0</f>
        <v>0</v>
      </c>
      <c r="C141" s="1">
        <f>IF(Signals_US!F141=1,Signals_US!Q141*Mapping!$E$3,IF(Signals_US!F141=-1,-Signals_US!R141*Mapping!$E$3,0))</f>
        <v>1.666666666666667E-2</v>
      </c>
      <c r="D141" s="1">
        <f>IF(Signals_US!C141=1,Signals_US!Q141*Mapping!$E$4,IF(Signals_US!C141=-1,-Signals_US!R141*Mapping!$E$4,0))</f>
        <v>0</v>
      </c>
      <c r="E141" s="1">
        <f>IF(Signals_US!C141=1,Signals_US!Q141*Mapping!$E$5,IF(Signals_US!C141=-1,-Signals_US!R141*Mapping!$E$5,0))</f>
        <v>0</v>
      </c>
      <c r="F141" s="1">
        <f>IF(Signals_US!C141=1,Signals_US!Q141*Mapping!$E$6,IF(Signals_US!C141=-1,-Signals_US!R141*Mapping!$E$6,0))</f>
        <v>0</v>
      </c>
      <c r="G141" s="1">
        <f>IF(Signals_US!F141=1,Signals_US!Q141*Mapping!$E$7,IF(Signals_US!F141=-1,-Signals_US!R141*Mapping!$E$7,0))</f>
        <v>1.666666666666667E-2</v>
      </c>
      <c r="H141" s="1">
        <f>IF(Signals_US!D141=1,Signals_US!Q141*Mapping!$E$8,IF(Signals_US!D141=-1,-Signals_US!R141*Mapping!$E$8,0))</f>
        <v>-5.000000000000001E-2</v>
      </c>
      <c r="I141" s="1">
        <f>IF(Signals_US!G141=1,Signals_US!Q141*Mapping!$E$9,IF(Signals_US!G141=-1,-Signals_US!R141*Mapping!$E$9,0))</f>
        <v>0</v>
      </c>
      <c r="J141" s="1">
        <f>IF(Signals_US!H141=1,Signals_US!Q141*Mapping!$E$10,IF(Signals_US!H141=-1,-Signals_US!R141*Mapping!$E$10,0))</f>
        <v>5.000000000000001E-2</v>
      </c>
      <c r="K141" s="1">
        <f>IF(Signals_US!F141=1,Signals_US!Q141*Mapping!$E$11,IF(Signals_US!F141=-1,-Signals_US!R141*Mapping!$E$11,0))</f>
        <v>1.666666666666667E-2</v>
      </c>
      <c r="L141" s="1">
        <f>IF(Signals_US!N141=1,Signals_US!Q141*Mapping!$E$12,IF(Signals_US!N141=-1,-Signals_US!R141*Mapping!$E$12,0))</f>
        <v>-5.000000000000001E-2</v>
      </c>
      <c r="M141" s="1">
        <f>IF(Signals_US!I141=1,Signals_US!Q141*Mapping!$E$13,IF(Signals_US!I141=-1,-Signals_US!R141*Mapping!$E$13,0))</f>
        <v>0</v>
      </c>
      <c r="N141" s="1">
        <f>0</f>
        <v>0</v>
      </c>
      <c r="O141" s="1">
        <f>0</f>
        <v>0</v>
      </c>
      <c r="P141" s="1">
        <f>IF(Signals_US!E141=1,Signals_US!Q141*Mapping!$E$16,IF(Signals_US!E141=-1,-Signals_US!R141*Mapping!$E$16,0))</f>
        <v>0</v>
      </c>
      <c r="Q141" s="1">
        <f>IF(Signals_US!J141=1,Signals_US!Q141*Mapping!$E$17,IF(Signals_US!J141=-1,-Signals_US!R141*Mapping!$E$17,0))</f>
        <v>5.000000000000001E-2</v>
      </c>
      <c r="R141" s="1">
        <f>IF(Signals_US!K141=1,Signals_US!Q141*Mapping!$E$18,IF(Signals_US!K141=-1,-Signals_US!R141*Mapping!$E$18,0))</f>
        <v>-5.000000000000001E-2</v>
      </c>
      <c r="S141" s="1">
        <f>IF(Signals_US!M141=1,Signals_US!Q141*Mapping!$E$19,IF(Signals_US!M141=-1,-Signals_US!R141*Mapping!$E$19,0))</f>
        <v>0</v>
      </c>
      <c r="T141" s="1">
        <f>IF(Signals_US!L141=1,Signals_US!Q141*Mapping!$E$20,IF(Signals_US!L141=-1,-Signals_US!R141*Mapping!$E$20,0))</f>
        <v>0</v>
      </c>
      <c r="U141" s="1">
        <f t="shared" si="2"/>
        <v>0</v>
      </c>
    </row>
    <row r="142" spans="1:21">
      <c r="A142" s="5">
        <f>Signals_US!B142</f>
        <v>43313</v>
      </c>
      <c r="B142" s="1">
        <f>0</f>
        <v>0</v>
      </c>
      <c r="C142" s="1">
        <f>IF(Signals_US!F142=1,Signals_US!Q142*Mapping!$E$3,IF(Signals_US!F142=-1,-Signals_US!R142*Mapping!$E$3,0))</f>
        <v>0</v>
      </c>
      <c r="D142" s="1">
        <f>IF(Signals_US!C142=1,Signals_US!Q142*Mapping!$E$4,IF(Signals_US!C142=-1,-Signals_US!R142*Mapping!$E$4,0))</f>
        <v>0</v>
      </c>
      <c r="E142" s="1">
        <f>IF(Signals_US!C142=1,Signals_US!Q142*Mapping!$E$5,IF(Signals_US!C142=-1,-Signals_US!R142*Mapping!$E$5,0))</f>
        <v>0</v>
      </c>
      <c r="F142" s="1">
        <f>IF(Signals_US!C142=1,Signals_US!Q142*Mapping!$E$6,IF(Signals_US!C142=-1,-Signals_US!R142*Mapping!$E$6,0))</f>
        <v>0</v>
      </c>
      <c r="G142" s="1">
        <f>IF(Signals_US!F142=1,Signals_US!Q142*Mapping!$E$7,IF(Signals_US!F142=-1,-Signals_US!R142*Mapping!$E$7,0))</f>
        <v>0</v>
      </c>
      <c r="H142" s="1">
        <f>IF(Signals_US!D142=1,Signals_US!Q142*Mapping!$E$8,IF(Signals_US!D142=-1,-Signals_US!R142*Mapping!$E$8,0))</f>
        <v>-5.000000000000001E-2</v>
      </c>
      <c r="I142" s="1">
        <f>IF(Signals_US!G142=1,Signals_US!Q142*Mapping!$E$9,IF(Signals_US!G142=-1,-Signals_US!R142*Mapping!$E$9,0))</f>
        <v>0</v>
      </c>
      <c r="J142" s="1">
        <f>IF(Signals_US!H142=1,Signals_US!Q142*Mapping!$E$10,IF(Signals_US!H142=-1,-Signals_US!R142*Mapping!$E$10,0))</f>
        <v>0</v>
      </c>
      <c r="K142" s="1">
        <f>IF(Signals_US!F142=1,Signals_US!Q142*Mapping!$E$11,IF(Signals_US!F142=-1,-Signals_US!R142*Mapping!$E$11,0))</f>
        <v>0</v>
      </c>
      <c r="L142" s="1">
        <f>IF(Signals_US!N142=1,Signals_US!Q142*Mapping!$E$12,IF(Signals_US!N142=-1,-Signals_US!R142*Mapping!$E$12,0))</f>
        <v>-5.000000000000001E-2</v>
      </c>
      <c r="M142" s="1">
        <f>IF(Signals_US!I142=1,Signals_US!Q142*Mapping!$E$13,IF(Signals_US!I142=-1,-Signals_US!R142*Mapping!$E$13,0))</f>
        <v>5.000000000000001E-2</v>
      </c>
      <c r="N142" s="1">
        <f>0</f>
        <v>0</v>
      </c>
      <c r="O142" s="1">
        <f>0</f>
        <v>0</v>
      </c>
      <c r="P142" s="1">
        <f>IF(Signals_US!E142=1,Signals_US!Q142*Mapping!$E$16,IF(Signals_US!E142=-1,-Signals_US!R142*Mapping!$E$16,0))</f>
        <v>5.000000000000001E-2</v>
      </c>
      <c r="Q142" s="1">
        <f>IF(Signals_US!J142=1,Signals_US!Q142*Mapping!$E$17,IF(Signals_US!J142=-1,-Signals_US!R142*Mapping!$E$17,0))</f>
        <v>5.000000000000001E-2</v>
      </c>
      <c r="R142" s="1">
        <f>IF(Signals_US!K142=1,Signals_US!Q142*Mapping!$E$18,IF(Signals_US!K142=-1,-Signals_US!R142*Mapping!$E$18,0))</f>
        <v>0</v>
      </c>
      <c r="S142" s="1">
        <f>IF(Signals_US!M142=1,Signals_US!Q142*Mapping!$E$19,IF(Signals_US!M142=-1,-Signals_US!R142*Mapping!$E$19,0))</f>
        <v>0</v>
      </c>
      <c r="T142" s="1">
        <f>IF(Signals_US!L142=1,Signals_US!Q142*Mapping!$E$20,IF(Signals_US!L142=-1,-Signals_US!R142*Mapping!$E$20,0))</f>
        <v>-5.000000000000001E-2</v>
      </c>
      <c r="U142" s="1">
        <f t="shared" si="2"/>
        <v>0</v>
      </c>
    </row>
    <row r="143" spans="1:21">
      <c r="A143" s="5">
        <f>Signals_US!B143</f>
        <v>43344</v>
      </c>
      <c r="B143" s="1">
        <f>0</f>
        <v>0</v>
      </c>
      <c r="C143" s="1">
        <f>IF(Signals_US!F143=1,Signals_US!Q143*Mapping!$E$3,IF(Signals_US!F143=-1,-Signals_US!R143*Mapping!$E$3,0))</f>
        <v>0</v>
      </c>
      <c r="D143" s="1">
        <f>IF(Signals_US!C143=1,Signals_US!Q143*Mapping!$E$4,IF(Signals_US!C143=-1,-Signals_US!R143*Mapping!$E$4,0))</f>
        <v>0</v>
      </c>
      <c r="E143" s="1">
        <f>IF(Signals_US!C143=1,Signals_US!Q143*Mapping!$E$5,IF(Signals_US!C143=-1,-Signals_US!R143*Mapping!$E$5,0))</f>
        <v>0</v>
      </c>
      <c r="F143" s="1">
        <f>IF(Signals_US!C143=1,Signals_US!Q143*Mapping!$E$6,IF(Signals_US!C143=-1,-Signals_US!R143*Mapping!$E$6,0))</f>
        <v>0</v>
      </c>
      <c r="G143" s="1">
        <f>IF(Signals_US!F143=1,Signals_US!Q143*Mapping!$E$7,IF(Signals_US!F143=-1,-Signals_US!R143*Mapping!$E$7,0))</f>
        <v>0</v>
      </c>
      <c r="H143" s="1">
        <f>IF(Signals_US!D143=1,Signals_US!Q143*Mapping!$E$8,IF(Signals_US!D143=-1,-Signals_US!R143*Mapping!$E$8,0))</f>
        <v>-5.000000000000001E-2</v>
      </c>
      <c r="I143" s="1">
        <f>IF(Signals_US!G143=1,Signals_US!Q143*Mapping!$E$9,IF(Signals_US!G143=-1,-Signals_US!R143*Mapping!$E$9,0))</f>
        <v>0</v>
      </c>
      <c r="J143" s="1">
        <f>IF(Signals_US!H143=1,Signals_US!Q143*Mapping!$E$10,IF(Signals_US!H143=-1,-Signals_US!R143*Mapping!$E$10,0))</f>
        <v>0</v>
      </c>
      <c r="K143" s="1">
        <f>IF(Signals_US!F143=1,Signals_US!Q143*Mapping!$E$11,IF(Signals_US!F143=-1,-Signals_US!R143*Mapping!$E$11,0))</f>
        <v>0</v>
      </c>
      <c r="L143" s="1">
        <f>IF(Signals_US!N143=1,Signals_US!Q143*Mapping!$E$12,IF(Signals_US!N143=-1,-Signals_US!R143*Mapping!$E$12,0))</f>
        <v>-5.000000000000001E-2</v>
      </c>
      <c r="M143" s="1">
        <f>IF(Signals_US!I143=1,Signals_US!Q143*Mapping!$E$13,IF(Signals_US!I143=-1,-Signals_US!R143*Mapping!$E$13,0))</f>
        <v>5.000000000000001E-2</v>
      </c>
      <c r="N143" s="1">
        <f>0</f>
        <v>0</v>
      </c>
      <c r="O143" s="1">
        <f>0</f>
        <v>0</v>
      </c>
      <c r="P143" s="1">
        <f>IF(Signals_US!E143=1,Signals_US!Q143*Mapping!$E$16,IF(Signals_US!E143=-1,-Signals_US!R143*Mapping!$E$16,0))</f>
        <v>5.000000000000001E-2</v>
      </c>
      <c r="Q143" s="1">
        <f>IF(Signals_US!J143=1,Signals_US!Q143*Mapping!$E$17,IF(Signals_US!J143=-1,-Signals_US!R143*Mapping!$E$17,0))</f>
        <v>5.000000000000001E-2</v>
      </c>
      <c r="R143" s="1">
        <f>IF(Signals_US!K143=1,Signals_US!Q143*Mapping!$E$18,IF(Signals_US!K143=-1,-Signals_US!R143*Mapping!$E$18,0))</f>
        <v>0</v>
      </c>
      <c r="S143" s="1">
        <f>IF(Signals_US!M143=1,Signals_US!Q143*Mapping!$E$19,IF(Signals_US!M143=-1,-Signals_US!R143*Mapping!$E$19,0))</f>
        <v>0</v>
      </c>
      <c r="T143" s="1">
        <f>IF(Signals_US!L143=1,Signals_US!Q143*Mapping!$E$20,IF(Signals_US!L143=-1,-Signals_US!R143*Mapping!$E$20,0))</f>
        <v>-5.000000000000001E-2</v>
      </c>
      <c r="U143" s="1">
        <f t="shared" si="2"/>
        <v>0</v>
      </c>
    </row>
    <row r="144" spans="1:21">
      <c r="A144" s="5">
        <f>Signals_US!B144</f>
        <v>43374</v>
      </c>
      <c r="B144" s="1">
        <f>0</f>
        <v>0</v>
      </c>
      <c r="C144" s="1">
        <f>IF(Signals_US!F144=1,Signals_US!Q144*Mapping!$E$3,IF(Signals_US!F144=-1,-Signals_US!R144*Mapping!$E$3,0))</f>
        <v>0</v>
      </c>
      <c r="D144" s="1">
        <f>IF(Signals_US!C144=1,Signals_US!Q144*Mapping!$E$4,IF(Signals_US!C144=-1,-Signals_US!R144*Mapping!$E$4,0))</f>
        <v>1.666666666666667E-2</v>
      </c>
      <c r="E144" s="1">
        <f>IF(Signals_US!C144=1,Signals_US!Q144*Mapping!$E$5,IF(Signals_US!C144=-1,-Signals_US!R144*Mapping!$E$5,0))</f>
        <v>1.666666666666667E-2</v>
      </c>
      <c r="F144" s="1">
        <f>IF(Signals_US!C144=1,Signals_US!Q144*Mapping!$E$6,IF(Signals_US!C144=-1,-Signals_US!R144*Mapping!$E$6,0))</f>
        <v>1.666666666666667E-2</v>
      </c>
      <c r="G144" s="1">
        <f>IF(Signals_US!F144=1,Signals_US!Q144*Mapping!$E$7,IF(Signals_US!F144=-1,-Signals_US!R144*Mapping!$E$7,0))</f>
        <v>0</v>
      </c>
      <c r="H144" s="1">
        <f>IF(Signals_US!D144=1,Signals_US!Q144*Mapping!$E$8,IF(Signals_US!D144=-1,-Signals_US!R144*Mapping!$E$8,0))</f>
        <v>-5.000000000000001E-2</v>
      </c>
      <c r="I144" s="1">
        <f>IF(Signals_US!G144=1,Signals_US!Q144*Mapping!$E$9,IF(Signals_US!G144=-1,-Signals_US!R144*Mapping!$E$9,0))</f>
        <v>0</v>
      </c>
      <c r="J144" s="1">
        <f>IF(Signals_US!H144=1,Signals_US!Q144*Mapping!$E$10,IF(Signals_US!H144=-1,-Signals_US!R144*Mapping!$E$10,0))</f>
        <v>0</v>
      </c>
      <c r="K144" s="1">
        <f>IF(Signals_US!F144=1,Signals_US!Q144*Mapping!$E$11,IF(Signals_US!F144=-1,-Signals_US!R144*Mapping!$E$11,0))</f>
        <v>0</v>
      </c>
      <c r="L144" s="1">
        <f>IF(Signals_US!N144=1,Signals_US!Q144*Mapping!$E$12,IF(Signals_US!N144=-1,-Signals_US!R144*Mapping!$E$12,0))</f>
        <v>-5.000000000000001E-2</v>
      </c>
      <c r="M144" s="1">
        <f>IF(Signals_US!I144=1,Signals_US!Q144*Mapping!$E$13,IF(Signals_US!I144=-1,-Signals_US!R144*Mapping!$E$13,0))</f>
        <v>5.000000000000001E-2</v>
      </c>
      <c r="N144" s="1">
        <f>0</f>
        <v>0</v>
      </c>
      <c r="O144" s="1">
        <f>0</f>
        <v>0</v>
      </c>
      <c r="P144" s="1">
        <f>IF(Signals_US!E144=1,Signals_US!Q144*Mapping!$E$16,IF(Signals_US!E144=-1,-Signals_US!R144*Mapping!$E$16,0))</f>
        <v>5.000000000000001E-2</v>
      </c>
      <c r="Q144" s="1">
        <f>IF(Signals_US!J144=1,Signals_US!Q144*Mapping!$E$17,IF(Signals_US!J144=-1,-Signals_US!R144*Mapping!$E$17,0))</f>
        <v>0</v>
      </c>
      <c r="R144" s="1">
        <f>IF(Signals_US!K144=1,Signals_US!Q144*Mapping!$E$18,IF(Signals_US!K144=-1,-Signals_US!R144*Mapping!$E$18,0))</f>
        <v>0</v>
      </c>
      <c r="S144" s="1">
        <f>IF(Signals_US!M144=1,Signals_US!Q144*Mapping!$E$19,IF(Signals_US!M144=-1,-Signals_US!R144*Mapping!$E$19,0))</f>
        <v>0</v>
      </c>
      <c r="T144" s="1">
        <f>IF(Signals_US!L144=1,Signals_US!Q144*Mapping!$E$20,IF(Signals_US!L144=-1,-Signals_US!R144*Mapping!$E$20,0))</f>
        <v>-5.000000000000001E-2</v>
      </c>
      <c r="U144" s="1">
        <f t="shared" si="2"/>
        <v>0</v>
      </c>
    </row>
    <row r="145" spans="1:21">
      <c r="A145" s="5">
        <f>Signals_US!B145</f>
        <v>43405</v>
      </c>
      <c r="B145" s="1">
        <f>0</f>
        <v>0</v>
      </c>
      <c r="C145" s="1">
        <f>IF(Signals_US!F145=1,Signals_US!Q145*Mapping!$E$3,IF(Signals_US!F145=-1,-Signals_US!R145*Mapping!$E$3,0))</f>
        <v>0</v>
      </c>
      <c r="D145" s="1">
        <f>IF(Signals_US!C145=1,Signals_US!Q145*Mapping!$E$4,IF(Signals_US!C145=-1,-Signals_US!R145*Mapping!$E$4,0))</f>
        <v>-1.666666666666667E-2</v>
      </c>
      <c r="E145" s="1">
        <f>IF(Signals_US!C145=1,Signals_US!Q145*Mapping!$E$5,IF(Signals_US!C145=-1,-Signals_US!R145*Mapping!$E$5,0))</f>
        <v>-1.666666666666667E-2</v>
      </c>
      <c r="F145" s="1">
        <f>IF(Signals_US!C145=1,Signals_US!Q145*Mapping!$E$6,IF(Signals_US!C145=-1,-Signals_US!R145*Mapping!$E$6,0))</f>
        <v>-1.666666666666667E-2</v>
      </c>
      <c r="G145" s="1">
        <f>IF(Signals_US!F145=1,Signals_US!Q145*Mapping!$E$7,IF(Signals_US!F145=-1,-Signals_US!R145*Mapping!$E$7,0))</f>
        <v>0</v>
      </c>
      <c r="H145" s="1">
        <f>IF(Signals_US!D145=1,Signals_US!Q145*Mapping!$E$8,IF(Signals_US!D145=-1,-Signals_US!R145*Mapping!$E$8,0))</f>
        <v>-5.000000000000001E-2</v>
      </c>
      <c r="I145" s="1">
        <f>IF(Signals_US!G145=1,Signals_US!Q145*Mapping!$E$9,IF(Signals_US!G145=-1,-Signals_US!R145*Mapping!$E$9,0))</f>
        <v>5.000000000000001E-2</v>
      </c>
      <c r="J145" s="1">
        <f>IF(Signals_US!H145=1,Signals_US!Q145*Mapping!$E$10,IF(Signals_US!H145=-1,-Signals_US!R145*Mapping!$E$10,0))</f>
        <v>0</v>
      </c>
      <c r="K145" s="1">
        <f>IF(Signals_US!F145=1,Signals_US!Q145*Mapping!$E$11,IF(Signals_US!F145=-1,-Signals_US!R145*Mapping!$E$11,0))</f>
        <v>0</v>
      </c>
      <c r="L145" s="1">
        <f>IF(Signals_US!N145=1,Signals_US!Q145*Mapping!$E$12,IF(Signals_US!N145=-1,-Signals_US!R145*Mapping!$E$12,0))</f>
        <v>0</v>
      </c>
      <c r="M145" s="1">
        <f>IF(Signals_US!I145=1,Signals_US!Q145*Mapping!$E$13,IF(Signals_US!I145=-1,-Signals_US!R145*Mapping!$E$13,0))</f>
        <v>5.000000000000001E-2</v>
      </c>
      <c r="N145" s="1">
        <f>0</f>
        <v>0</v>
      </c>
      <c r="O145" s="1">
        <f>0</f>
        <v>0</v>
      </c>
      <c r="P145" s="1">
        <f>IF(Signals_US!E145=1,Signals_US!Q145*Mapping!$E$16,IF(Signals_US!E145=-1,-Signals_US!R145*Mapping!$E$16,0))</f>
        <v>5.000000000000001E-2</v>
      </c>
      <c r="Q145" s="1">
        <f>IF(Signals_US!J145=1,Signals_US!Q145*Mapping!$E$17,IF(Signals_US!J145=-1,-Signals_US!R145*Mapping!$E$17,0))</f>
        <v>0</v>
      </c>
      <c r="R145" s="1">
        <f>IF(Signals_US!K145=1,Signals_US!Q145*Mapping!$E$18,IF(Signals_US!K145=-1,-Signals_US!R145*Mapping!$E$18,0))</f>
        <v>0</v>
      </c>
      <c r="S145" s="1">
        <f>IF(Signals_US!M145=1,Signals_US!Q145*Mapping!$E$19,IF(Signals_US!M145=-1,-Signals_US!R145*Mapping!$E$19,0))</f>
        <v>0</v>
      </c>
      <c r="T145" s="1">
        <f>IF(Signals_US!L145=1,Signals_US!Q145*Mapping!$E$20,IF(Signals_US!L145=-1,-Signals_US!R145*Mapping!$E$20,0))</f>
        <v>-5.000000000000001E-2</v>
      </c>
      <c r="U145" s="1">
        <f t="shared" si="2"/>
        <v>0</v>
      </c>
    </row>
    <row r="146" spans="1:21">
      <c r="A146" s="5">
        <f>Signals_US!B146</f>
        <v>43435</v>
      </c>
      <c r="B146" s="1">
        <f>0</f>
        <v>0</v>
      </c>
      <c r="C146" s="1">
        <f>IF(Signals_US!F146=1,Signals_US!Q146*Mapping!$E$3,IF(Signals_US!F146=-1,-Signals_US!R146*Mapping!$E$3,0))</f>
        <v>0</v>
      </c>
      <c r="D146" s="1">
        <f>IF(Signals_US!C146=1,Signals_US!Q146*Mapping!$E$4,IF(Signals_US!C146=-1,-Signals_US!R146*Mapping!$E$4,0))</f>
        <v>-1.666666666666667E-2</v>
      </c>
      <c r="E146" s="1">
        <f>IF(Signals_US!C146=1,Signals_US!Q146*Mapping!$E$5,IF(Signals_US!C146=-1,-Signals_US!R146*Mapping!$E$5,0))</f>
        <v>-1.666666666666667E-2</v>
      </c>
      <c r="F146" s="1">
        <f>IF(Signals_US!C146=1,Signals_US!Q146*Mapping!$E$6,IF(Signals_US!C146=-1,-Signals_US!R146*Mapping!$E$6,0))</f>
        <v>-1.666666666666667E-2</v>
      </c>
      <c r="G146" s="1">
        <f>IF(Signals_US!F146=1,Signals_US!Q146*Mapping!$E$7,IF(Signals_US!F146=-1,-Signals_US!R146*Mapping!$E$7,0))</f>
        <v>0</v>
      </c>
      <c r="H146" s="1">
        <f>IF(Signals_US!D146=1,Signals_US!Q146*Mapping!$E$8,IF(Signals_US!D146=-1,-Signals_US!R146*Mapping!$E$8,0))</f>
        <v>-5.000000000000001E-2</v>
      </c>
      <c r="I146" s="1">
        <f>IF(Signals_US!G146=1,Signals_US!Q146*Mapping!$E$9,IF(Signals_US!G146=-1,-Signals_US!R146*Mapping!$E$9,0))</f>
        <v>0</v>
      </c>
      <c r="J146" s="1">
        <f>IF(Signals_US!H146=1,Signals_US!Q146*Mapping!$E$10,IF(Signals_US!H146=-1,-Signals_US!R146*Mapping!$E$10,0))</f>
        <v>-5.000000000000001E-2</v>
      </c>
      <c r="K146" s="1">
        <f>IF(Signals_US!F146=1,Signals_US!Q146*Mapping!$E$11,IF(Signals_US!F146=-1,-Signals_US!R146*Mapping!$E$11,0))</f>
        <v>0</v>
      </c>
      <c r="L146" s="1">
        <f>IF(Signals_US!N146=1,Signals_US!Q146*Mapping!$E$12,IF(Signals_US!N146=-1,-Signals_US!R146*Mapping!$E$12,0))</f>
        <v>5.000000000000001E-2</v>
      </c>
      <c r="M146" s="1">
        <f>IF(Signals_US!I146=1,Signals_US!Q146*Mapping!$E$13,IF(Signals_US!I146=-1,-Signals_US!R146*Mapping!$E$13,0))</f>
        <v>0</v>
      </c>
      <c r="N146" s="1">
        <f>0</f>
        <v>0</v>
      </c>
      <c r="O146" s="1">
        <f>0</f>
        <v>0</v>
      </c>
      <c r="P146" s="1">
        <f>IF(Signals_US!E146=1,Signals_US!Q146*Mapping!$E$16,IF(Signals_US!E146=-1,-Signals_US!R146*Mapping!$E$16,0))</f>
        <v>0</v>
      </c>
      <c r="Q146" s="1">
        <f>IF(Signals_US!J146=1,Signals_US!Q146*Mapping!$E$17,IF(Signals_US!J146=-1,-Signals_US!R146*Mapping!$E$17,0))</f>
        <v>0</v>
      </c>
      <c r="R146" s="1">
        <f>IF(Signals_US!K146=1,Signals_US!Q146*Mapping!$E$18,IF(Signals_US!K146=-1,-Signals_US!R146*Mapping!$E$18,0))</f>
        <v>5.000000000000001E-2</v>
      </c>
      <c r="S146" s="1">
        <f>IF(Signals_US!M146=1,Signals_US!Q146*Mapping!$E$19,IF(Signals_US!M146=-1,-Signals_US!R146*Mapping!$E$19,0))</f>
        <v>0</v>
      </c>
      <c r="T146" s="1">
        <f>IF(Signals_US!L146=1,Signals_US!Q146*Mapping!$E$20,IF(Signals_US!L146=-1,-Signals_US!R146*Mapping!$E$20,0))</f>
        <v>5.000000000000001E-2</v>
      </c>
      <c r="U146" s="1">
        <f t="shared" si="2"/>
        <v>0</v>
      </c>
    </row>
    <row r="147" spans="1:21">
      <c r="A147" s="5">
        <f>Signals_US!B147</f>
        <v>43466</v>
      </c>
      <c r="B147" s="1">
        <f>0</f>
        <v>0</v>
      </c>
      <c r="C147" s="1">
        <f>IF(Signals_US!F147=1,Signals_US!Q147*Mapping!$E$3,IF(Signals_US!F147=-1,-Signals_US!R147*Mapping!$E$3,0))</f>
        <v>-1.666666666666667E-2</v>
      </c>
      <c r="D147" s="1">
        <f>IF(Signals_US!C147=1,Signals_US!Q147*Mapping!$E$4,IF(Signals_US!C147=-1,-Signals_US!R147*Mapping!$E$4,0))</f>
        <v>0</v>
      </c>
      <c r="E147" s="1">
        <f>IF(Signals_US!C147=1,Signals_US!Q147*Mapping!$E$5,IF(Signals_US!C147=-1,-Signals_US!R147*Mapping!$E$5,0))</f>
        <v>0</v>
      </c>
      <c r="F147" s="1">
        <f>IF(Signals_US!C147=1,Signals_US!Q147*Mapping!$E$6,IF(Signals_US!C147=-1,-Signals_US!R147*Mapping!$E$6,0))</f>
        <v>0</v>
      </c>
      <c r="G147" s="1">
        <f>IF(Signals_US!F147=1,Signals_US!Q147*Mapping!$E$7,IF(Signals_US!F147=-1,-Signals_US!R147*Mapping!$E$7,0))</f>
        <v>-1.666666666666667E-2</v>
      </c>
      <c r="H147" s="1">
        <f>IF(Signals_US!D147=1,Signals_US!Q147*Mapping!$E$8,IF(Signals_US!D147=-1,-Signals_US!R147*Mapping!$E$8,0))</f>
        <v>0</v>
      </c>
      <c r="I147" s="1">
        <f>IF(Signals_US!G147=1,Signals_US!Q147*Mapping!$E$9,IF(Signals_US!G147=-1,-Signals_US!R147*Mapping!$E$9,0))</f>
        <v>5.000000000000001E-2</v>
      </c>
      <c r="J147" s="1">
        <f>IF(Signals_US!H147=1,Signals_US!Q147*Mapping!$E$10,IF(Signals_US!H147=-1,-Signals_US!R147*Mapping!$E$10,0))</f>
        <v>-5.000000000000001E-2</v>
      </c>
      <c r="K147" s="1">
        <f>IF(Signals_US!F147=1,Signals_US!Q147*Mapping!$E$11,IF(Signals_US!F147=-1,-Signals_US!R147*Mapping!$E$11,0))</f>
        <v>-1.666666666666667E-2</v>
      </c>
      <c r="L147" s="1">
        <f>IF(Signals_US!N147=1,Signals_US!Q147*Mapping!$E$12,IF(Signals_US!N147=-1,-Signals_US!R147*Mapping!$E$12,0))</f>
        <v>5.000000000000001E-2</v>
      </c>
      <c r="M147" s="1">
        <f>IF(Signals_US!I147=1,Signals_US!Q147*Mapping!$E$13,IF(Signals_US!I147=-1,-Signals_US!R147*Mapping!$E$13,0))</f>
        <v>-5.000000000000001E-2</v>
      </c>
      <c r="N147" s="1">
        <f>0</f>
        <v>0</v>
      </c>
      <c r="O147" s="1">
        <f>0</f>
        <v>0</v>
      </c>
      <c r="P147" s="1">
        <f>IF(Signals_US!E147=1,Signals_US!Q147*Mapping!$E$16,IF(Signals_US!E147=-1,-Signals_US!R147*Mapping!$E$16,0))</f>
        <v>0</v>
      </c>
      <c r="Q147" s="1">
        <f>IF(Signals_US!J147=1,Signals_US!Q147*Mapping!$E$17,IF(Signals_US!J147=-1,-Signals_US!R147*Mapping!$E$17,0))</f>
        <v>0</v>
      </c>
      <c r="R147" s="1">
        <f>IF(Signals_US!K147=1,Signals_US!Q147*Mapping!$E$18,IF(Signals_US!K147=-1,-Signals_US!R147*Mapping!$E$18,0))</f>
        <v>0</v>
      </c>
      <c r="S147" s="1">
        <f>IF(Signals_US!M147=1,Signals_US!Q147*Mapping!$E$19,IF(Signals_US!M147=-1,-Signals_US!R147*Mapping!$E$19,0))</f>
        <v>0</v>
      </c>
      <c r="T147" s="1">
        <f>IF(Signals_US!L147=1,Signals_US!Q147*Mapping!$E$20,IF(Signals_US!L147=-1,-Signals_US!R147*Mapping!$E$20,0))</f>
        <v>5.000000000000001E-2</v>
      </c>
      <c r="U147" s="1">
        <f t="shared" si="2"/>
        <v>0</v>
      </c>
    </row>
    <row r="148" spans="1:21">
      <c r="A148" s="5">
        <f>Signals_US!B148</f>
        <v>43497</v>
      </c>
      <c r="B148" s="1">
        <f>0</f>
        <v>0</v>
      </c>
      <c r="C148" s="1">
        <f>IF(Signals_US!F148=1,Signals_US!Q148*Mapping!$E$3,IF(Signals_US!F148=-1,-Signals_US!R148*Mapping!$E$3,0))</f>
        <v>-1.666666666666667E-2</v>
      </c>
      <c r="D148" s="1">
        <f>IF(Signals_US!C148=1,Signals_US!Q148*Mapping!$E$4,IF(Signals_US!C148=-1,-Signals_US!R148*Mapping!$E$4,0))</f>
        <v>0</v>
      </c>
      <c r="E148" s="1">
        <f>IF(Signals_US!C148=1,Signals_US!Q148*Mapping!$E$5,IF(Signals_US!C148=-1,-Signals_US!R148*Mapping!$E$5,0))</f>
        <v>0</v>
      </c>
      <c r="F148" s="1">
        <f>IF(Signals_US!C148=1,Signals_US!Q148*Mapping!$E$6,IF(Signals_US!C148=-1,-Signals_US!R148*Mapping!$E$6,0))</f>
        <v>0</v>
      </c>
      <c r="G148" s="1">
        <f>IF(Signals_US!F148=1,Signals_US!Q148*Mapping!$E$7,IF(Signals_US!F148=-1,-Signals_US!R148*Mapping!$E$7,0))</f>
        <v>-1.666666666666667E-2</v>
      </c>
      <c r="H148" s="1">
        <f>IF(Signals_US!D148=1,Signals_US!Q148*Mapping!$E$8,IF(Signals_US!D148=-1,-Signals_US!R148*Mapping!$E$8,0))</f>
        <v>0</v>
      </c>
      <c r="I148" s="1">
        <f>IF(Signals_US!G148=1,Signals_US!Q148*Mapping!$E$9,IF(Signals_US!G148=-1,-Signals_US!R148*Mapping!$E$9,0))</f>
        <v>5.000000000000001E-2</v>
      </c>
      <c r="J148" s="1">
        <f>IF(Signals_US!H148=1,Signals_US!Q148*Mapping!$E$10,IF(Signals_US!H148=-1,-Signals_US!R148*Mapping!$E$10,0))</f>
        <v>-5.000000000000001E-2</v>
      </c>
      <c r="K148" s="1">
        <f>IF(Signals_US!F148=1,Signals_US!Q148*Mapping!$E$11,IF(Signals_US!F148=-1,-Signals_US!R148*Mapping!$E$11,0))</f>
        <v>-1.666666666666667E-2</v>
      </c>
      <c r="L148" s="1">
        <f>IF(Signals_US!N148=1,Signals_US!Q148*Mapping!$E$12,IF(Signals_US!N148=-1,-Signals_US!R148*Mapping!$E$12,0))</f>
        <v>5.000000000000001E-2</v>
      </c>
      <c r="M148" s="1">
        <f>IF(Signals_US!I148=1,Signals_US!Q148*Mapping!$E$13,IF(Signals_US!I148=-1,-Signals_US!R148*Mapping!$E$13,0))</f>
        <v>-5.000000000000001E-2</v>
      </c>
      <c r="N148" s="1">
        <f>0</f>
        <v>0</v>
      </c>
      <c r="O148" s="1">
        <f>0</f>
        <v>0</v>
      </c>
      <c r="P148" s="1">
        <f>IF(Signals_US!E148=1,Signals_US!Q148*Mapping!$E$16,IF(Signals_US!E148=-1,-Signals_US!R148*Mapping!$E$16,0))</f>
        <v>0</v>
      </c>
      <c r="Q148" s="1">
        <f>IF(Signals_US!J148=1,Signals_US!Q148*Mapping!$E$17,IF(Signals_US!J148=-1,-Signals_US!R148*Mapping!$E$17,0))</f>
        <v>0</v>
      </c>
      <c r="R148" s="1">
        <f>IF(Signals_US!K148=1,Signals_US!Q148*Mapping!$E$18,IF(Signals_US!K148=-1,-Signals_US!R148*Mapping!$E$18,0))</f>
        <v>0</v>
      </c>
      <c r="S148" s="1">
        <f>IF(Signals_US!M148=1,Signals_US!Q148*Mapping!$E$19,IF(Signals_US!M148=-1,-Signals_US!R148*Mapping!$E$19,0))</f>
        <v>0</v>
      </c>
      <c r="T148" s="1">
        <f>IF(Signals_US!L148=1,Signals_US!Q148*Mapping!$E$20,IF(Signals_US!L148=-1,-Signals_US!R148*Mapping!$E$20,0))</f>
        <v>5.000000000000001E-2</v>
      </c>
      <c r="U148" s="1">
        <f t="shared" si="2"/>
        <v>0</v>
      </c>
    </row>
    <row r="149" spans="1:21">
      <c r="A149" s="5">
        <f>Signals_US!B149</f>
        <v>43525</v>
      </c>
      <c r="B149" s="1">
        <f>0</f>
        <v>0</v>
      </c>
      <c r="C149" s="1">
        <f>IF(Signals_US!F149=1,Signals_US!Q149*Mapping!$E$3,IF(Signals_US!F149=-1,-Signals_US!R149*Mapping!$E$3,0))</f>
        <v>0</v>
      </c>
      <c r="D149" s="1">
        <f>IF(Signals_US!C149=1,Signals_US!Q149*Mapping!$E$4,IF(Signals_US!C149=-1,-Signals_US!R149*Mapping!$E$4,0))</f>
        <v>0</v>
      </c>
      <c r="E149" s="1">
        <f>IF(Signals_US!C149=1,Signals_US!Q149*Mapping!$E$5,IF(Signals_US!C149=-1,-Signals_US!R149*Mapping!$E$5,0))</f>
        <v>0</v>
      </c>
      <c r="F149" s="1">
        <f>IF(Signals_US!C149=1,Signals_US!Q149*Mapping!$E$6,IF(Signals_US!C149=-1,-Signals_US!R149*Mapping!$E$6,0))</f>
        <v>0</v>
      </c>
      <c r="G149" s="1">
        <f>IF(Signals_US!F149=1,Signals_US!Q149*Mapping!$E$7,IF(Signals_US!F149=-1,-Signals_US!R149*Mapping!$E$7,0))</f>
        <v>0</v>
      </c>
      <c r="H149" s="1">
        <f>IF(Signals_US!D149=1,Signals_US!Q149*Mapping!$E$8,IF(Signals_US!D149=-1,-Signals_US!R149*Mapping!$E$8,0))</f>
        <v>-5.000000000000001E-2</v>
      </c>
      <c r="I149" s="1">
        <f>IF(Signals_US!G149=1,Signals_US!Q149*Mapping!$E$9,IF(Signals_US!G149=-1,-Signals_US!R149*Mapping!$E$9,0))</f>
        <v>5.000000000000001E-2</v>
      </c>
      <c r="J149" s="1">
        <f>IF(Signals_US!H149=1,Signals_US!Q149*Mapping!$E$10,IF(Signals_US!H149=-1,-Signals_US!R149*Mapping!$E$10,0))</f>
        <v>0</v>
      </c>
      <c r="K149" s="1">
        <f>IF(Signals_US!F149=1,Signals_US!Q149*Mapping!$E$11,IF(Signals_US!F149=-1,-Signals_US!R149*Mapping!$E$11,0))</f>
        <v>0</v>
      </c>
      <c r="L149" s="1">
        <f>IF(Signals_US!N149=1,Signals_US!Q149*Mapping!$E$12,IF(Signals_US!N149=-1,-Signals_US!R149*Mapping!$E$12,0))</f>
        <v>0</v>
      </c>
      <c r="M149" s="1">
        <f>IF(Signals_US!I149=1,Signals_US!Q149*Mapping!$E$13,IF(Signals_US!I149=-1,-Signals_US!R149*Mapping!$E$13,0))</f>
        <v>-5.000000000000001E-2</v>
      </c>
      <c r="N149" s="1">
        <f>0</f>
        <v>0</v>
      </c>
      <c r="O149" s="1">
        <f>0</f>
        <v>0</v>
      </c>
      <c r="P149" s="1">
        <f>IF(Signals_US!E149=1,Signals_US!Q149*Mapping!$E$16,IF(Signals_US!E149=-1,-Signals_US!R149*Mapping!$E$16,0))</f>
        <v>0</v>
      </c>
      <c r="Q149" s="1">
        <f>IF(Signals_US!J149=1,Signals_US!Q149*Mapping!$E$17,IF(Signals_US!J149=-1,-Signals_US!R149*Mapping!$E$17,0))</f>
        <v>-5.000000000000001E-2</v>
      </c>
      <c r="R149" s="1">
        <f>IF(Signals_US!K149=1,Signals_US!Q149*Mapping!$E$18,IF(Signals_US!K149=-1,-Signals_US!R149*Mapping!$E$18,0))</f>
        <v>5.000000000000001E-2</v>
      </c>
      <c r="S149" s="1">
        <f>IF(Signals_US!M149=1,Signals_US!Q149*Mapping!$E$19,IF(Signals_US!M149=-1,-Signals_US!R149*Mapping!$E$19,0))</f>
        <v>0</v>
      </c>
      <c r="T149" s="1">
        <f>IF(Signals_US!L149=1,Signals_US!Q149*Mapping!$E$20,IF(Signals_US!L149=-1,-Signals_US!R149*Mapping!$E$20,0))</f>
        <v>5.000000000000001E-2</v>
      </c>
      <c r="U149" s="1">
        <f t="shared" si="2"/>
        <v>0</v>
      </c>
    </row>
    <row r="150" spans="1:21">
      <c r="A150" s="5">
        <f>Signals_US!B150</f>
        <v>43556</v>
      </c>
      <c r="B150" s="1">
        <f>0</f>
        <v>0</v>
      </c>
      <c r="C150" s="1">
        <f>IF(Signals_US!F150=1,Signals_US!Q150*Mapping!$E$3,IF(Signals_US!F150=-1,-Signals_US!R150*Mapping!$E$3,0))</f>
        <v>0</v>
      </c>
      <c r="D150" s="1">
        <f>IF(Signals_US!C150=1,Signals_US!Q150*Mapping!$E$4,IF(Signals_US!C150=-1,-Signals_US!R150*Mapping!$E$4,0))</f>
        <v>0</v>
      </c>
      <c r="E150" s="1">
        <f>IF(Signals_US!C150=1,Signals_US!Q150*Mapping!$E$5,IF(Signals_US!C150=-1,-Signals_US!R150*Mapping!$E$5,0))</f>
        <v>0</v>
      </c>
      <c r="F150" s="1">
        <f>IF(Signals_US!C150=1,Signals_US!Q150*Mapping!$E$6,IF(Signals_US!C150=-1,-Signals_US!R150*Mapping!$E$6,0))</f>
        <v>0</v>
      </c>
      <c r="G150" s="1">
        <f>IF(Signals_US!F150=1,Signals_US!Q150*Mapping!$E$7,IF(Signals_US!F150=-1,-Signals_US!R150*Mapping!$E$7,0))</f>
        <v>0</v>
      </c>
      <c r="H150" s="1">
        <f>IF(Signals_US!D150=1,Signals_US!Q150*Mapping!$E$8,IF(Signals_US!D150=-1,-Signals_US!R150*Mapping!$E$8,0))</f>
        <v>-5.000000000000001E-2</v>
      </c>
      <c r="I150" s="1">
        <f>IF(Signals_US!G150=1,Signals_US!Q150*Mapping!$E$9,IF(Signals_US!G150=-1,-Signals_US!R150*Mapping!$E$9,0))</f>
        <v>5.000000000000001E-2</v>
      </c>
      <c r="J150" s="1">
        <f>IF(Signals_US!H150=1,Signals_US!Q150*Mapping!$E$10,IF(Signals_US!H150=-1,-Signals_US!R150*Mapping!$E$10,0))</f>
        <v>0</v>
      </c>
      <c r="K150" s="1">
        <f>IF(Signals_US!F150=1,Signals_US!Q150*Mapping!$E$11,IF(Signals_US!F150=-1,-Signals_US!R150*Mapping!$E$11,0))</f>
        <v>0</v>
      </c>
      <c r="L150" s="1">
        <f>IF(Signals_US!N150=1,Signals_US!Q150*Mapping!$E$12,IF(Signals_US!N150=-1,-Signals_US!R150*Mapping!$E$12,0))</f>
        <v>5.000000000000001E-2</v>
      </c>
      <c r="M150" s="1">
        <f>IF(Signals_US!I150=1,Signals_US!Q150*Mapping!$E$13,IF(Signals_US!I150=-1,-Signals_US!R150*Mapping!$E$13,0))</f>
        <v>-5.000000000000001E-2</v>
      </c>
      <c r="N150" s="1">
        <f>0</f>
        <v>0</v>
      </c>
      <c r="O150" s="1">
        <f>0</f>
        <v>0</v>
      </c>
      <c r="P150" s="1">
        <f>IF(Signals_US!E150=1,Signals_US!Q150*Mapping!$E$16,IF(Signals_US!E150=-1,-Signals_US!R150*Mapping!$E$16,0))</f>
        <v>0</v>
      </c>
      <c r="Q150" s="1">
        <f>IF(Signals_US!J150=1,Signals_US!Q150*Mapping!$E$17,IF(Signals_US!J150=-1,-Signals_US!R150*Mapping!$E$17,0))</f>
        <v>-5.000000000000001E-2</v>
      </c>
      <c r="R150" s="1">
        <f>IF(Signals_US!K150=1,Signals_US!Q150*Mapping!$E$18,IF(Signals_US!K150=-1,-Signals_US!R150*Mapping!$E$18,0))</f>
        <v>0</v>
      </c>
      <c r="S150" s="1">
        <f>IF(Signals_US!M150=1,Signals_US!Q150*Mapping!$E$19,IF(Signals_US!M150=-1,-Signals_US!R150*Mapping!$E$19,0))</f>
        <v>0</v>
      </c>
      <c r="T150" s="1">
        <f>IF(Signals_US!L150=1,Signals_US!Q150*Mapping!$E$20,IF(Signals_US!L150=-1,-Signals_US!R150*Mapping!$E$20,0))</f>
        <v>5.000000000000001E-2</v>
      </c>
      <c r="U150" s="1">
        <f t="shared" si="2"/>
        <v>0</v>
      </c>
    </row>
    <row r="151" spans="1:21">
      <c r="A151" s="5">
        <f>Signals_US!B151</f>
        <v>43586</v>
      </c>
      <c r="B151" s="1">
        <f>0</f>
        <v>0</v>
      </c>
      <c r="C151" s="1">
        <f>IF(Signals_US!F151=1,Signals_US!Q151*Mapping!$E$3,IF(Signals_US!F151=-1,-Signals_US!R151*Mapping!$E$3,0))</f>
        <v>0</v>
      </c>
      <c r="D151" s="1">
        <f>IF(Signals_US!C151=1,Signals_US!Q151*Mapping!$E$4,IF(Signals_US!C151=-1,-Signals_US!R151*Mapping!$E$4,0))</f>
        <v>0</v>
      </c>
      <c r="E151" s="1">
        <f>IF(Signals_US!C151=1,Signals_US!Q151*Mapping!$E$5,IF(Signals_US!C151=-1,-Signals_US!R151*Mapping!$E$5,0))</f>
        <v>0</v>
      </c>
      <c r="F151" s="1">
        <f>IF(Signals_US!C151=1,Signals_US!Q151*Mapping!$E$6,IF(Signals_US!C151=-1,-Signals_US!R151*Mapping!$E$6,0))</f>
        <v>0</v>
      </c>
      <c r="G151" s="1">
        <f>IF(Signals_US!F151=1,Signals_US!Q151*Mapping!$E$7,IF(Signals_US!F151=-1,-Signals_US!R151*Mapping!$E$7,0))</f>
        <v>0</v>
      </c>
      <c r="H151" s="1">
        <f>IF(Signals_US!D151=1,Signals_US!Q151*Mapping!$E$8,IF(Signals_US!D151=-1,-Signals_US!R151*Mapping!$E$8,0))</f>
        <v>-5.000000000000001E-2</v>
      </c>
      <c r="I151" s="1">
        <f>IF(Signals_US!G151=1,Signals_US!Q151*Mapping!$E$9,IF(Signals_US!G151=-1,-Signals_US!R151*Mapping!$E$9,0))</f>
        <v>5.000000000000001E-2</v>
      </c>
      <c r="J151" s="1">
        <f>IF(Signals_US!H151=1,Signals_US!Q151*Mapping!$E$10,IF(Signals_US!H151=-1,-Signals_US!R151*Mapping!$E$10,0))</f>
        <v>0</v>
      </c>
      <c r="K151" s="1">
        <f>IF(Signals_US!F151=1,Signals_US!Q151*Mapping!$E$11,IF(Signals_US!F151=-1,-Signals_US!R151*Mapping!$E$11,0))</f>
        <v>0</v>
      </c>
      <c r="L151" s="1">
        <f>IF(Signals_US!N151=1,Signals_US!Q151*Mapping!$E$12,IF(Signals_US!N151=-1,-Signals_US!R151*Mapping!$E$12,0))</f>
        <v>-5.000000000000001E-2</v>
      </c>
      <c r="M151" s="1">
        <f>IF(Signals_US!I151=1,Signals_US!Q151*Mapping!$E$13,IF(Signals_US!I151=-1,-Signals_US!R151*Mapping!$E$13,0))</f>
        <v>-5.000000000000001E-2</v>
      </c>
      <c r="N151" s="1">
        <f>0</f>
        <v>0</v>
      </c>
      <c r="O151" s="1">
        <f>0</f>
        <v>0</v>
      </c>
      <c r="P151" s="1">
        <f>IF(Signals_US!E151=1,Signals_US!Q151*Mapping!$E$16,IF(Signals_US!E151=-1,-Signals_US!R151*Mapping!$E$16,0))</f>
        <v>5.000000000000001E-2</v>
      </c>
      <c r="Q151" s="1">
        <f>IF(Signals_US!J151=1,Signals_US!Q151*Mapping!$E$17,IF(Signals_US!J151=-1,-Signals_US!R151*Mapping!$E$17,0))</f>
        <v>0</v>
      </c>
      <c r="R151" s="1">
        <f>IF(Signals_US!K151=1,Signals_US!Q151*Mapping!$E$18,IF(Signals_US!K151=-1,-Signals_US!R151*Mapping!$E$18,0))</f>
        <v>5.000000000000001E-2</v>
      </c>
      <c r="S151" s="1">
        <f>IF(Signals_US!M151=1,Signals_US!Q151*Mapping!$E$19,IF(Signals_US!M151=-1,-Signals_US!R151*Mapping!$E$19,0))</f>
        <v>0</v>
      </c>
      <c r="T151" s="1">
        <f>IF(Signals_US!L151=1,Signals_US!Q151*Mapping!$E$20,IF(Signals_US!L151=-1,-Signals_US!R151*Mapping!$E$20,0))</f>
        <v>0</v>
      </c>
      <c r="U151" s="1">
        <f t="shared" si="2"/>
        <v>0</v>
      </c>
    </row>
    <row r="152" spans="1:21">
      <c r="A152" s="5">
        <f>Signals_US!B152</f>
        <v>43617</v>
      </c>
      <c r="B152" s="1">
        <f>0</f>
        <v>0</v>
      </c>
      <c r="C152" s="1">
        <f>IF(Signals_US!F152=1,Signals_US!Q152*Mapping!$E$3,IF(Signals_US!F152=-1,-Signals_US!R152*Mapping!$E$3,0))</f>
        <v>0</v>
      </c>
      <c r="D152" s="1">
        <f>IF(Signals_US!C152=1,Signals_US!Q152*Mapping!$E$4,IF(Signals_US!C152=-1,-Signals_US!R152*Mapping!$E$4,0))</f>
        <v>0</v>
      </c>
      <c r="E152" s="1">
        <f>IF(Signals_US!C152=1,Signals_US!Q152*Mapping!$E$5,IF(Signals_US!C152=-1,-Signals_US!R152*Mapping!$E$5,0))</f>
        <v>0</v>
      </c>
      <c r="F152" s="1">
        <f>IF(Signals_US!C152=1,Signals_US!Q152*Mapping!$E$6,IF(Signals_US!C152=-1,-Signals_US!R152*Mapping!$E$6,0))</f>
        <v>0</v>
      </c>
      <c r="G152" s="1">
        <f>IF(Signals_US!F152=1,Signals_US!Q152*Mapping!$E$7,IF(Signals_US!F152=-1,-Signals_US!R152*Mapping!$E$7,0))</f>
        <v>0</v>
      </c>
      <c r="H152" s="1">
        <f>IF(Signals_US!D152=1,Signals_US!Q152*Mapping!$E$8,IF(Signals_US!D152=-1,-Signals_US!R152*Mapping!$E$8,0))</f>
        <v>-5.000000000000001E-2</v>
      </c>
      <c r="I152" s="1">
        <f>IF(Signals_US!G152=1,Signals_US!Q152*Mapping!$E$9,IF(Signals_US!G152=-1,-Signals_US!R152*Mapping!$E$9,0))</f>
        <v>5.000000000000001E-2</v>
      </c>
      <c r="J152" s="1">
        <f>IF(Signals_US!H152=1,Signals_US!Q152*Mapping!$E$10,IF(Signals_US!H152=-1,-Signals_US!R152*Mapping!$E$10,0))</f>
        <v>0</v>
      </c>
      <c r="K152" s="1">
        <f>IF(Signals_US!F152=1,Signals_US!Q152*Mapping!$E$11,IF(Signals_US!F152=-1,-Signals_US!R152*Mapping!$E$11,0))</f>
        <v>0</v>
      </c>
      <c r="L152" s="1">
        <f>IF(Signals_US!N152=1,Signals_US!Q152*Mapping!$E$12,IF(Signals_US!N152=-1,-Signals_US!R152*Mapping!$E$12,0))</f>
        <v>0</v>
      </c>
      <c r="M152" s="1">
        <f>IF(Signals_US!I152=1,Signals_US!Q152*Mapping!$E$13,IF(Signals_US!I152=-1,-Signals_US!R152*Mapping!$E$13,0))</f>
        <v>-5.000000000000001E-2</v>
      </c>
      <c r="N152" s="1">
        <f>0</f>
        <v>0</v>
      </c>
      <c r="O152" s="1">
        <f>0</f>
        <v>0</v>
      </c>
      <c r="P152" s="1">
        <f>IF(Signals_US!E152=1,Signals_US!Q152*Mapping!$E$16,IF(Signals_US!E152=-1,-Signals_US!R152*Mapping!$E$16,0))</f>
        <v>5.000000000000001E-2</v>
      </c>
      <c r="Q152" s="1">
        <f>IF(Signals_US!J152=1,Signals_US!Q152*Mapping!$E$17,IF(Signals_US!J152=-1,-Signals_US!R152*Mapping!$E$17,0))</f>
        <v>-5.000000000000001E-2</v>
      </c>
      <c r="R152" s="1">
        <f>IF(Signals_US!K152=1,Signals_US!Q152*Mapping!$E$18,IF(Signals_US!K152=-1,-Signals_US!R152*Mapping!$E$18,0))</f>
        <v>0</v>
      </c>
      <c r="S152" s="1">
        <f>IF(Signals_US!M152=1,Signals_US!Q152*Mapping!$E$19,IF(Signals_US!M152=-1,-Signals_US!R152*Mapping!$E$19,0))</f>
        <v>0</v>
      </c>
      <c r="T152" s="1">
        <f>IF(Signals_US!L152=1,Signals_US!Q152*Mapping!$E$20,IF(Signals_US!L152=-1,-Signals_US!R152*Mapping!$E$20,0))</f>
        <v>5.000000000000001E-2</v>
      </c>
      <c r="U152" s="1">
        <f t="shared" si="2"/>
        <v>0</v>
      </c>
    </row>
    <row r="153" spans="1:21">
      <c r="A153" s="5">
        <f>Signals_US!B153</f>
        <v>43647</v>
      </c>
      <c r="B153" s="1">
        <f>0</f>
        <v>0</v>
      </c>
      <c r="C153" s="1">
        <f>IF(Signals_US!F153=1,Signals_US!Q153*Mapping!$E$3,IF(Signals_US!F153=-1,-Signals_US!R153*Mapping!$E$3,0))</f>
        <v>0</v>
      </c>
      <c r="D153" s="1">
        <f>IF(Signals_US!C153=1,Signals_US!Q153*Mapping!$E$4,IF(Signals_US!C153=-1,-Signals_US!R153*Mapping!$E$4,0))</f>
        <v>-1.666666666666667E-2</v>
      </c>
      <c r="E153" s="1">
        <f>IF(Signals_US!C153=1,Signals_US!Q153*Mapping!$E$5,IF(Signals_US!C153=-1,-Signals_US!R153*Mapping!$E$5,0))</f>
        <v>-1.666666666666667E-2</v>
      </c>
      <c r="F153" s="1">
        <f>IF(Signals_US!C153=1,Signals_US!Q153*Mapping!$E$6,IF(Signals_US!C153=-1,-Signals_US!R153*Mapping!$E$6,0))</f>
        <v>-1.666666666666667E-2</v>
      </c>
      <c r="G153" s="1">
        <f>IF(Signals_US!F153=1,Signals_US!Q153*Mapping!$E$7,IF(Signals_US!F153=-1,-Signals_US!R153*Mapping!$E$7,0))</f>
        <v>0</v>
      </c>
      <c r="H153" s="1">
        <f>IF(Signals_US!D153=1,Signals_US!Q153*Mapping!$E$8,IF(Signals_US!D153=-1,-Signals_US!R153*Mapping!$E$8,0))</f>
        <v>-5.000000000000001E-2</v>
      </c>
      <c r="I153" s="1">
        <f>IF(Signals_US!G153=1,Signals_US!Q153*Mapping!$E$9,IF(Signals_US!G153=-1,-Signals_US!R153*Mapping!$E$9,0))</f>
        <v>5.000000000000001E-2</v>
      </c>
      <c r="J153" s="1">
        <f>IF(Signals_US!H153=1,Signals_US!Q153*Mapping!$E$10,IF(Signals_US!H153=-1,-Signals_US!R153*Mapping!$E$10,0))</f>
        <v>0</v>
      </c>
      <c r="K153" s="1">
        <f>IF(Signals_US!F153=1,Signals_US!Q153*Mapping!$E$11,IF(Signals_US!F153=-1,-Signals_US!R153*Mapping!$E$11,0))</f>
        <v>0</v>
      </c>
      <c r="L153" s="1">
        <f>IF(Signals_US!N153=1,Signals_US!Q153*Mapping!$E$12,IF(Signals_US!N153=-1,-Signals_US!R153*Mapping!$E$12,0))</f>
        <v>0</v>
      </c>
      <c r="M153" s="1">
        <f>IF(Signals_US!I153=1,Signals_US!Q153*Mapping!$E$13,IF(Signals_US!I153=-1,-Signals_US!R153*Mapping!$E$13,0))</f>
        <v>-5.000000000000001E-2</v>
      </c>
      <c r="N153" s="1">
        <f>0</f>
        <v>0</v>
      </c>
      <c r="O153" s="1">
        <f>0</f>
        <v>0</v>
      </c>
      <c r="P153" s="1">
        <f>IF(Signals_US!E153=1,Signals_US!Q153*Mapping!$E$16,IF(Signals_US!E153=-1,-Signals_US!R153*Mapping!$E$16,0))</f>
        <v>5.000000000000001E-2</v>
      </c>
      <c r="Q153" s="1">
        <f>IF(Signals_US!J153=1,Signals_US!Q153*Mapping!$E$17,IF(Signals_US!J153=-1,-Signals_US!R153*Mapping!$E$17,0))</f>
        <v>0</v>
      </c>
      <c r="R153" s="1">
        <f>IF(Signals_US!K153=1,Signals_US!Q153*Mapping!$E$18,IF(Signals_US!K153=-1,-Signals_US!R153*Mapping!$E$18,0))</f>
        <v>0</v>
      </c>
      <c r="S153" s="1">
        <f>IF(Signals_US!M153=1,Signals_US!Q153*Mapping!$E$19,IF(Signals_US!M153=-1,-Signals_US!R153*Mapping!$E$19,0))</f>
        <v>0</v>
      </c>
      <c r="T153" s="1">
        <f>IF(Signals_US!L153=1,Signals_US!Q153*Mapping!$E$20,IF(Signals_US!L153=-1,-Signals_US!R153*Mapping!$E$20,0))</f>
        <v>5.000000000000001E-2</v>
      </c>
      <c r="U153" s="1">
        <f t="shared" si="2"/>
        <v>0</v>
      </c>
    </row>
    <row r="154" spans="1:21">
      <c r="A154" s="5">
        <f>Signals_US!B154</f>
        <v>43678</v>
      </c>
      <c r="B154" s="1">
        <f>0</f>
        <v>0</v>
      </c>
      <c r="C154" s="1">
        <f>IF(Signals_US!F154=1,Signals_US!Q154*Mapping!$E$3,IF(Signals_US!F154=-1,-Signals_US!R154*Mapping!$E$3,0))</f>
        <v>0</v>
      </c>
      <c r="D154" s="1">
        <f>IF(Signals_US!C154=1,Signals_US!Q154*Mapping!$E$4,IF(Signals_US!C154=-1,-Signals_US!R154*Mapping!$E$4,0))</f>
        <v>-1.666666666666667E-2</v>
      </c>
      <c r="E154" s="1">
        <f>IF(Signals_US!C154=1,Signals_US!Q154*Mapping!$E$5,IF(Signals_US!C154=-1,-Signals_US!R154*Mapping!$E$5,0))</f>
        <v>-1.666666666666667E-2</v>
      </c>
      <c r="F154" s="1">
        <f>IF(Signals_US!C154=1,Signals_US!Q154*Mapping!$E$6,IF(Signals_US!C154=-1,-Signals_US!R154*Mapping!$E$6,0))</f>
        <v>-1.666666666666667E-2</v>
      </c>
      <c r="G154" s="1">
        <f>IF(Signals_US!F154=1,Signals_US!Q154*Mapping!$E$7,IF(Signals_US!F154=-1,-Signals_US!R154*Mapping!$E$7,0))</f>
        <v>0</v>
      </c>
      <c r="H154" s="1">
        <f>IF(Signals_US!D154=1,Signals_US!Q154*Mapping!$E$8,IF(Signals_US!D154=-1,-Signals_US!R154*Mapping!$E$8,0))</f>
        <v>-5.000000000000001E-2</v>
      </c>
      <c r="I154" s="1">
        <f>IF(Signals_US!G154=1,Signals_US!Q154*Mapping!$E$9,IF(Signals_US!G154=-1,-Signals_US!R154*Mapping!$E$9,0))</f>
        <v>5.000000000000001E-2</v>
      </c>
      <c r="J154" s="1">
        <f>IF(Signals_US!H154=1,Signals_US!Q154*Mapping!$E$10,IF(Signals_US!H154=-1,-Signals_US!R154*Mapping!$E$10,0))</f>
        <v>0</v>
      </c>
      <c r="K154" s="1">
        <f>IF(Signals_US!F154=1,Signals_US!Q154*Mapping!$E$11,IF(Signals_US!F154=-1,-Signals_US!R154*Mapping!$E$11,0))</f>
        <v>0</v>
      </c>
      <c r="L154" s="1">
        <f>IF(Signals_US!N154=1,Signals_US!Q154*Mapping!$E$12,IF(Signals_US!N154=-1,-Signals_US!R154*Mapping!$E$12,0))</f>
        <v>0</v>
      </c>
      <c r="M154" s="1">
        <f>IF(Signals_US!I154=1,Signals_US!Q154*Mapping!$E$13,IF(Signals_US!I154=-1,-Signals_US!R154*Mapping!$E$13,0))</f>
        <v>-5.000000000000001E-2</v>
      </c>
      <c r="N154" s="1">
        <f>0</f>
        <v>0</v>
      </c>
      <c r="O154" s="1">
        <f>0</f>
        <v>0</v>
      </c>
      <c r="P154" s="1">
        <f>IF(Signals_US!E154=1,Signals_US!Q154*Mapping!$E$16,IF(Signals_US!E154=-1,-Signals_US!R154*Mapping!$E$16,0))</f>
        <v>5.000000000000001E-2</v>
      </c>
      <c r="Q154" s="1">
        <f>IF(Signals_US!J154=1,Signals_US!Q154*Mapping!$E$17,IF(Signals_US!J154=-1,-Signals_US!R154*Mapping!$E$17,0))</f>
        <v>0</v>
      </c>
      <c r="R154" s="1">
        <f>IF(Signals_US!K154=1,Signals_US!Q154*Mapping!$E$18,IF(Signals_US!K154=-1,-Signals_US!R154*Mapping!$E$18,0))</f>
        <v>5.000000000000001E-2</v>
      </c>
      <c r="S154" s="1">
        <f>IF(Signals_US!M154=1,Signals_US!Q154*Mapping!$E$19,IF(Signals_US!M154=-1,-Signals_US!R154*Mapping!$E$19,0))</f>
        <v>0</v>
      </c>
      <c r="T154" s="1">
        <f>IF(Signals_US!L154=1,Signals_US!Q154*Mapping!$E$20,IF(Signals_US!L154=-1,-Signals_US!R154*Mapping!$E$20,0))</f>
        <v>0</v>
      </c>
      <c r="U154" s="1">
        <f t="shared" si="2"/>
        <v>0</v>
      </c>
    </row>
    <row r="155" spans="1:21">
      <c r="A155" s="5">
        <f>Signals_US!B155</f>
        <v>43709</v>
      </c>
      <c r="B155" s="1">
        <f>0</f>
        <v>0</v>
      </c>
      <c r="C155" s="1">
        <f>IF(Signals_US!F155=1,Signals_US!Q155*Mapping!$E$3,IF(Signals_US!F155=-1,-Signals_US!R155*Mapping!$E$3,0))</f>
        <v>0</v>
      </c>
      <c r="D155" s="1">
        <f>IF(Signals_US!C155=1,Signals_US!Q155*Mapping!$E$4,IF(Signals_US!C155=-1,-Signals_US!R155*Mapping!$E$4,0))</f>
        <v>-1.666666666666667E-2</v>
      </c>
      <c r="E155" s="1">
        <f>IF(Signals_US!C155=1,Signals_US!Q155*Mapping!$E$5,IF(Signals_US!C155=-1,-Signals_US!R155*Mapping!$E$5,0))</f>
        <v>-1.666666666666667E-2</v>
      </c>
      <c r="F155" s="1">
        <f>IF(Signals_US!C155=1,Signals_US!Q155*Mapping!$E$6,IF(Signals_US!C155=-1,-Signals_US!R155*Mapping!$E$6,0))</f>
        <v>-1.666666666666667E-2</v>
      </c>
      <c r="G155" s="1">
        <f>IF(Signals_US!F155=1,Signals_US!Q155*Mapping!$E$7,IF(Signals_US!F155=-1,-Signals_US!R155*Mapping!$E$7,0))</f>
        <v>0</v>
      </c>
      <c r="H155" s="1">
        <f>IF(Signals_US!D155=1,Signals_US!Q155*Mapping!$E$8,IF(Signals_US!D155=-1,-Signals_US!R155*Mapping!$E$8,0))</f>
        <v>0</v>
      </c>
      <c r="I155" s="1">
        <f>IF(Signals_US!G155=1,Signals_US!Q155*Mapping!$E$9,IF(Signals_US!G155=-1,-Signals_US!R155*Mapping!$E$9,0))</f>
        <v>5.000000000000001E-2</v>
      </c>
      <c r="J155" s="1">
        <f>IF(Signals_US!H155=1,Signals_US!Q155*Mapping!$E$10,IF(Signals_US!H155=-1,-Signals_US!R155*Mapping!$E$10,0))</f>
        <v>0</v>
      </c>
      <c r="K155" s="1">
        <f>IF(Signals_US!F155=1,Signals_US!Q155*Mapping!$E$11,IF(Signals_US!F155=-1,-Signals_US!R155*Mapping!$E$11,0))</f>
        <v>0</v>
      </c>
      <c r="L155" s="1">
        <f>IF(Signals_US!N155=1,Signals_US!Q155*Mapping!$E$12,IF(Signals_US!N155=-1,-Signals_US!R155*Mapping!$E$12,0))</f>
        <v>5.000000000000001E-2</v>
      </c>
      <c r="M155" s="1">
        <f>IF(Signals_US!I155=1,Signals_US!Q155*Mapping!$E$13,IF(Signals_US!I155=-1,-Signals_US!R155*Mapping!$E$13,0))</f>
        <v>-5.000000000000001E-2</v>
      </c>
      <c r="N155" s="1">
        <f>0</f>
        <v>0</v>
      </c>
      <c r="O155" s="1">
        <f>0</f>
        <v>0</v>
      </c>
      <c r="P155" s="1">
        <f>IF(Signals_US!E155=1,Signals_US!Q155*Mapping!$E$16,IF(Signals_US!E155=-1,-Signals_US!R155*Mapping!$E$16,0))</f>
        <v>0</v>
      </c>
      <c r="Q155" s="1">
        <f>IF(Signals_US!J155=1,Signals_US!Q155*Mapping!$E$17,IF(Signals_US!J155=-1,-Signals_US!R155*Mapping!$E$17,0))</f>
        <v>-5.000000000000001E-2</v>
      </c>
      <c r="R155" s="1">
        <f>IF(Signals_US!K155=1,Signals_US!Q155*Mapping!$E$18,IF(Signals_US!K155=-1,-Signals_US!R155*Mapping!$E$18,0))</f>
        <v>0</v>
      </c>
      <c r="S155" s="1">
        <f>IF(Signals_US!M155=1,Signals_US!Q155*Mapping!$E$19,IF(Signals_US!M155=-1,-Signals_US!R155*Mapping!$E$19,0))</f>
        <v>0</v>
      </c>
      <c r="T155" s="1">
        <f>IF(Signals_US!L155=1,Signals_US!Q155*Mapping!$E$20,IF(Signals_US!L155=-1,-Signals_US!R155*Mapping!$E$20,0))</f>
        <v>5.000000000000001E-2</v>
      </c>
      <c r="U155" s="1">
        <f t="shared" si="2"/>
        <v>0</v>
      </c>
    </row>
    <row r="156" spans="1:21">
      <c r="A156" s="5">
        <f>Signals_US!B156</f>
        <v>43739</v>
      </c>
      <c r="B156" s="1">
        <f>0</f>
        <v>0</v>
      </c>
      <c r="C156" s="1">
        <f>IF(Signals_US!F156=1,Signals_US!Q156*Mapping!$E$3,IF(Signals_US!F156=-1,-Signals_US!R156*Mapping!$E$3,0))</f>
        <v>-1.666666666666667E-2</v>
      </c>
      <c r="D156" s="1">
        <f>IF(Signals_US!C156=1,Signals_US!Q156*Mapping!$E$4,IF(Signals_US!C156=-1,-Signals_US!R156*Mapping!$E$4,0))</f>
        <v>-1.666666666666667E-2</v>
      </c>
      <c r="E156" s="1">
        <f>IF(Signals_US!C156=1,Signals_US!Q156*Mapping!$E$5,IF(Signals_US!C156=-1,-Signals_US!R156*Mapping!$E$5,0))</f>
        <v>-1.666666666666667E-2</v>
      </c>
      <c r="F156" s="1">
        <f>IF(Signals_US!C156=1,Signals_US!Q156*Mapping!$E$6,IF(Signals_US!C156=-1,-Signals_US!R156*Mapping!$E$6,0))</f>
        <v>-1.666666666666667E-2</v>
      </c>
      <c r="G156" s="1">
        <f>IF(Signals_US!F156=1,Signals_US!Q156*Mapping!$E$7,IF(Signals_US!F156=-1,-Signals_US!R156*Mapping!$E$7,0))</f>
        <v>-1.666666666666667E-2</v>
      </c>
      <c r="H156" s="1">
        <f>IF(Signals_US!D156=1,Signals_US!Q156*Mapping!$E$8,IF(Signals_US!D156=-1,-Signals_US!R156*Mapping!$E$8,0))</f>
        <v>0</v>
      </c>
      <c r="I156" s="1">
        <f>IF(Signals_US!G156=1,Signals_US!Q156*Mapping!$E$9,IF(Signals_US!G156=-1,-Signals_US!R156*Mapping!$E$9,0))</f>
        <v>5.000000000000001E-2</v>
      </c>
      <c r="J156" s="1">
        <f>IF(Signals_US!H156=1,Signals_US!Q156*Mapping!$E$10,IF(Signals_US!H156=-1,-Signals_US!R156*Mapping!$E$10,0))</f>
        <v>0</v>
      </c>
      <c r="K156" s="1">
        <f>IF(Signals_US!F156=1,Signals_US!Q156*Mapping!$E$11,IF(Signals_US!F156=-1,-Signals_US!R156*Mapping!$E$11,0))</f>
        <v>-1.666666666666667E-2</v>
      </c>
      <c r="L156" s="1">
        <f>IF(Signals_US!N156=1,Signals_US!Q156*Mapping!$E$12,IF(Signals_US!N156=-1,-Signals_US!R156*Mapping!$E$12,0))</f>
        <v>0</v>
      </c>
      <c r="M156" s="1">
        <f>IF(Signals_US!I156=1,Signals_US!Q156*Mapping!$E$13,IF(Signals_US!I156=-1,-Signals_US!R156*Mapping!$E$13,0))</f>
        <v>-5.000000000000001E-2</v>
      </c>
      <c r="N156" s="1">
        <f>0</f>
        <v>0</v>
      </c>
      <c r="O156" s="1">
        <f>0</f>
        <v>0</v>
      </c>
      <c r="P156" s="1">
        <f>IF(Signals_US!E156=1,Signals_US!Q156*Mapping!$E$16,IF(Signals_US!E156=-1,-Signals_US!R156*Mapping!$E$16,0))</f>
        <v>0</v>
      </c>
      <c r="Q156" s="1">
        <f>IF(Signals_US!J156=1,Signals_US!Q156*Mapping!$E$17,IF(Signals_US!J156=-1,-Signals_US!R156*Mapping!$E$17,0))</f>
        <v>0</v>
      </c>
      <c r="R156" s="1">
        <f>IF(Signals_US!K156=1,Signals_US!Q156*Mapping!$E$18,IF(Signals_US!K156=-1,-Signals_US!R156*Mapping!$E$18,0))</f>
        <v>5.000000000000001E-2</v>
      </c>
      <c r="S156" s="1">
        <f>IF(Signals_US!M156=1,Signals_US!Q156*Mapping!$E$19,IF(Signals_US!M156=-1,-Signals_US!R156*Mapping!$E$19,0))</f>
        <v>0</v>
      </c>
      <c r="T156" s="1">
        <f>IF(Signals_US!L156=1,Signals_US!Q156*Mapping!$E$20,IF(Signals_US!L156=-1,-Signals_US!R156*Mapping!$E$20,0))</f>
        <v>5.000000000000001E-2</v>
      </c>
      <c r="U156" s="1">
        <f t="shared" si="2"/>
        <v>0</v>
      </c>
    </row>
    <row r="157" spans="1:21">
      <c r="A157" s="5">
        <f>Signals_US!B157</f>
        <v>43770</v>
      </c>
      <c r="B157" s="1">
        <f>0</f>
        <v>0</v>
      </c>
      <c r="C157" s="1">
        <f>IF(Signals_US!F157=1,Signals_US!Q157*Mapping!$E$3,IF(Signals_US!F157=-1,-Signals_US!R157*Mapping!$E$3,0))</f>
        <v>-1.666666666666667E-2</v>
      </c>
      <c r="D157" s="1">
        <f>IF(Signals_US!C157=1,Signals_US!Q157*Mapping!$E$4,IF(Signals_US!C157=-1,-Signals_US!R157*Mapping!$E$4,0))</f>
        <v>0</v>
      </c>
      <c r="E157" s="1">
        <f>IF(Signals_US!C157=1,Signals_US!Q157*Mapping!$E$5,IF(Signals_US!C157=-1,-Signals_US!R157*Mapping!$E$5,0))</f>
        <v>0</v>
      </c>
      <c r="F157" s="1">
        <f>IF(Signals_US!C157=1,Signals_US!Q157*Mapping!$E$6,IF(Signals_US!C157=-1,-Signals_US!R157*Mapping!$E$6,0))</f>
        <v>0</v>
      </c>
      <c r="G157" s="1">
        <f>IF(Signals_US!F157=1,Signals_US!Q157*Mapping!$E$7,IF(Signals_US!F157=-1,-Signals_US!R157*Mapping!$E$7,0))</f>
        <v>-1.666666666666667E-2</v>
      </c>
      <c r="H157" s="1">
        <f>IF(Signals_US!D157=1,Signals_US!Q157*Mapping!$E$8,IF(Signals_US!D157=-1,-Signals_US!R157*Mapping!$E$8,0))</f>
        <v>0</v>
      </c>
      <c r="I157" s="1">
        <f>IF(Signals_US!G157=1,Signals_US!Q157*Mapping!$E$9,IF(Signals_US!G157=-1,-Signals_US!R157*Mapping!$E$9,0))</f>
        <v>5.000000000000001E-2</v>
      </c>
      <c r="J157" s="1">
        <f>IF(Signals_US!H157=1,Signals_US!Q157*Mapping!$E$10,IF(Signals_US!H157=-1,-Signals_US!R157*Mapping!$E$10,0))</f>
        <v>0</v>
      </c>
      <c r="K157" s="1">
        <f>IF(Signals_US!F157=1,Signals_US!Q157*Mapping!$E$11,IF(Signals_US!F157=-1,-Signals_US!R157*Mapping!$E$11,0))</f>
        <v>-1.666666666666667E-2</v>
      </c>
      <c r="L157" s="1">
        <f>IF(Signals_US!N157=1,Signals_US!Q157*Mapping!$E$12,IF(Signals_US!N157=-1,-Signals_US!R157*Mapping!$E$12,0))</f>
        <v>-5.000000000000001E-2</v>
      </c>
      <c r="M157" s="1">
        <f>IF(Signals_US!I157=1,Signals_US!Q157*Mapping!$E$13,IF(Signals_US!I157=-1,-Signals_US!R157*Mapping!$E$13,0))</f>
        <v>5.000000000000001E-2</v>
      </c>
      <c r="N157" s="1">
        <f>0</f>
        <v>0</v>
      </c>
      <c r="O157" s="1">
        <f>0</f>
        <v>0</v>
      </c>
      <c r="P157" s="1">
        <f>IF(Signals_US!E157=1,Signals_US!Q157*Mapping!$E$16,IF(Signals_US!E157=-1,-Signals_US!R157*Mapping!$E$16,0))</f>
        <v>0</v>
      </c>
      <c r="Q157" s="1">
        <f>IF(Signals_US!J157=1,Signals_US!Q157*Mapping!$E$17,IF(Signals_US!J157=-1,-Signals_US!R157*Mapping!$E$17,0))</f>
        <v>-5.000000000000001E-2</v>
      </c>
      <c r="R157" s="1">
        <f>IF(Signals_US!K157=1,Signals_US!Q157*Mapping!$E$18,IF(Signals_US!K157=-1,-Signals_US!R157*Mapping!$E$18,0))</f>
        <v>5.000000000000001E-2</v>
      </c>
      <c r="S157" s="1">
        <f>IF(Signals_US!M157=1,Signals_US!Q157*Mapping!$E$19,IF(Signals_US!M157=-1,-Signals_US!R157*Mapping!$E$19,0))</f>
        <v>0</v>
      </c>
      <c r="T157" s="1">
        <f>IF(Signals_US!L157=1,Signals_US!Q157*Mapping!$E$20,IF(Signals_US!L157=-1,-Signals_US!R157*Mapping!$E$20,0))</f>
        <v>0</v>
      </c>
      <c r="U157" s="1">
        <f t="shared" si="2"/>
        <v>0</v>
      </c>
    </row>
    <row r="158" spans="1:21">
      <c r="A158" s="5">
        <f>Signals_US!B158</f>
        <v>43800</v>
      </c>
      <c r="B158" s="1">
        <f>0</f>
        <v>0</v>
      </c>
      <c r="C158" s="1">
        <f>IF(Signals_US!F158=1,Signals_US!Q158*Mapping!$E$3,IF(Signals_US!F158=-1,-Signals_US!R158*Mapping!$E$3,0))</f>
        <v>-1.666666666666667E-2</v>
      </c>
      <c r="D158" s="1">
        <f>IF(Signals_US!C158=1,Signals_US!Q158*Mapping!$E$4,IF(Signals_US!C158=-1,-Signals_US!R158*Mapping!$E$4,0))</f>
        <v>0</v>
      </c>
      <c r="E158" s="1">
        <f>IF(Signals_US!C158=1,Signals_US!Q158*Mapping!$E$5,IF(Signals_US!C158=-1,-Signals_US!R158*Mapping!$E$5,0))</f>
        <v>0</v>
      </c>
      <c r="F158" s="1">
        <f>IF(Signals_US!C158=1,Signals_US!Q158*Mapping!$E$6,IF(Signals_US!C158=-1,-Signals_US!R158*Mapping!$E$6,0))</f>
        <v>0</v>
      </c>
      <c r="G158" s="1">
        <f>IF(Signals_US!F158=1,Signals_US!Q158*Mapping!$E$7,IF(Signals_US!F158=-1,-Signals_US!R158*Mapping!$E$7,0))</f>
        <v>-1.666666666666667E-2</v>
      </c>
      <c r="H158" s="1">
        <f>IF(Signals_US!D158=1,Signals_US!Q158*Mapping!$E$8,IF(Signals_US!D158=-1,-Signals_US!R158*Mapping!$E$8,0))</f>
        <v>5.000000000000001E-2</v>
      </c>
      <c r="I158" s="1">
        <f>IF(Signals_US!G158=1,Signals_US!Q158*Mapping!$E$9,IF(Signals_US!G158=-1,-Signals_US!R158*Mapping!$E$9,0))</f>
        <v>0</v>
      </c>
      <c r="J158" s="1">
        <f>IF(Signals_US!H158=1,Signals_US!Q158*Mapping!$E$10,IF(Signals_US!H158=-1,-Signals_US!R158*Mapping!$E$10,0))</f>
        <v>0</v>
      </c>
      <c r="K158" s="1">
        <f>IF(Signals_US!F158=1,Signals_US!Q158*Mapping!$E$11,IF(Signals_US!F158=-1,-Signals_US!R158*Mapping!$E$11,0))</f>
        <v>-1.666666666666667E-2</v>
      </c>
      <c r="L158" s="1">
        <f>IF(Signals_US!N158=1,Signals_US!Q158*Mapping!$E$12,IF(Signals_US!N158=-1,-Signals_US!R158*Mapping!$E$12,0))</f>
        <v>-5.000000000000001E-2</v>
      </c>
      <c r="M158" s="1">
        <f>IF(Signals_US!I158=1,Signals_US!Q158*Mapping!$E$13,IF(Signals_US!I158=-1,-Signals_US!R158*Mapping!$E$13,0))</f>
        <v>-5.000000000000001E-2</v>
      </c>
      <c r="N158" s="1">
        <f>0</f>
        <v>0</v>
      </c>
      <c r="O158" s="1">
        <f>0</f>
        <v>0</v>
      </c>
      <c r="P158" s="1">
        <f>IF(Signals_US!E158=1,Signals_US!Q158*Mapping!$E$16,IF(Signals_US!E158=-1,-Signals_US!R158*Mapping!$E$16,0))</f>
        <v>0</v>
      </c>
      <c r="Q158" s="1">
        <f>IF(Signals_US!J158=1,Signals_US!Q158*Mapping!$E$17,IF(Signals_US!J158=-1,-Signals_US!R158*Mapping!$E$17,0))</f>
        <v>0</v>
      </c>
      <c r="R158" s="1">
        <f>IF(Signals_US!K158=1,Signals_US!Q158*Mapping!$E$18,IF(Signals_US!K158=-1,-Signals_US!R158*Mapping!$E$18,0))</f>
        <v>5.000000000000001E-2</v>
      </c>
      <c r="S158" s="1">
        <f>IF(Signals_US!M158=1,Signals_US!Q158*Mapping!$E$19,IF(Signals_US!M158=-1,-Signals_US!R158*Mapping!$E$19,0))</f>
        <v>0</v>
      </c>
      <c r="T158" s="1">
        <f>IF(Signals_US!L158=1,Signals_US!Q158*Mapping!$E$20,IF(Signals_US!L158=-1,-Signals_US!R158*Mapping!$E$20,0))</f>
        <v>5.000000000000001E-2</v>
      </c>
      <c r="U158" s="1">
        <f t="shared" si="2"/>
        <v>0</v>
      </c>
    </row>
    <row r="159" spans="1:21">
      <c r="A159" s="5">
        <f>Signals_US!B159</f>
        <v>43831</v>
      </c>
      <c r="B159" s="1">
        <f>0</f>
        <v>0</v>
      </c>
      <c r="C159" s="1">
        <f>IF(Signals_US!F159=1,Signals_US!Q159*Mapping!$E$3,IF(Signals_US!F159=-1,-Signals_US!R159*Mapping!$E$3,0))</f>
        <v>-1.666666666666667E-2</v>
      </c>
      <c r="D159" s="1">
        <f>IF(Signals_US!C159=1,Signals_US!Q159*Mapping!$E$4,IF(Signals_US!C159=-1,-Signals_US!R159*Mapping!$E$4,0))</f>
        <v>0</v>
      </c>
      <c r="E159" s="1">
        <f>IF(Signals_US!C159=1,Signals_US!Q159*Mapping!$E$5,IF(Signals_US!C159=-1,-Signals_US!R159*Mapping!$E$5,0))</f>
        <v>0</v>
      </c>
      <c r="F159" s="1">
        <f>IF(Signals_US!C159=1,Signals_US!Q159*Mapping!$E$6,IF(Signals_US!C159=-1,-Signals_US!R159*Mapping!$E$6,0))</f>
        <v>0</v>
      </c>
      <c r="G159" s="1">
        <f>IF(Signals_US!F159=1,Signals_US!Q159*Mapping!$E$7,IF(Signals_US!F159=-1,-Signals_US!R159*Mapping!$E$7,0))</f>
        <v>-1.666666666666667E-2</v>
      </c>
      <c r="H159" s="1">
        <f>IF(Signals_US!D159=1,Signals_US!Q159*Mapping!$E$8,IF(Signals_US!D159=-1,-Signals_US!R159*Mapping!$E$8,0))</f>
        <v>5.000000000000001E-2</v>
      </c>
      <c r="I159" s="1">
        <f>IF(Signals_US!G159=1,Signals_US!Q159*Mapping!$E$9,IF(Signals_US!G159=-1,-Signals_US!R159*Mapping!$E$9,0))</f>
        <v>5.000000000000001E-2</v>
      </c>
      <c r="J159" s="1">
        <f>IF(Signals_US!H159=1,Signals_US!Q159*Mapping!$E$10,IF(Signals_US!H159=-1,-Signals_US!R159*Mapping!$E$10,0))</f>
        <v>0</v>
      </c>
      <c r="K159" s="1">
        <f>IF(Signals_US!F159=1,Signals_US!Q159*Mapping!$E$11,IF(Signals_US!F159=-1,-Signals_US!R159*Mapping!$E$11,0))</f>
        <v>-1.666666666666667E-2</v>
      </c>
      <c r="L159" s="1">
        <f>IF(Signals_US!N159=1,Signals_US!Q159*Mapping!$E$12,IF(Signals_US!N159=-1,-Signals_US!R159*Mapping!$E$12,0))</f>
        <v>-5.000000000000001E-2</v>
      </c>
      <c r="M159" s="1">
        <f>IF(Signals_US!I159=1,Signals_US!Q159*Mapping!$E$13,IF(Signals_US!I159=-1,-Signals_US!R159*Mapping!$E$13,0))</f>
        <v>0</v>
      </c>
      <c r="N159" s="1">
        <f>0</f>
        <v>0</v>
      </c>
      <c r="O159" s="1">
        <f>0</f>
        <v>0</v>
      </c>
      <c r="P159" s="1">
        <f>IF(Signals_US!E159=1,Signals_US!Q159*Mapping!$E$16,IF(Signals_US!E159=-1,-Signals_US!R159*Mapping!$E$16,0))</f>
        <v>0</v>
      </c>
      <c r="Q159" s="1">
        <f>IF(Signals_US!J159=1,Signals_US!Q159*Mapping!$E$17,IF(Signals_US!J159=-1,-Signals_US!R159*Mapping!$E$17,0))</f>
        <v>0</v>
      </c>
      <c r="R159" s="1">
        <f>IF(Signals_US!K159=1,Signals_US!Q159*Mapping!$E$18,IF(Signals_US!K159=-1,-Signals_US!R159*Mapping!$E$18,0))</f>
        <v>5.000000000000001E-2</v>
      </c>
      <c r="S159" s="1">
        <f>IF(Signals_US!M159=1,Signals_US!Q159*Mapping!$E$19,IF(Signals_US!M159=-1,-Signals_US!R159*Mapping!$E$19,0))</f>
        <v>0</v>
      </c>
      <c r="T159" s="1">
        <f>IF(Signals_US!L159=1,Signals_US!Q159*Mapping!$E$20,IF(Signals_US!L159=-1,-Signals_US!R159*Mapping!$E$20,0))</f>
        <v>-5.000000000000001E-2</v>
      </c>
      <c r="U159" s="1">
        <f t="shared" si="2"/>
        <v>0</v>
      </c>
    </row>
    <row r="160" spans="1:21">
      <c r="A160" s="5">
        <f>Signals_US!B160</f>
        <v>43862</v>
      </c>
      <c r="B160" s="1">
        <f>0</f>
        <v>0</v>
      </c>
      <c r="C160" s="1">
        <f>IF(Signals_US!F160=1,Signals_US!Q160*Mapping!$E$3,IF(Signals_US!F160=-1,-Signals_US!R160*Mapping!$E$3,0))</f>
        <v>0</v>
      </c>
      <c r="D160" s="1">
        <f>IF(Signals_US!C160=1,Signals_US!Q160*Mapping!$E$4,IF(Signals_US!C160=-1,-Signals_US!R160*Mapping!$E$4,0))</f>
        <v>0</v>
      </c>
      <c r="E160" s="1">
        <f>IF(Signals_US!C160=1,Signals_US!Q160*Mapping!$E$5,IF(Signals_US!C160=-1,-Signals_US!R160*Mapping!$E$5,0))</f>
        <v>0</v>
      </c>
      <c r="F160" s="1">
        <f>IF(Signals_US!C160=1,Signals_US!Q160*Mapping!$E$6,IF(Signals_US!C160=-1,-Signals_US!R160*Mapping!$E$6,0))</f>
        <v>0</v>
      </c>
      <c r="G160" s="1">
        <f>IF(Signals_US!F160=1,Signals_US!Q160*Mapping!$E$7,IF(Signals_US!F160=-1,-Signals_US!R160*Mapping!$E$7,0))</f>
        <v>0</v>
      </c>
      <c r="H160" s="1">
        <f>IF(Signals_US!D160=1,Signals_US!Q160*Mapping!$E$8,IF(Signals_US!D160=-1,-Signals_US!R160*Mapping!$E$8,0))</f>
        <v>0</v>
      </c>
      <c r="I160" s="1">
        <f>IF(Signals_US!G160=1,Signals_US!Q160*Mapping!$E$9,IF(Signals_US!G160=-1,-Signals_US!R160*Mapping!$E$9,0))</f>
        <v>5.000000000000001E-2</v>
      </c>
      <c r="J160" s="1">
        <f>IF(Signals_US!H160=1,Signals_US!Q160*Mapping!$E$10,IF(Signals_US!H160=-1,-Signals_US!R160*Mapping!$E$10,0))</f>
        <v>-5.000000000000001E-2</v>
      </c>
      <c r="K160" s="1">
        <f>IF(Signals_US!F160=1,Signals_US!Q160*Mapping!$E$11,IF(Signals_US!F160=-1,-Signals_US!R160*Mapping!$E$11,0))</f>
        <v>0</v>
      </c>
      <c r="L160" s="1">
        <f>IF(Signals_US!N160=1,Signals_US!Q160*Mapping!$E$12,IF(Signals_US!N160=-1,-Signals_US!R160*Mapping!$E$12,0))</f>
        <v>0</v>
      </c>
      <c r="M160" s="1">
        <f>IF(Signals_US!I160=1,Signals_US!Q160*Mapping!$E$13,IF(Signals_US!I160=-1,-Signals_US!R160*Mapping!$E$13,0))</f>
        <v>-5.000000000000001E-2</v>
      </c>
      <c r="N160" s="1">
        <f>0</f>
        <v>0</v>
      </c>
      <c r="O160" s="1">
        <f>0</f>
        <v>0</v>
      </c>
      <c r="P160" s="1">
        <f>IF(Signals_US!E160=1,Signals_US!Q160*Mapping!$E$16,IF(Signals_US!E160=-1,-Signals_US!R160*Mapping!$E$16,0))</f>
        <v>5.000000000000001E-2</v>
      </c>
      <c r="Q160" s="1">
        <f>IF(Signals_US!J160=1,Signals_US!Q160*Mapping!$E$17,IF(Signals_US!J160=-1,-Signals_US!R160*Mapping!$E$17,0))</f>
        <v>0</v>
      </c>
      <c r="R160" s="1">
        <f>IF(Signals_US!K160=1,Signals_US!Q160*Mapping!$E$18,IF(Signals_US!K160=-1,-Signals_US!R160*Mapping!$E$18,0))</f>
        <v>5.000000000000001E-2</v>
      </c>
      <c r="S160" s="1">
        <f>IF(Signals_US!M160=1,Signals_US!Q160*Mapping!$E$19,IF(Signals_US!M160=-1,-Signals_US!R160*Mapping!$E$19,0))</f>
        <v>0</v>
      </c>
      <c r="T160" s="1">
        <f>IF(Signals_US!L160=1,Signals_US!Q160*Mapping!$E$20,IF(Signals_US!L160=-1,-Signals_US!R160*Mapping!$E$20,0))</f>
        <v>-5.000000000000001E-2</v>
      </c>
      <c r="U160" s="1">
        <f t="shared" si="2"/>
        <v>0</v>
      </c>
    </row>
    <row r="161" spans="1:21">
      <c r="A161" s="5">
        <f>Signals_US!B161</f>
        <v>43891</v>
      </c>
      <c r="B161" s="1">
        <f>0</f>
        <v>0</v>
      </c>
      <c r="C161" s="1">
        <f>IF(Signals_US!F161=1,Signals_US!Q161*Mapping!$E$3,IF(Signals_US!F161=-1,-Signals_US!R161*Mapping!$E$3,0))</f>
        <v>-1.666666666666667E-2</v>
      </c>
      <c r="D161" s="1">
        <f>IF(Signals_US!C161=1,Signals_US!Q161*Mapping!$E$4,IF(Signals_US!C161=-1,-Signals_US!R161*Mapping!$E$4,0))</f>
        <v>0</v>
      </c>
      <c r="E161" s="1">
        <f>IF(Signals_US!C161=1,Signals_US!Q161*Mapping!$E$5,IF(Signals_US!C161=-1,-Signals_US!R161*Mapping!$E$5,0))</f>
        <v>0</v>
      </c>
      <c r="F161" s="1">
        <f>IF(Signals_US!C161=1,Signals_US!Q161*Mapping!$E$6,IF(Signals_US!C161=-1,-Signals_US!R161*Mapping!$E$6,0))</f>
        <v>0</v>
      </c>
      <c r="G161" s="1">
        <f>IF(Signals_US!F161=1,Signals_US!Q161*Mapping!$E$7,IF(Signals_US!F161=-1,-Signals_US!R161*Mapping!$E$7,0))</f>
        <v>-1.666666666666667E-2</v>
      </c>
      <c r="H161" s="1">
        <f>IF(Signals_US!D161=1,Signals_US!Q161*Mapping!$E$8,IF(Signals_US!D161=-1,-Signals_US!R161*Mapping!$E$8,0))</f>
        <v>0</v>
      </c>
      <c r="I161" s="1">
        <f>IF(Signals_US!G161=1,Signals_US!Q161*Mapping!$E$9,IF(Signals_US!G161=-1,-Signals_US!R161*Mapping!$E$9,0))</f>
        <v>5.000000000000001E-2</v>
      </c>
      <c r="J161" s="1">
        <f>IF(Signals_US!H161=1,Signals_US!Q161*Mapping!$E$10,IF(Signals_US!H161=-1,-Signals_US!R161*Mapping!$E$10,0))</f>
        <v>0</v>
      </c>
      <c r="K161" s="1">
        <f>IF(Signals_US!F161=1,Signals_US!Q161*Mapping!$E$11,IF(Signals_US!F161=-1,-Signals_US!R161*Mapping!$E$11,0))</f>
        <v>-1.666666666666667E-2</v>
      </c>
      <c r="L161" s="1">
        <f>IF(Signals_US!N161=1,Signals_US!Q161*Mapping!$E$12,IF(Signals_US!N161=-1,-Signals_US!R161*Mapping!$E$12,0))</f>
        <v>-5.000000000000001E-2</v>
      </c>
      <c r="M161" s="1">
        <f>IF(Signals_US!I161=1,Signals_US!Q161*Mapping!$E$13,IF(Signals_US!I161=-1,-Signals_US!R161*Mapping!$E$13,0))</f>
        <v>-5.000000000000001E-2</v>
      </c>
      <c r="N161" s="1">
        <f>0</f>
        <v>0</v>
      </c>
      <c r="O161" s="1">
        <f>0</f>
        <v>0</v>
      </c>
      <c r="P161" s="1">
        <f>IF(Signals_US!E161=1,Signals_US!Q161*Mapping!$E$16,IF(Signals_US!E161=-1,-Signals_US!R161*Mapping!$E$16,0))</f>
        <v>5.000000000000001E-2</v>
      </c>
      <c r="Q161" s="1">
        <f>IF(Signals_US!J161=1,Signals_US!Q161*Mapping!$E$17,IF(Signals_US!J161=-1,-Signals_US!R161*Mapping!$E$17,0))</f>
        <v>5.000000000000001E-2</v>
      </c>
      <c r="R161" s="1">
        <f>IF(Signals_US!K161=1,Signals_US!Q161*Mapping!$E$18,IF(Signals_US!K161=-1,-Signals_US!R161*Mapping!$E$18,0))</f>
        <v>0</v>
      </c>
      <c r="S161" s="1">
        <f>IF(Signals_US!M161=1,Signals_US!Q161*Mapping!$E$19,IF(Signals_US!M161=-1,-Signals_US!R161*Mapping!$E$19,0))</f>
        <v>0</v>
      </c>
      <c r="T161" s="1">
        <f>IF(Signals_US!L161=1,Signals_US!Q161*Mapping!$E$20,IF(Signals_US!L161=-1,-Signals_US!R161*Mapping!$E$20,0))</f>
        <v>0</v>
      </c>
      <c r="U161" s="1">
        <f t="shared" si="2"/>
        <v>0</v>
      </c>
    </row>
    <row r="162" spans="1:21">
      <c r="A162" s="5">
        <f>Signals_US!B162</f>
        <v>43922</v>
      </c>
      <c r="B162" s="1">
        <f>0</f>
        <v>0</v>
      </c>
      <c r="C162" s="1">
        <f>IF(Signals_US!F162=1,Signals_US!Q162*Mapping!$E$3,IF(Signals_US!F162=-1,-Signals_US!R162*Mapping!$E$3,0))</f>
        <v>-1.666666666666667E-2</v>
      </c>
      <c r="D162" s="1">
        <f>IF(Signals_US!C162=1,Signals_US!Q162*Mapping!$E$4,IF(Signals_US!C162=-1,-Signals_US!R162*Mapping!$E$4,0))</f>
        <v>0</v>
      </c>
      <c r="E162" s="1">
        <f>IF(Signals_US!C162=1,Signals_US!Q162*Mapping!$E$5,IF(Signals_US!C162=-1,-Signals_US!R162*Mapping!$E$5,0))</f>
        <v>0</v>
      </c>
      <c r="F162" s="1">
        <f>IF(Signals_US!C162=1,Signals_US!Q162*Mapping!$E$6,IF(Signals_US!C162=-1,-Signals_US!R162*Mapping!$E$6,0))</f>
        <v>0</v>
      </c>
      <c r="G162" s="1">
        <f>IF(Signals_US!F162=1,Signals_US!Q162*Mapping!$E$7,IF(Signals_US!F162=-1,-Signals_US!R162*Mapping!$E$7,0))</f>
        <v>-1.666666666666667E-2</v>
      </c>
      <c r="H162" s="1">
        <f>IF(Signals_US!D162=1,Signals_US!Q162*Mapping!$E$8,IF(Signals_US!D162=-1,-Signals_US!R162*Mapping!$E$8,0))</f>
        <v>0</v>
      </c>
      <c r="I162" s="1">
        <f>IF(Signals_US!G162=1,Signals_US!Q162*Mapping!$E$9,IF(Signals_US!G162=-1,-Signals_US!R162*Mapping!$E$9,0))</f>
        <v>5.000000000000001E-2</v>
      </c>
      <c r="J162" s="1">
        <f>IF(Signals_US!H162=1,Signals_US!Q162*Mapping!$E$10,IF(Signals_US!H162=-1,-Signals_US!R162*Mapping!$E$10,0))</f>
        <v>0</v>
      </c>
      <c r="K162" s="1">
        <f>IF(Signals_US!F162=1,Signals_US!Q162*Mapping!$E$11,IF(Signals_US!F162=-1,-Signals_US!R162*Mapping!$E$11,0))</f>
        <v>-1.666666666666667E-2</v>
      </c>
      <c r="L162" s="1">
        <f>IF(Signals_US!N162=1,Signals_US!Q162*Mapping!$E$12,IF(Signals_US!N162=-1,-Signals_US!R162*Mapping!$E$12,0))</f>
        <v>0</v>
      </c>
      <c r="M162" s="1">
        <f>IF(Signals_US!I162=1,Signals_US!Q162*Mapping!$E$13,IF(Signals_US!I162=-1,-Signals_US!R162*Mapping!$E$13,0))</f>
        <v>-5.000000000000001E-2</v>
      </c>
      <c r="N162" s="1">
        <f>0</f>
        <v>0</v>
      </c>
      <c r="O162" s="1">
        <f>0</f>
        <v>0</v>
      </c>
      <c r="P162" s="1">
        <f>IF(Signals_US!E162=1,Signals_US!Q162*Mapping!$E$16,IF(Signals_US!E162=-1,-Signals_US!R162*Mapping!$E$16,0))</f>
        <v>5.000000000000001E-2</v>
      </c>
      <c r="Q162" s="1">
        <f>IF(Signals_US!J162=1,Signals_US!Q162*Mapping!$E$17,IF(Signals_US!J162=-1,-Signals_US!R162*Mapping!$E$17,0))</f>
        <v>5.000000000000001E-2</v>
      </c>
      <c r="R162" s="1">
        <f>IF(Signals_US!K162=1,Signals_US!Q162*Mapping!$E$18,IF(Signals_US!K162=-1,-Signals_US!R162*Mapping!$E$18,0))</f>
        <v>0</v>
      </c>
      <c r="S162" s="1">
        <f>IF(Signals_US!M162=1,Signals_US!Q162*Mapping!$E$19,IF(Signals_US!M162=-1,-Signals_US!R162*Mapping!$E$19,0))</f>
        <v>0</v>
      </c>
      <c r="T162" s="1">
        <f>IF(Signals_US!L162=1,Signals_US!Q162*Mapping!$E$20,IF(Signals_US!L162=-1,-Signals_US!R162*Mapping!$E$20,0))</f>
        <v>-5.000000000000001E-2</v>
      </c>
      <c r="U162" s="1">
        <f t="shared" si="2"/>
        <v>0</v>
      </c>
    </row>
    <row r="163" spans="1:21">
      <c r="A163" s="5">
        <f>Signals_US!B163</f>
        <v>43952</v>
      </c>
      <c r="B163" s="1">
        <f>0</f>
        <v>0</v>
      </c>
      <c r="C163" s="1">
        <f>IF(Signals_US!F163=1,Signals_US!Q163*Mapping!$E$3,IF(Signals_US!F163=-1,-Signals_US!R163*Mapping!$E$3,0))</f>
        <v>-1.666666666666667E-2</v>
      </c>
      <c r="D163" s="1">
        <f>IF(Signals_US!C163=1,Signals_US!Q163*Mapping!$E$4,IF(Signals_US!C163=-1,-Signals_US!R163*Mapping!$E$4,0))</f>
        <v>0</v>
      </c>
      <c r="E163" s="1">
        <f>IF(Signals_US!C163=1,Signals_US!Q163*Mapping!$E$5,IF(Signals_US!C163=-1,-Signals_US!R163*Mapping!$E$5,0))</f>
        <v>0</v>
      </c>
      <c r="F163" s="1">
        <f>IF(Signals_US!C163=1,Signals_US!Q163*Mapping!$E$6,IF(Signals_US!C163=-1,-Signals_US!R163*Mapping!$E$6,0))</f>
        <v>0</v>
      </c>
      <c r="G163" s="1">
        <f>IF(Signals_US!F163=1,Signals_US!Q163*Mapping!$E$7,IF(Signals_US!F163=-1,-Signals_US!R163*Mapping!$E$7,0))</f>
        <v>-1.666666666666667E-2</v>
      </c>
      <c r="H163" s="1">
        <f>IF(Signals_US!D163=1,Signals_US!Q163*Mapping!$E$8,IF(Signals_US!D163=-1,-Signals_US!R163*Mapping!$E$8,0))</f>
        <v>0</v>
      </c>
      <c r="I163" s="1">
        <f>IF(Signals_US!G163=1,Signals_US!Q163*Mapping!$E$9,IF(Signals_US!G163=-1,-Signals_US!R163*Mapping!$E$9,0))</f>
        <v>5.000000000000001E-2</v>
      </c>
      <c r="J163" s="1">
        <f>IF(Signals_US!H163=1,Signals_US!Q163*Mapping!$E$10,IF(Signals_US!H163=-1,-Signals_US!R163*Mapping!$E$10,0))</f>
        <v>0</v>
      </c>
      <c r="K163" s="1">
        <f>IF(Signals_US!F163=1,Signals_US!Q163*Mapping!$E$11,IF(Signals_US!F163=-1,-Signals_US!R163*Mapping!$E$11,0))</f>
        <v>-1.666666666666667E-2</v>
      </c>
      <c r="L163" s="1">
        <f>IF(Signals_US!N163=1,Signals_US!Q163*Mapping!$E$12,IF(Signals_US!N163=-1,-Signals_US!R163*Mapping!$E$12,0))</f>
        <v>-5.000000000000001E-2</v>
      </c>
      <c r="M163" s="1">
        <f>IF(Signals_US!I163=1,Signals_US!Q163*Mapping!$E$13,IF(Signals_US!I163=-1,-Signals_US!R163*Mapping!$E$13,0))</f>
        <v>-5.000000000000001E-2</v>
      </c>
      <c r="N163" s="1">
        <f>0</f>
        <v>0</v>
      </c>
      <c r="O163" s="1">
        <f>0</f>
        <v>0</v>
      </c>
      <c r="P163" s="1">
        <f>IF(Signals_US!E163=1,Signals_US!Q163*Mapping!$E$16,IF(Signals_US!E163=-1,-Signals_US!R163*Mapping!$E$16,0))</f>
        <v>0</v>
      </c>
      <c r="Q163" s="1">
        <f>IF(Signals_US!J163=1,Signals_US!Q163*Mapping!$E$17,IF(Signals_US!J163=-1,-Signals_US!R163*Mapping!$E$17,0))</f>
        <v>5.000000000000001E-2</v>
      </c>
      <c r="R163" s="1">
        <f>IF(Signals_US!K163=1,Signals_US!Q163*Mapping!$E$18,IF(Signals_US!K163=-1,-Signals_US!R163*Mapping!$E$18,0))</f>
        <v>5.000000000000001E-2</v>
      </c>
      <c r="S163" s="1">
        <f>IF(Signals_US!M163=1,Signals_US!Q163*Mapping!$E$19,IF(Signals_US!M163=-1,-Signals_US!R163*Mapping!$E$19,0))</f>
        <v>0</v>
      </c>
      <c r="T163" s="1">
        <f>IF(Signals_US!L163=1,Signals_US!Q163*Mapping!$E$20,IF(Signals_US!L163=-1,-Signals_US!R163*Mapping!$E$20,0))</f>
        <v>0</v>
      </c>
      <c r="U163" s="1">
        <f t="shared" si="2"/>
        <v>0</v>
      </c>
    </row>
    <row r="164" spans="1:21">
      <c r="A164" s="5">
        <f>Signals_US!B164</f>
        <v>43983</v>
      </c>
      <c r="B164" s="1">
        <f>0</f>
        <v>0</v>
      </c>
      <c r="C164" s="1">
        <f>IF(Signals_US!F164=1,Signals_US!Q164*Mapping!$E$3,IF(Signals_US!F164=-1,-Signals_US!R164*Mapping!$E$3,0))</f>
        <v>-1.666666666666667E-2</v>
      </c>
      <c r="D164" s="1">
        <f>IF(Signals_US!C164=1,Signals_US!Q164*Mapping!$E$4,IF(Signals_US!C164=-1,-Signals_US!R164*Mapping!$E$4,0))</f>
        <v>0</v>
      </c>
      <c r="E164" s="1">
        <f>IF(Signals_US!C164=1,Signals_US!Q164*Mapping!$E$5,IF(Signals_US!C164=-1,-Signals_US!R164*Mapping!$E$5,0))</f>
        <v>0</v>
      </c>
      <c r="F164" s="1">
        <f>IF(Signals_US!C164=1,Signals_US!Q164*Mapping!$E$6,IF(Signals_US!C164=-1,-Signals_US!R164*Mapping!$E$6,0))</f>
        <v>0</v>
      </c>
      <c r="G164" s="1">
        <f>IF(Signals_US!F164=1,Signals_US!Q164*Mapping!$E$7,IF(Signals_US!F164=-1,-Signals_US!R164*Mapping!$E$7,0))</f>
        <v>-1.666666666666667E-2</v>
      </c>
      <c r="H164" s="1">
        <f>IF(Signals_US!D164=1,Signals_US!Q164*Mapping!$E$8,IF(Signals_US!D164=-1,-Signals_US!R164*Mapping!$E$8,0))</f>
        <v>0</v>
      </c>
      <c r="I164" s="1">
        <f>IF(Signals_US!G164=1,Signals_US!Q164*Mapping!$E$9,IF(Signals_US!G164=-1,-Signals_US!R164*Mapping!$E$9,0))</f>
        <v>5.000000000000001E-2</v>
      </c>
      <c r="J164" s="1">
        <f>IF(Signals_US!H164=1,Signals_US!Q164*Mapping!$E$10,IF(Signals_US!H164=-1,-Signals_US!R164*Mapping!$E$10,0))</f>
        <v>-5.000000000000001E-2</v>
      </c>
      <c r="K164" s="1">
        <f>IF(Signals_US!F164=1,Signals_US!Q164*Mapping!$E$11,IF(Signals_US!F164=-1,-Signals_US!R164*Mapping!$E$11,0))</f>
        <v>-1.666666666666667E-2</v>
      </c>
      <c r="L164" s="1">
        <f>IF(Signals_US!N164=1,Signals_US!Q164*Mapping!$E$12,IF(Signals_US!N164=-1,-Signals_US!R164*Mapping!$E$12,0))</f>
        <v>-5.000000000000001E-2</v>
      </c>
      <c r="M164" s="1">
        <f>IF(Signals_US!I164=1,Signals_US!Q164*Mapping!$E$13,IF(Signals_US!I164=-1,-Signals_US!R164*Mapping!$E$13,0))</f>
        <v>0</v>
      </c>
      <c r="N164" s="1">
        <f>0</f>
        <v>0</v>
      </c>
      <c r="O164" s="1">
        <f>0</f>
        <v>0</v>
      </c>
      <c r="P164" s="1">
        <f>IF(Signals_US!E164=1,Signals_US!Q164*Mapping!$E$16,IF(Signals_US!E164=-1,-Signals_US!R164*Mapping!$E$16,0))</f>
        <v>0</v>
      </c>
      <c r="Q164" s="1">
        <f>IF(Signals_US!J164=1,Signals_US!Q164*Mapping!$E$17,IF(Signals_US!J164=-1,-Signals_US!R164*Mapping!$E$17,0))</f>
        <v>5.000000000000001E-2</v>
      </c>
      <c r="R164" s="1">
        <f>IF(Signals_US!K164=1,Signals_US!Q164*Mapping!$E$18,IF(Signals_US!K164=-1,-Signals_US!R164*Mapping!$E$18,0))</f>
        <v>5.000000000000001E-2</v>
      </c>
      <c r="S164" s="1">
        <f>IF(Signals_US!M164=1,Signals_US!Q164*Mapping!$E$19,IF(Signals_US!M164=-1,-Signals_US!R164*Mapping!$E$19,0))</f>
        <v>0</v>
      </c>
      <c r="T164" s="1">
        <f>IF(Signals_US!L164=1,Signals_US!Q164*Mapping!$E$20,IF(Signals_US!L164=-1,-Signals_US!R164*Mapping!$E$20,0))</f>
        <v>0</v>
      </c>
      <c r="U164" s="1">
        <f t="shared" si="2"/>
        <v>0</v>
      </c>
    </row>
    <row r="165" spans="1:21">
      <c r="A165" s="5">
        <f>Signals_US!B165</f>
        <v>44013</v>
      </c>
      <c r="B165" s="1">
        <f>0</f>
        <v>0</v>
      </c>
      <c r="C165" s="1">
        <f>IF(Signals_US!F165=1,Signals_US!Q165*Mapping!$E$3,IF(Signals_US!F165=-1,-Signals_US!R165*Mapping!$E$3,0))</f>
        <v>0</v>
      </c>
      <c r="D165" s="1">
        <f>IF(Signals_US!C165=1,Signals_US!Q165*Mapping!$E$4,IF(Signals_US!C165=-1,-Signals_US!R165*Mapping!$E$4,0))</f>
        <v>0</v>
      </c>
      <c r="E165" s="1">
        <f>IF(Signals_US!C165=1,Signals_US!Q165*Mapping!$E$5,IF(Signals_US!C165=-1,-Signals_US!R165*Mapping!$E$5,0))</f>
        <v>0</v>
      </c>
      <c r="F165" s="1">
        <f>IF(Signals_US!C165=1,Signals_US!Q165*Mapping!$E$6,IF(Signals_US!C165=-1,-Signals_US!R165*Mapping!$E$6,0))</f>
        <v>0</v>
      </c>
      <c r="G165" s="1">
        <f>IF(Signals_US!F165=1,Signals_US!Q165*Mapping!$E$7,IF(Signals_US!F165=-1,-Signals_US!R165*Mapping!$E$7,0))</f>
        <v>0</v>
      </c>
      <c r="H165" s="1">
        <f>IF(Signals_US!D165=1,Signals_US!Q165*Mapping!$E$8,IF(Signals_US!D165=-1,-Signals_US!R165*Mapping!$E$8,0))</f>
        <v>0</v>
      </c>
      <c r="I165" s="1">
        <f>IF(Signals_US!G165=1,Signals_US!Q165*Mapping!$E$9,IF(Signals_US!G165=-1,-Signals_US!R165*Mapping!$E$9,0))</f>
        <v>5.000000000000001E-2</v>
      </c>
      <c r="J165" s="1">
        <f>IF(Signals_US!H165=1,Signals_US!Q165*Mapping!$E$10,IF(Signals_US!H165=-1,-Signals_US!R165*Mapping!$E$10,0))</f>
        <v>-5.000000000000001E-2</v>
      </c>
      <c r="K165" s="1">
        <f>IF(Signals_US!F165=1,Signals_US!Q165*Mapping!$E$11,IF(Signals_US!F165=-1,-Signals_US!R165*Mapping!$E$11,0))</f>
        <v>0</v>
      </c>
      <c r="L165" s="1">
        <f>IF(Signals_US!N165=1,Signals_US!Q165*Mapping!$E$12,IF(Signals_US!N165=-1,-Signals_US!R165*Mapping!$E$12,0))</f>
        <v>-5.000000000000001E-2</v>
      </c>
      <c r="M165" s="1">
        <f>IF(Signals_US!I165=1,Signals_US!Q165*Mapping!$E$13,IF(Signals_US!I165=-1,-Signals_US!R165*Mapping!$E$13,0))</f>
        <v>-5.000000000000001E-2</v>
      </c>
      <c r="N165" s="1">
        <f>0</f>
        <v>0</v>
      </c>
      <c r="O165" s="1">
        <f>0</f>
        <v>0</v>
      </c>
      <c r="P165" s="1">
        <f>IF(Signals_US!E165=1,Signals_US!Q165*Mapping!$E$16,IF(Signals_US!E165=-1,-Signals_US!R165*Mapping!$E$16,0))</f>
        <v>5.000000000000001E-2</v>
      </c>
      <c r="Q165" s="1">
        <f>IF(Signals_US!J165=1,Signals_US!Q165*Mapping!$E$17,IF(Signals_US!J165=-1,-Signals_US!R165*Mapping!$E$17,0))</f>
        <v>5.000000000000001E-2</v>
      </c>
      <c r="R165" s="1">
        <f>IF(Signals_US!K165=1,Signals_US!Q165*Mapping!$E$18,IF(Signals_US!K165=-1,-Signals_US!R165*Mapping!$E$18,0))</f>
        <v>0</v>
      </c>
      <c r="S165" s="1">
        <f>IF(Signals_US!M165=1,Signals_US!Q165*Mapping!$E$19,IF(Signals_US!M165=-1,-Signals_US!R165*Mapping!$E$19,0))</f>
        <v>0</v>
      </c>
      <c r="T165" s="1">
        <f>IF(Signals_US!L165=1,Signals_US!Q165*Mapping!$E$20,IF(Signals_US!L165=-1,-Signals_US!R165*Mapping!$E$20,0))</f>
        <v>0</v>
      </c>
      <c r="U165" s="1">
        <f t="shared" si="2"/>
        <v>0</v>
      </c>
    </row>
    <row r="166" spans="1:21">
      <c r="A166" s="5">
        <f>Signals_US!B166</f>
        <v>44044</v>
      </c>
      <c r="B166" s="1">
        <f>0</f>
        <v>0</v>
      </c>
      <c r="C166" s="1">
        <f>IF(Signals_US!F166=1,Signals_US!Q166*Mapping!$E$3,IF(Signals_US!F166=-1,-Signals_US!R166*Mapping!$E$3,0))</f>
        <v>0</v>
      </c>
      <c r="D166" s="1">
        <f>IF(Signals_US!C166=1,Signals_US!Q166*Mapping!$E$4,IF(Signals_US!C166=-1,-Signals_US!R166*Mapping!$E$4,0))</f>
        <v>0</v>
      </c>
      <c r="E166" s="1">
        <f>IF(Signals_US!C166=1,Signals_US!Q166*Mapping!$E$5,IF(Signals_US!C166=-1,-Signals_US!R166*Mapping!$E$5,0))</f>
        <v>0</v>
      </c>
      <c r="F166" s="1">
        <f>IF(Signals_US!C166=1,Signals_US!Q166*Mapping!$E$6,IF(Signals_US!C166=-1,-Signals_US!R166*Mapping!$E$6,0))</f>
        <v>0</v>
      </c>
      <c r="G166" s="1">
        <f>IF(Signals_US!F166=1,Signals_US!Q166*Mapping!$E$7,IF(Signals_US!F166=-1,-Signals_US!R166*Mapping!$E$7,0))</f>
        <v>0</v>
      </c>
      <c r="H166" s="1">
        <f>IF(Signals_US!D166=1,Signals_US!Q166*Mapping!$E$8,IF(Signals_US!D166=-1,-Signals_US!R166*Mapping!$E$8,0))</f>
        <v>0</v>
      </c>
      <c r="I166" s="1">
        <f>IF(Signals_US!G166=1,Signals_US!Q166*Mapping!$E$9,IF(Signals_US!G166=-1,-Signals_US!R166*Mapping!$E$9,0))</f>
        <v>5.000000000000001E-2</v>
      </c>
      <c r="J166" s="1">
        <f>IF(Signals_US!H166=1,Signals_US!Q166*Mapping!$E$10,IF(Signals_US!H166=-1,-Signals_US!R166*Mapping!$E$10,0))</f>
        <v>-5.000000000000001E-2</v>
      </c>
      <c r="K166" s="1">
        <f>IF(Signals_US!F166=1,Signals_US!Q166*Mapping!$E$11,IF(Signals_US!F166=-1,-Signals_US!R166*Mapping!$E$11,0))</f>
        <v>0</v>
      </c>
      <c r="L166" s="1">
        <f>IF(Signals_US!N166=1,Signals_US!Q166*Mapping!$E$12,IF(Signals_US!N166=-1,-Signals_US!R166*Mapping!$E$12,0))</f>
        <v>-5.000000000000001E-2</v>
      </c>
      <c r="M166" s="1">
        <f>IF(Signals_US!I166=1,Signals_US!Q166*Mapping!$E$13,IF(Signals_US!I166=-1,-Signals_US!R166*Mapping!$E$13,0))</f>
        <v>0</v>
      </c>
      <c r="N166" s="1">
        <f>0</f>
        <v>0</v>
      </c>
      <c r="O166" s="1">
        <f>0</f>
        <v>0</v>
      </c>
      <c r="P166" s="1">
        <f>IF(Signals_US!E166=1,Signals_US!Q166*Mapping!$E$16,IF(Signals_US!E166=-1,-Signals_US!R166*Mapping!$E$16,0))</f>
        <v>5.000000000000001E-2</v>
      </c>
      <c r="Q166" s="1">
        <f>IF(Signals_US!J166=1,Signals_US!Q166*Mapping!$E$17,IF(Signals_US!J166=-1,-Signals_US!R166*Mapping!$E$17,0))</f>
        <v>5.000000000000001E-2</v>
      </c>
      <c r="R166" s="1">
        <f>IF(Signals_US!K166=1,Signals_US!Q166*Mapping!$E$18,IF(Signals_US!K166=-1,-Signals_US!R166*Mapping!$E$18,0))</f>
        <v>0</v>
      </c>
      <c r="S166" s="1">
        <f>IF(Signals_US!M166=1,Signals_US!Q166*Mapping!$E$19,IF(Signals_US!M166=-1,-Signals_US!R166*Mapping!$E$19,0))</f>
        <v>0</v>
      </c>
      <c r="T166" s="1">
        <f>IF(Signals_US!L166=1,Signals_US!Q166*Mapping!$E$20,IF(Signals_US!L166=-1,-Signals_US!R166*Mapping!$E$20,0))</f>
        <v>-5.000000000000001E-2</v>
      </c>
      <c r="U166" s="1">
        <f t="shared" si="2"/>
        <v>0</v>
      </c>
    </row>
    <row r="167" spans="1:21">
      <c r="A167" s="5">
        <f>Signals_US!B167</f>
        <v>44075</v>
      </c>
      <c r="B167" s="1">
        <f>0</f>
        <v>0</v>
      </c>
      <c r="C167" s="1">
        <f>IF(Signals_US!F167=1,Signals_US!Q167*Mapping!$E$3,IF(Signals_US!F167=-1,-Signals_US!R167*Mapping!$E$3,0))</f>
        <v>-1.666666666666667E-2</v>
      </c>
      <c r="D167" s="1">
        <f>IF(Signals_US!C167=1,Signals_US!Q167*Mapping!$E$4,IF(Signals_US!C167=-1,-Signals_US!R167*Mapping!$E$4,0))</f>
        <v>0</v>
      </c>
      <c r="E167" s="1">
        <f>IF(Signals_US!C167=1,Signals_US!Q167*Mapping!$E$5,IF(Signals_US!C167=-1,-Signals_US!R167*Mapping!$E$5,0))</f>
        <v>0</v>
      </c>
      <c r="F167" s="1">
        <f>IF(Signals_US!C167=1,Signals_US!Q167*Mapping!$E$6,IF(Signals_US!C167=-1,-Signals_US!R167*Mapping!$E$6,0))</f>
        <v>0</v>
      </c>
      <c r="G167" s="1">
        <f>IF(Signals_US!F167=1,Signals_US!Q167*Mapping!$E$7,IF(Signals_US!F167=-1,-Signals_US!R167*Mapping!$E$7,0))</f>
        <v>-1.666666666666667E-2</v>
      </c>
      <c r="H167" s="1">
        <f>IF(Signals_US!D167=1,Signals_US!Q167*Mapping!$E$8,IF(Signals_US!D167=-1,-Signals_US!R167*Mapping!$E$8,0))</f>
        <v>-5.000000000000001E-2</v>
      </c>
      <c r="I167" s="1">
        <f>IF(Signals_US!G167=1,Signals_US!Q167*Mapping!$E$9,IF(Signals_US!G167=-1,-Signals_US!R167*Mapping!$E$9,0))</f>
        <v>5.000000000000001E-2</v>
      </c>
      <c r="J167" s="1">
        <f>IF(Signals_US!H167=1,Signals_US!Q167*Mapping!$E$10,IF(Signals_US!H167=-1,-Signals_US!R167*Mapping!$E$10,0))</f>
        <v>0</v>
      </c>
      <c r="K167" s="1">
        <f>IF(Signals_US!F167=1,Signals_US!Q167*Mapping!$E$11,IF(Signals_US!F167=-1,-Signals_US!R167*Mapping!$E$11,0))</f>
        <v>-1.666666666666667E-2</v>
      </c>
      <c r="L167" s="1">
        <f>IF(Signals_US!N167=1,Signals_US!Q167*Mapping!$E$12,IF(Signals_US!N167=-1,-Signals_US!R167*Mapping!$E$12,0))</f>
        <v>0</v>
      </c>
      <c r="M167" s="1">
        <f>IF(Signals_US!I167=1,Signals_US!Q167*Mapping!$E$13,IF(Signals_US!I167=-1,-Signals_US!R167*Mapping!$E$13,0))</f>
        <v>-5.000000000000001E-2</v>
      </c>
      <c r="N167" s="1">
        <f>0</f>
        <v>0</v>
      </c>
      <c r="O167" s="1">
        <f>0</f>
        <v>0</v>
      </c>
      <c r="P167" s="1">
        <f>IF(Signals_US!E167=1,Signals_US!Q167*Mapping!$E$16,IF(Signals_US!E167=-1,-Signals_US!R167*Mapping!$E$16,0))</f>
        <v>0</v>
      </c>
      <c r="Q167" s="1">
        <f>IF(Signals_US!J167=1,Signals_US!Q167*Mapping!$E$17,IF(Signals_US!J167=-1,-Signals_US!R167*Mapping!$E$17,0))</f>
        <v>5.000000000000001E-2</v>
      </c>
      <c r="R167" s="1">
        <f>IF(Signals_US!K167=1,Signals_US!Q167*Mapping!$E$18,IF(Signals_US!K167=-1,-Signals_US!R167*Mapping!$E$18,0))</f>
        <v>5.000000000000001E-2</v>
      </c>
      <c r="S167" s="1">
        <f>IF(Signals_US!M167=1,Signals_US!Q167*Mapping!$E$19,IF(Signals_US!M167=-1,-Signals_US!R167*Mapping!$E$19,0))</f>
        <v>0</v>
      </c>
      <c r="T167" s="1">
        <f>IF(Signals_US!L167=1,Signals_US!Q167*Mapping!$E$20,IF(Signals_US!L167=-1,-Signals_US!R167*Mapping!$E$20,0))</f>
        <v>0</v>
      </c>
      <c r="U167" s="1">
        <f t="shared" si="2"/>
        <v>0</v>
      </c>
    </row>
    <row r="168" spans="1:21">
      <c r="A168" s="5">
        <f>Signals_US!B168</f>
        <v>44105</v>
      </c>
      <c r="B168" s="1">
        <f>0</f>
        <v>0</v>
      </c>
      <c r="C168" s="1">
        <f>IF(Signals_US!F168=1,Signals_US!Q168*Mapping!$E$3,IF(Signals_US!F168=-1,-Signals_US!R168*Mapping!$E$3,0))</f>
        <v>-1.666666666666667E-2</v>
      </c>
      <c r="D168" s="1">
        <f>IF(Signals_US!C168=1,Signals_US!Q168*Mapping!$E$4,IF(Signals_US!C168=-1,-Signals_US!R168*Mapping!$E$4,0))</f>
        <v>1.666666666666667E-2</v>
      </c>
      <c r="E168" s="1">
        <f>IF(Signals_US!C168=1,Signals_US!Q168*Mapping!$E$5,IF(Signals_US!C168=-1,-Signals_US!R168*Mapping!$E$5,0))</f>
        <v>1.666666666666667E-2</v>
      </c>
      <c r="F168" s="1">
        <f>IF(Signals_US!C168=1,Signals_US!Q168*Mapping!$E$6,IF(Signals_US!C168=-1,-Signals_US!R168*Mapping!$E$6,0))</f>
        <v>1.666666666666667E-2</v>
      </c>
      <c r="G168" s="1">
        <f>IF(Signals_US!F168=1,Signals_US!Q168*Mapping!$E$7,IF(Signals_US!F168=-1,-Signals_US!R168*Mapping!$E$7,0))</f>
        <v>-1.666666666666667E-2</v>
      </c>
      <c r="H168" s="1">
        <f>IF(Signals_US!D168=1,Signals_US!Q168*Mapping!$E$8,IF(Signals_US!D168=-1,-Signals_US!R168*Mapping!$E$8,0))</f>
        <v>0</v>
      </c>
      <c r="I168" s="1">
        <f>IF(Signals_US!G168=1,Signals_US!Q168*Mapping!$E$9,IF(Signals_US!G168=-1,-Signals_US!R168*Mapping!$E$9,0))</f>
        <v>5.000000000000001E-2</v>
      </c>
      <c r="J168" s="1">
        <f>IF(Signals_US!H168=1,Signals_US!Q168*Mapping!$E$10,IF(Signals_US!H168=-1,-Signals_US!R168*Mapping!$E$10,0))</f>
        <v>0</v>
      </c>
      <c r="K168" s="1">
        <f>IF(Signals_US!F168=1,Signals_US!Q168*Mapping!$E$11,IF(Signals_US!F168=-1,-Signals_US!R168*Mapping!$E$11,0))</f>
        <v>-1.666666666666667E-2</v>
      </c>
      <c r="L168" s="1">
        <f>IF(Signals_US!N168=1,Signals_US!Q168*Mapping!$E$12,IF(Signals_US!N168=-1,-Signals_US!R168*Mapping!$E$12,0))</f>
        <v>0</v>
      </c>
      <c r="M168" s="1">
        <f>IF(Signals_US!I168=1,Signals_US!Q168*Mapping!$E$13,IF(Signals_US!I168=-1,-Signals_US!R168*Mapping!$E$13,0))</f>
        <v>-5.000000000000001E-2</v>
      </c>
      <c r="N168" s="1">
        <f>0</f>
        <v>0</v>
      </c>
      <c r="O168" s="1">
        <f>0</f>
        <v>0</v>
      </c>
      <c r="P168" s="1">
        <f>IF(Signals_US!E168=1,Signals_US!Q168*Mapping!$E$16,IF(Signals_US!E168=-1,-Signals_US!R168*Mapping!$E$16,0))</f>
        <v>0</v>
      </c>
      <c r="Q168" s="1">
        <f>IF(Signals_US!J168=1,Signals_US!Q168*Mapping!$E$17,IF(Signals_US!J168=-1,-Signals_US!R168*Mapping!$E$17,0))</f>
        <v>0</v>
      </c>
      <c r="R168" s="1">
        <f>IF(Signals_US!K168=1,Signals_US!Q168*Mapping!$E$18,IF(Signals_US!K168=-1,-Signals_US!R168*Mapping!$E$18,0))</f>
        <v>5.000000000000001E-2</v>
      </c>
      <c r="S168" s="1">
        <f>IF(Signals_US!M168=1,Signals_US!Q168*Mapping!$E$19,IF(Signals_US!M168=-1,-Signals_US!R168*Mapping!$E$19,0))</f>
        <v>0</v>
      </c>
      <c r="T168" s="1">
        <f>IF(Signals_US!L168=1,Signals_US!Q168*Mapping!$E$20,IF(Signals_US!L168=-1,-Signals_US!R168*Mapping!$E$20,0))</f>
        <v>-5.000000000000001E-2</v>
      </c>
      <c r="U168" s="1">
        <f t="shared" si="2"/>
        <v>0</v>
      </c>
    </row>
    <row r="169" spans="1:21">
      <c r="A169" s="5">
        <f>Signals_US!B169</f>
        <v>44136</v>
      </c>
      <c r="B169" s="1">
        <f>0</f>
        <v>0</v>
      </c>
      <c r="C169" s="1">
        <f>IF(Signals_US!F169=1,Signals_US!Q169*Mapping!$E$3,IF(Signals_US!F169=-1,-Signals_US!R169*Mapping!$E$3,0))</f>
        <v>0</v>
      </c>
      <c r="D169" s="1">
        <f>IF(Signals_US!C169=1,Signals_US!Q169*Mapping!$E$4,IF(Signals_US!C169=-1,-Signals_US!R169*Mapping!$E$4,0))</f>
        <v>1.666666666666667E-2</v>
      </c>
      <c r="E169" s="1">
        <f>IF(Signals_US!C169=1,Signals_US!Q169*Mapping!$E$5,IF(Signals_US!C169=-1,-Signals_US!R169*Mapping!$E$5,0))</f>
        <v>1.666666666666667E-2</v>
      </c>
      <c r="F169" s="1">
        <f>IF(Signals_US!C169=1,Signals_US!Q169*Mapping!$E$6,IF(Signals_US!C169=-1,-Signals_US!R169*Mapping!$E$6,0))</f>
        <v>1.666666666666667E-2</v>
      </c>
      <c r="G169" s="1">
        <f>IF(Signals_US!F169=1,Signals_US!Q169*Mapping!$E$7,IF(Signals_US!F169=-1,-Signals_US!R169*Mapping!$E$7,0))</f>
        <v>0</v>
      </c>
      <c r="H169" s="1">
        <f>IF(Signals_US!D169=1,Signals_US!Q169*Mapping!$E$8,IF(Signals_US!D169=-1,-Signals_US!R169*Mapping!$E$8,0))</f>
        <v>0</v>
      </c>
      <c r="I169" s="1">
        <f>IF(Signals_US!G169=1,Signals_US!Q169*Mapping!$E$9,IF(Signals_US!G169=-1,-Signals_US!R169*Mapping!$E$9,0))</f>
        <v>0</v>
      </c>
      <c r="J169" s="1">
        <f>IF(Signals_US!H169=1,Signals_US!Q169*Mapping!$E$10,IF(Signals_US!H169=-1,-Signals_US!R169*Mapping!$E$10,0))</f>
        <v>0</v>
      </c>
      <c r="K169" s="1">
        <f>IF(Signals_US!F169=1,Signals_US!Q169*Mapping!$E$11,IF(Signals_US!F169=-1,-Signals_US!R169*Mapping!$E$11,0))</f>
        <v>0</v>
      </c>
      <c r="L169" s="1">
        <f>IF(Signals_US!N169=1,Signals_US!Q169*Mapping!$E$12,IF(Signals_US!N169=-1,-Signals_US!R169*Mapping!$E$12,0))</f>
        <v>-5.000000000000001E-2</v>
      </c>
      <c r="M169" s="1">
        <f>IF(Signals_US!I169=1,Signals_US!Q169*Mapping!$E$13,IF(Signals_US!I169=-1,-Signals_US!R169*Mapping!$E$13,0))</f>
        <v>-5.000000000000001E-2</v>
      </c>
      <c r="N169" s="1">
        <f>0</f>
        <v>0</v>
      </c>
      <c r="O169" s="1">
        <f>0</f>
        <v>0</v>
      </c>
      <c r="P169" s="1">
        <f>IF(Signals_US!E169=1,Signals_US!Q169*Mapping!$E$16,IF(Signals_US!E169=-1,-Signals_US!R169*Mapping!$E$16,0))</f>
        <v>0</v>
      </c>
      <c r="Q169" s="1">
        <f>IF(Signals_US!J169=1,Signals_US!Q169*Mapping!$E$17,IF(Signals_US!J169=-1,-Signals_US!R169*Mapping!$E$17,0))</f>
        <v>5.000000000000001E-2</v>
      </c>
      <c r="R169" s="1">
        <f>IF(Signals_US!K169=1,Signals_US!Q169*Mapping!$E$18,IF(Signals_US!K169=-1,-Signals_US!R169*Mapping!$E$18,0))</f>
        <v>5.000000000000001E-2</v>
      </c>
      <c r="S169" s="1">
        <f>IF(Signals_US!M169=1,Signals_US!Q169*Mapping!$E$19,IF(Signals_US!M169=-1,-Signals_US!R169*Mapping!$E$19,0))</f>
        <v>0</v>
      </c>
      <c r="T169" s="1">
        <f>IF(Signals_US!L169=1,Signals_US!Q169*Mapping!$E$20,IF(Signals_US!L169=-1,-Signals_US!R169*Mapping!$E$20,0))</f>
        <v>-5.000000000000001E-2</v>
      </c>
      <c r="U169" s="1">
        <f t="shared" si="2"/>
        <v>0</v>
      </c>
    </row>
    <row r="170" spans="1:21">
      <c r="A170" s="5">
        <f>Signals_US!B170</f>
        <v>44166</v>
      </c>
      <c r="B170" s="1">
        <f>0</f>
        <v>0</v>
      </c>
      <c r="C170" s="1">
        <f>IF(Signals_US!F170=1,Signals_US!Q170*Mapping!$E$3,IF(Signals_US!F170=-1,-Signals_US!R170*Mapping!$E$3,0))</f>
        <v>-1.666666666666667E-2</v>
      </c>
      <c r="D170" s="1">
        <f>IF(Signals_US!C170=1,Signals_US!Q170*Mapping!$E$4,IF(Signals_US!C170=-1,-Signals_US!R170*Mapping!$E$4,0))</f>
        <v>1.666666666666667E-2</v>
      </c>
      <c r="E170" s="1">
        <f>IF(Signals_US!C170=1,Signals_US!Q170*Mapping!$E$5,IF(Signals_US!C170=-1,-Signals_US!R170*Mapping!$E$5,0))</f>
        <v>1.666666666666667E-2</v>
      </c>
      <c r="F170" s="1">
        <f>IF(Signals_US!C170=1,Signals_US!Q170*Mapping!$E$6,IF(Signals_US!C170=-1,-Signals_US!R170*Mapping!$E$6,0))</f>
        <v>1.666666666666667E-2</v>
      </c>
      <c r="G170" s="1">
        <f>IF(Signals_US!F170=1,Signals_US!Q170*Mapping!$E$7,IF(Signals_US!F170=-1,-Signals_US!R170*Mapping!$E$7,0))</f>
        <v>-1.666666666666667E-2</v>
      </c>
      <c r="H170" s="1">
        <f>IF(Signals_US!D170=1,Signals_US!Q170*Mapping!$E$8,IF(Signals_US!D170=-1,-Signals_US!R170*Mapping!$E$8,0))</f>
        <v>0</v>
      </c>
      <c r="I170" s="1">
        <f>IF(Signals_US!G170=1,Signals_US!Q170*Mapping!$E$9,IF(Signals_US!G170=-1,-Signals_US!R170*Mapping!$E$9,0))</f>
        <v>5.000000000000001E-2</v>
      </c>
      <c r="J170" s="1">
        <f>IF(Signals_US!H170=1,Signals_US!Q170*Mapping!$E$10,IF(Signals_US!H170=-1,-Signals_US!R170*Mapping!$E$10,0))</f>
        <v>0</v>
      </c>
      <c r="K170" s="1">
        <f>IF(Signals_US!F170=1,Signals_US!Q170*Mapping!$E$11,IF(Signals_US!F170=-1,-Signals_US!R170*Mapping!$E$11,0))</f>
        <v>-1.666666666666667E-2</v>
      </c>
      <c r="L170" s="1">
        <f>IF(Signals_US!N170=1,Signals_US!Q170*Mapping!$E$12,IF(Signals_US!N170=-1,-Signals_US!R170*Mapping!$E$12,0))</f>
        <v>-5.000000000000001E-2</v>
      </c>
      <c r="M170" s="1">
        <f>IF(Signals_US!I170=1,Signals_US!Q170*Mapping!$E$13,IF(Signals_US!I170=-1,-Signals_US!R170*Mapping!$E$13,0))</f>
        <v>-5.000000000000001E-2</v>
      </c>
      <c r="N170" s="1">
        <f>0</f>
        <v>0</v>
      </c>
      <c r="O170" s="1">
        <f>0</f>
        <v>0</v>
      </c>
      <c r="P170" s="1">
        <f>IF(Signals_US!E170=1,Signals_US!Q170*Mapping!$E$16,IF(Signals_US!E170=-1,-Signals_US!R170*Mapping!$E$16,0))</f>
        <v>5.000000000000001E-2</v>
      </c>
      <c r="Q170" s="1">
        <f>IF(Signals_US!J170=1,Signals_US!Q170*Mapping!$E$17,IF(Signals_US!J170=-1,-Signals_US!R170*Mapping!$E$17,0))</f>
        <v>0</v>
      </c>
      <c r="R170" s="1">
        <f>IF(Signals_US!K170=1,Signals_US!Q170*Mapping!$E$18,IF(Signals_US!K170=-1,-Signals_US!R170*Mapping!$E$18,0))</f>
        <v>0</v>
      </c>
      <c r="S170" s="1">
        <f>IF(Signals_US!M170=1,Signals_US!Q170*Mapping!$E$19,IF(Signals_US!M170=-1,-Signals_US!R170*Mapping!$E$19,0))</f>
        <v>0</v>
      </c>
      <c r="T170" s="1">
        <f>IF(Signals_US!L170=1,Signals_US!Q170*Mapping!$E$20,IF(Signals_US!L170=-1,-Signals_US!R170*Mapping!$E$20,0))</f>
        <v>0</v>
      </c>
      <c r="U170" s="1">
        <f t="shared" si="2"/>
        <v>0</v>
      </c>
    </row>
    <row r="171" spans="1:21">
      <c r="A171" s="5">
        <f>Signals_US!B171</f>
        <v>44197</v>
      </c>
      <c r="B171" s="1">
        <f>0</f>
        <v>0</v>
      </c>
      <c r="C171" s="1">
        <f>IF(Signals_US!F171=1,Signals_US!Q171*Mapping!$E$3,IF(Signals_US!F171=-1,-Signals_US!R171*Mapping!$E$3,0))</f>
        <v>-1.666666666666667E-2</v>
      </c>
      <c r="D171" s="1">
        <f>IF(Signals_US!C171=1,Signals_US!Q171*Mapping!$E$4,IF(Signals_US!C171=-1,-Signals_US!R171*Mapping!$E$4,0))</f>
        <v>1.666666666666667E-2</v>
      </c>
      <c r="E171" s="1">
        <f>IF(Signals_US!C171=1,Signals_US!Q171*Mapping!$E$5,IF(Signals_US!C171=-1,-Signals_US!R171*Mapping!$E$5,0))</f>
        <v>1.666666666666667E-2</v>
      </c>
      <c r="F171" s="1">
        <f>IF(Signals_US!C171=1,Signals_US!Q171*Mapping!$E$6,IF(Signals_US!C171=-1,-Signals_US!R171*Mapping!$E$6,0))</f>
        <v>1.666666666666667E-2</v>
      </c>
      <c r="G171" s="1">
        <f>IF(Signals_US!F171=1,Signals_US!Q171*Mapping!$E$7,IF(Signals_US!F171=-1,-Signals_US!R171*Mapping!$E$7,0))</f>
        <v>-1.666666666666667E-2</v>
      </c>
      <c r="H171" s="1">
        <f>IF(Signals_US!D171=1,Signals_US!Q171*Mapping!$E$8,IF(Signals_US!D171=-1,-Signals_US!R171*Mapping!$E$8,0))</f>
        <v>0</v>
      </c>
      <c r="I171" s="1">
        <f>IF(Signals_US!G171=1,Signals_US!Q171*Mapping!$E$9,IF(Signals_US!G171=-1,-Signals_US!R171*Mapping!$E$9,0))</f>
        <v>0</v>
      </c>
      <c r="J171" s="1">
        <f>IF(Signals_US!H171=1,Signals_US!Q171*Mapping!$E$10,IF(Signals_US!H171=-1,-Signals_US!R171*Mapping!$E$10,0))</f>
        <v>0</v>
      </c>
      <c r="K171" s="1">
        <f>IF(Signals_US!F171=1,Signals_US!Q171*Mapping!$E$11,IF(Signals_US!F171=-1,-Signals_US!R171*Mapping!$E$11,0))</f>
        <v>-1.666666666666667E-2</v>
      </c>
      <c r="L171" s="1">
        <f>IF(Signals_US!N171=1,Signals_US!Q171*Mapping!$E$12,IF(Signals_US!N171=-1,-Signals_US!R171*Mapping!$E$12,0))</f>
        <v>-5.000000000000001E-2</v>
      </c>
      <c r="M171" s="1">
        <f>IF(Signals_US!I171=1,Signals_US!Q171*Mapping!$E$13,IF(Signals_US!I171=-1,-Signals_US!R171*Mapping!$E$13,0))</f>
        <v>0</v>
      </c>
      <c r="N171" s="1">
        <f>0</f>
        <v>0</v>
      </c>
      <c r="O171" s="1">
        <f>0</f>
        <v>0</v>
      </c>
      <c r="P171" s="1">
        <f>IF(Signals_US!E171=1,Signals_US!Q171*Mapping!$E$16,IF(Signals_US!E171=-1,-Signals_US!R171*Mapping!$E$16,0))</f>
        <v>5.000000000000001E-2</v>
      </c>
      <c r="Q171" s="1">
        <f>IF(Signals_US!J171=1,Signals_US!Q171*Mapping!$E$17,IF(Signals_US!J171=-1,-Signals_US!R171*Mapping!$E$17,0))</f>
        <v>0</v>
      </c>
      <c r="R171" s="1">
        <f>IF(Signals_US!K171=1,Signals_US!Q171*Mapping!$E$18,IF(Signals_US!K171=-1,-Signals_US!R171*Mapping!$E$18,0))</f>
        <v>5.000000000000001E-2</v>
      </c>
      <c r="S171" s="1">
        <f>IF(Signals_US!M171=1,Signals_US!Q171*Mapping!$E$19,IF(Signals_US!M171=-1,-Signals_US!R171*Mapping!$E$19,0))</f>
        <v>0</v>
      </c>
      <c r="T171" s="1">
        <f>IF(Signals_US!L171=1,Signals_US!Q171*Mapping!$E$20,IF(Signals_US!L171=-1,-Signals_US!R171*Mapping!$E$20,0))</f>
        <v>-5.000000000000001E-2</v>
      </c>
      <c r="U171" s="1">
        <f t="shared" si="2"/>
        <v>0</v>
      </c>
    </row>
    <row r="172" spans="1:21">
      <c r="A172" s="5">
        <f>Signals_US!B172</f>
        <v>44228</v>
      </c>
      <c r="B172" s="1">
        <f>0</f>
        <v>0</v>
      </c>
      <c r="C172" s="1">
        <f>IF(Signals_US!F172=1,Signals_US!Q172*Mapping!$E$3,IF(Signals_US!F172=-1,-Signals_US!R172*Mapping!$E$3,0))</f>
        <v>0</v>
      </c>
      <c r="D172" s="1">
        <f>IF(Signals_US!C172=1,Signals_US!Q172*Mapping!$E$4,IF(Signals_US!C172=-1,-Signals_US!R172*Mapping!$E$4,0))</f>
        <v>1.666666666666667E-2</v>
      </c>
      <c r="E172" s="1">
        <f>IF(Signals_US!C172=1,Signals_US!Q172*Mapping!$E$5,IF(Signals_US!C172=-1,-Signals_US!R172*Mapping!$E$5,0))</f>
        <v>1.666666666666667E-2</v>
      </c>
      <c r="F172" s="1">
        <f>IF(Signals_US!C172=1,Signals_US!Q172*Mapping!$E$6,IF(Signals_US!C172=-1,-Signals_US!R172*Mapping!$E$6,0))</f>
        <v>1.666666666666667E-2</v>
      </c>
      <c r="G172" s="1">
        <f>IF(Signals_US!F172=1,Signals_US!Q172*Mapping!$E$7,IF(Signals_US!F172=-1,-Signals_US!R172*Mapping!$E$7,0))</f>
        <v>0</v>
      </c>
      <c r="H172" s="1">
        <f>IF(Signals_US!D172=1,Signals_US!Q172*Mapping!$E$8,IF(Signals_US!D172=-1,-Signals_US!R172*Mapping!$E$8,0))</f>
        <v>0</v>
      </c>
      <c r="I172" s="1">
        <f>IF(Signals_US!G172=1,Signals_US!Q172*Mapping!$E$9,IF(Signals_US!G172=-1,-Signals_US!R172*Mapping!$E$9,0))</f>
        <v>0</v>
      </c>
      <c r="J172" s="1">
        <f>IF(Signals_US!H172=1,Signals_US!Q172*Mapping!$E$10,IF(Signals_US!H172=-1,-Signals_US!R172*Mapping!$E$10,0))</f>
        <v>0</v>
      </c>
      <c r="K172" s="1">
        <f>IF(Signals_US!F172=1,Signals_US!Q172*Mapping!$E$11,IF(Signals_US!F172=-1,-Signals_US!R172*Mapping!$E$11,0))</f>
        <v>0</v>
      </c>
      <c r="L172" s="1">
        <f>IF(Signals_US!N172=1,Signals_US!Q172*Mapping!$E$12,IF(Signals_US!N172=-1,-Signals_US!R172*Mapping!$E$12,0))</f>
        <v>-5.000000000000001E-2</v>
      </c>
      <c r="M172" s="1">
        <f>IF(Signals_US!I172=1,Signals_US!Q172*Mapping!$E$13,IF(Signals_US!I172=-1,-Signals_US!R172*Mapping!$E$13,0))</f>
        <v>-5.000000000000001E-2</v>
      </c>
      <c r="N172" s="1">
        <f>0</f>
        <v>0</v>
      </c>
      <c r="O172" s="1">
        <f>0</f>
        <v>0</v>
      </c>
      <c r="P172" s="1">
        <f>IF(Signals_US!E172=1,Signals_US!Q172*Mapping!$E$16,IF(Signals_US!E172=-1,-Signals_US!R172*Mapping!$E$16,0))</f>
        <v>5.000000000000001E-2</v>
      </c>
      <c r="Q172" s="1">
        <f>IF(Signals_US!J172=1,Signals_US!Q172*Mapping!$E$17,IF(Signals_US!J172=-1,-Signals_US!R172*Mapping!$E$17,0))</f>
        <v>5.000000000000001E-2</v>
      </c>
      <c r="R172" s="1">
        <f>IF(Signals_US!K172=1,Signals_US!Q172*Mapping!$E$18,IF(Signals_US!K172=-1,-Signals_US!R172*Mapping!$E$18,0))</f>
        <v>0</v>
      </c>
      <c r="S172" s="1">
        <f>IF(Signals_US!M172=1,Signals_US!Q172*Mapping!$E$19,IF(Signals_US!M172=-1,-Signals_US!R172*Mapping!$E$19,0))</f>
        <v>0</v>
      </c>
      <c r="T172" s="1">
        <f>IF(Signals_US!L172=1,Signals_US!Q172*Mapping!$E$20,IF(Signals_US!L172=-1,-Signals_US!R172*Mapping!$E$20,0))</f>
        <v>-5.000000000000001E-2</v>
      </c>
      <c r="U172" s="1">
        <f t="shared" si="2"/>
        <v>0</v>
      </c>
    </row>
    <row r="173" spans="1:21">
      <c r="A173" s="5">
        <f>Signals_US!B173</f>
        <v>44256</v>
      </c>
      <c r="B173" s="1">
        <f>0</f>
        <v>0</v>
      </c>
      <c r="C173" s="1">
        <f>IF(Signals_US!F173=1,Signals_US!Q173*Mapping!$E$3,IF(Signals_US!F173=-1,-Signals_US!R173*Mapping!$E$3,0))</f>
        <v>-1.666666666666667E-2</v>
      </c>
      <c r="D173" s="1">
        <f>IF(Signals_US!C173=1,Signals_US!Q173*Mapping!$E$4,IF(Signals_US!C173=-1,-Signals_US!R173*Mapping!$E$4,0))</f>
        <v>1.666666666666667E-2</v>
      </c>
      <c r="E173" s="1">
        <f>IF(Signals_US!C173=1,Signals_US!Q173*Mapping!$E$5,IF(Signals_US!C173=-1,-Signals_US!R173*Mapping!$E$5,0))</f>
        <v>1.666666666666667E-2</v>
      </c>
      <c r="F173" s="1">
        <f>IF(Signals_US!C173=1,Signals_US!Q173*Mapping!$E$6,IF(Signals_US!C173=-1,-Signals_US!R173*Mapping!$E$6,0))</f>
        <v>1.666666666666667E-2</v>
      </c>
      <c r="G173" s="1">
        <f>IF(Signals_US!F173=1,Signals_US!Q173*Mapping!$E$7,IF(Signals_US!F173=-1,-Signals_US!R173*Mapping!$E$7,0))</f>
        <v>-1.666666666666667E-2</v>
      </c>
      <c r="H173" s="1">
        <f>IF(Signals_US!D173=1,Signals_US!Q173*Mapping!$E$8,IF(Signals_US!D173=-1,-Signals_US!R173*Mapping!$E$8,0))</f>
        <v>0</v>
      </c>
      <c r="I173" s="1">
        <f>IF(Signals_US!G173=1,Signals_US!Q173*Mapping!$E$9,IF(Signals_US!G173=-1,-Signals_US!R173*Mapping!$E$9,0))</f>
        <v>5.000000000000001E-2</v>
      </c>
      <c r="J173" s="1">
        <f>IF(Signals_US!H173=1,Signals_US!Q173*Mapping!$E$10,IF(Signals_US!H173=-1,-Signals_US!R173*Mapping!$E$10,0))</f>
        <v>0</v>
      </c>
      <c r="K173" s="1">
        <f>IF(Signals_US!F173=1,Signals_US!Q173*Mapping!$E$11,IF(Signals_US!F173=-1,-Signals_US!R173*Mapping!$E$11,0))</f>
        <v>-1.666666666666667E-2</v>
      </c>
      <c r="L173" s="1">
        <f>IF(Signals_US!N173=1,Signals_US!Q173*Mapping!$E$12,IF(Signals_US!N173=-1,-Signals_US!R173*Mapping!$E$12,0))</f>
        <v>-5.000000000000001E-2</v>
      </c>
      <c r="M173" s="1">
        <f>IF(Signals_US!I173=1,Signals_US!Q173*Mapping!$E$13,IF(Signals_US!I173=-1,-Signals_US!R173*Mapping!$E$13,0))</f>
        <v>-5.000000000000001E-2</v>
      </c>
      <c r="N173" s="1">
        <f>0</f>
        <v>0</v>
      </c>
      <c r="O173" s="1">
        <f>0</f>
        <v>0</v>
      </c>
      <c r="P173" s="1">
        <f>IF(Signals_US!E173=1,Signals_US!Q173*Mapping!$E$16,IF(Signals_US!E173=-1,-Signals_US!R173*Mapping!$E$16,0))</f>
        <v>0</v>
      </c>
      <c r="Q173" s="1">
        <f>IF(Signals_US!J173=1,Signals_US!Q173*Mapping!$E$17,IF(Signals_US!J173=-1,-Signals_US!R173*Mapping!$E$17,0))</f>
        <v>5.000000000000001E-2</v>
      </c>
      <c r="R173" s="1">
        <f>IF(Signals_US!K173=1,Signals_US!Q173*Mapping!$E$18,IF(Signals_US!K173=-1,-Signals_US!R173*Mapping!$E$18,0))</f>
        <v>0</v>
      </c>
      <c r="S173" s="1">
        <f>IF(Signals_US!M173=1,Signals_US!Q173*Mapping!$E$19,IF(Signals_US!M173=-1,-Signals_US!R173*Mapping!$E$19,0))</f>
        <v>0</v>
      </c>
      <c r="T173" s="1">
        <f>IF(Signals_US!L173=1,Signals_US!Q173*Mapping!$E$20,IF(Signals_US!L173=-1,-Signals_US!R173*Mapping!$E$20,0))</f>
        <v>0</v>
      </c>
      <c r="U173" s="1">
        <f t="shared" si="2"/>
        <v>0</v>
      </c>
    </row>
    <row r="174" spans="1:21">
      <c r="A174" s="5">
        <f>Signals_US!B174</f>
        <v>44287</v>
      </c>
      <c r="B174" s="1">
        <f>0</f>
        <v>0</v>
      </c>
      <c r="C174" s="1">
        <f>IF(Signals_US!F174=1,Signals_US!Q174*Mapping!$E$3,IF(Signals_US!F174=-1,-Signals_US!R174*Mapping!$E$3,0))</f>
        <v>-1.666666666666667E-2</v>
      </c>
      <c r="D174" s="1">
        <f>IF(Signals_US!C174=1,Signals_US!Q174*Mapping!$E$4,IF(Signals_US!C174=-1,-Signals_US!R174*Mapping!$E$4,0))</f>
        <v>1.666666666666667E-2</v>
      </c>
      <c r="E174" s="1">
        <f>IF(Signals_US!C174=1,Signals_US!Q174*Mapping!$E$5,IF(Signals_US!C174=-1,-Signals_US!R174*Mapping!$E$5,0))</f>
        <v>1.666666666666667E-2</v>
      </c>
      <c r="F174" s="1">
        <f>IF(Signals_US!C174=1,Signals_US!Q174*Mapping!$E$6,IF(Signals_US!C174=-1,-Signals_US!R174*Mapping!$E$6,0))</f>
        <v>1.666666666666667E-2</v>
      </c>
      <c r="G174" s="1">
        <f>IF(Signals_US!F174=1,Signals_US!Q174*Mapping!$E$7,IF(Signals_US!F174=-1,-Signals_US!R174*Mapping!$E$7,0))</f>
        <v>-1.666666666666667E-2</v>
      </c>
      <c r="H174" s="1">
        <f>IF(Signals_US!D174=1,Signals_US!Q174*Mapping!$E$8,IF(Signals_US!D174=-1,-Signals_US!R174*Mapping!$E$8,0))</f>
        <v>0</v>
      </c>
      <c r="I174" s="1">
        <f>IF(Signals_US!G174=1,Signals_US!Q174*Mapping!$E$9,IF(Signals_US!G174=-1,-Signals_US!R174*Mapping!$E$9,0))</f>
        <v>0</v>
      </c>
      <c r="J174" s="1">
        <f>IF(Signals_US!H174=1,Signals_US!Q174*Mapping!$E$10,IF(Signals_US!H174=-1,-Signals_US!R174*Mapping!$E$10,0))</f>
        <v>0</v>
      </c>
      <c r="K174" s="1">
        <f>IF(Signals_US!F174=1,Signals_US!Q174*Mapping!$E$11,IF(Signals_US!F174=-1,-Signals_US!R174*Mapping!$E$11,0))</f>
        <v>-1.666666666666667E-2</v>
      </c>
      <c r="L174" s="1">
        <f>IF(Signals_US!N174=1,Signals_US!Q174*Mapping!$E$12,IF(Signals_US!N174=-1,-Signals_US!R174*Mapping!$E$12,0))</f>
        <v>-5.000000000000001E-2</v>
      </c>
      <c r="M174" s="1">
        <f>IF(Signals_US!I174=1,Signals_US!Q174*Mapping!$E$13,IF(Signals_US!I174=-1,-Signals_US!R174*Mapping!$E$13,0))</f>
        <v>0</v>
      </c>
      <c r="N174" s="1">
        <f>0</f>
        <v>0</v>
      </c>
      <c r="O174" s="1">
        <f>0</f>
        <v>0</v>
      </c>
      <c r="P174" s="1">
        <f>IF(Signals_US!E174=1,Signals_US!Q174*Mapping!$E$16,IF(Signals_US!E174=-1,-Signals_US!R174*Mapping!$E$16,0))</f>
        <v>5.000000000000001E-2</v>
      </c>
      <c r="Q174" s="1">
        <f>IF(Signals_US!J174=1,Signals_US!Q174*Mapping!$E$17,IF(Signals_US!J174=-1,-Signals_US!R174*Mapping!$E$17,0))</f>
        <v>5.000000000000001E-2</v>
      </c>
      <c r="R174" s="1">
        <f>IF(Signals_US!K174=1,Signals_US!Q174*Mapping!$E$18,IF(Signals_US!K174=-1,-Signals_US!R174*Mapping!$E$18,0))</f>
        <v>0</v>
      </c>
      <c r="S174" s="1">
        <f>IF(Signals_US!M174=1,Signals_US!Q174*Mapping!$E$19,IF(Signals_US!M174=-1,-Signals_US!R174*Mapping!$E$19,0))</f>
        <v>0</v>
      </c>
      <c r="T174" s="1">
        <f>IF(Signals_US!L174=1,Signals_US!Q174*Mapping!$E$20,IF(Signals_US!L174=-1,-Signals_US!R174*Mapping!$E$20,0))</f>
        <v>-5.000000000000001E-2</v>
      </c>
      <c r="U174" s="1">
        <f t="shared" si="2"/>
        <v>0</v>
      </c>
    </row>
    <row r="175" spans="1:21">
      <c r="A175" s="5">
        <f>Signals_US!B175</f>
        <v>44317</v>
      </c>
      <c r="B175" s="1">
        <f>0</f>
        <v>0</v>
      </c>
      <c r="C175" s="1">
        <f>IF(Signals_US!F175=1,Signals_US!Q175*Mapping!$E$3,IF(Signals_US!F175=-1,-Signals_US!R175*Mapping!$E$3,0))</f>
        <v>0</v>
      </c>
      <c r="D175" s="1">
        <f>IF(Signals_US!C175=1,Signals_US!Q175*Mapping!$E$4,IF(Signals_US!C175=-1,-Signals_US!R175*Mapping!$E$4,0))</f>
        <v>1.666666666666667E-2</v>
      </c>
      <c r="E175" s="1">
        <f>IF(Signals_US!C175=1,Signals_US!Q175*Mapping!$E$5,IF(Signals_US!C175=-1,-Signals_US!R175*Mapping!$E$5,0))</f>
        <v>1.666666666666667E-2</v>
      </c>
      <c r="F175" s="1">
        <f>IF(Signals_US!C175=1,Signals_US!Q175*Mapping!$E$6,IF(Signals_US!C175=-1,-Signals_US!R175*Mapping!$E$6,0))</f>
        <v>1.666666666666667E-2</v>
      </c>
      <c r="G175" s="1">
        <f>IF(Signals_US!F175=1,Signals_US!Q175*Mapping!$E$7,IF(Signals_US!F175=-1,-Signals_US!R175*Mapping!$E$7,0))</f>
        <v>0</v>
      </c>
      <c r="H175" s="1">
        <f>IF(Signals_US!D175=1,Signals_US!Q175*Mapping!$E$8,IF(Signals_US!D175=-1,-Signals_US!R175*Mapping!$E$8,0))</f>
        <v>0</v>
      </c>
      <c r="I175" s="1">
        <f>IF(Signals_US!G175=1,Signals_US!Q175*Mapping!$E$9,IF(Signals_US!G175=-1,-Signals_US!R175*Mapping!$E$9,0))</f>
        <v>0</v>
      </c>
      <c r="J175" s="1">
        <f>IF(Signals_US!H175=1,Signals_US!Q175*Mapping!$E$10,IF(Signals_US!H175=-1,-Signals_US!R175*Mapping!$E$10,0))</f>
        <v>-5.000000000000001E-2</v>
      </c>
      <c r="K175" s="1">
        <f>IF(Signals_US!F175=1,Signals_US!Q175*Mapping!$E$11,IF(Signals_US!F175=-1,-Signals_US!R175*Mapping!$E$11,0))</f>
        <v>0</v>
      </c>
      <c r="L175" s="1">
        <f>IF(Signals_US!N175=1,Signals_US!Q175*Mapping!$E$12,IF(Signals_US!N175=-1,-Signals_US!R175*Mapping!$E$12,0))</f>
        <v>-5.000000000000001E-2</v>
      </c>
      <c r="M175" s="1">
        <f>IF(Signals_US!I175=1,Signals_US!Q175*Mapping!$E$13,IF(Signals_US!I175=-1,-Signals_US!R175*Mapping!$E$13,0))</f>
        <v>0</v>
      </c>
      <c r="N175" s="1">
        <f>0</f>
        <v>0</v>
      </c>
      <c r="O175" s="1">
        <f>0</f>
        <v>0</v>
      </c>
      <c r="P175" s="1">
        <f>IF(Signals_US!E175=1,Signals_US!Q175*Mapping!$E$16,IF(Signals_US!E175=-1,-Signals_US!R175*Mapping!$E$16,0))</f>
        <v>5.000000000000001E-2</v>
      </c>
      <c r="Q175" s="1">
        <f>IF(Signals_US!J175=1,Signals_US!Q175*Mapping!$E$17,IF(Signals_US!J175=-1,-Signals_US!R175*Mapping!$E$17,0))</f>
        <v>5.000000000000001E-2</v>
      </c>
      <c r="R175" s="1">
        <f>IF(Signals_US!K175=1,Signals_US!Q175*Mapping!$E$18,IF(Signals_US!K175=-1,-Signals_US!R175*Mapping!$E$18,0))</f>
        <v>0</v>
      </c>
      <c r="S175" s="1">
        <f>IF(Signals_US!M175=1,Signals_US!Q175*Mapping!$E$19,IF(Signals_US!M175=-1,-Signals_US!R175*Mapping!$E$19,0))</f>
        <v>0</v>
      </c>
      <c r="T175" s="1">
        <f>IF(Signals_US!L175=1,Signals_US!Q175*Mapping!$E$20,IF(Signals_US!L175=-1,-Signals_US!R175*Mapping!$E$20,0))</f>
        <v>-5.000000000000001E-2</v>
      </c>
      <c r="U175" s="1">
        <f t="shared" si="2"/>
        <v>0</v>
      </c>
    </row>
    <row r="176" spans="1:21">
      <c r="A176" s="5">
        <f>Signals_US!B176</f>
        <v>44348</v>
      </c>
      <c r="B176" s="1">
        <f>0</f>
        <v>0</v>
      </c>
      <c r="C176" s="1">
        <f>IF(Signals_US!F176=1,Signals_US!Q176*Mapping!$E$3,IF(Signals_US!F176=-1,-Signals_US!R176*Mapping!$E$3,0))</f>
        <v>0</v>
      </c>
      <c r="D176" s="1">
        <f>IF(Signals_US!C176=1,Signals_US!Q176*Mapping!$E$4,IF(Signals_US!C176=-1,-Signals_US!R176*Mapping!$E$4,0))</f>
        <v>1.666666666666667E-2</v>
      </c>
      <c r="E176" s="1">
        <f>IF(Signals_US!C176=1,Signals_US!Q176*Mapping!$E$5,IF(Signals_US!C176=-1,-Signals_US!R176*Mapping!$E$5,0))</f>
        <v>1.666666666666667E-2</v>
      </c>
      <c r="F176" s="1">
        <f>IF(Signals_US!C176=1,Signals_US!Q176*Mapping!$E$6,IF(Signals_US!C176=-1,-Signals_US!R176*Mapping!$E$6,0))</f>
        <v>1.666666666666667E-2</v>
      </c>
      <c r="G176" s="1">
        <f>IF(Signals_US!F176=1,Signals_US!Q176*Mapping!$E$7,IF(Signals_US!F176=-1,-Signals_US!R176*Mapping!$E$7,0))</f>
        <v>0</v>
      </c>
      <c r="H176" s="1">
        <f>IF(Signals_US!D176=1,Signals_US!Q176*Mapping!$E$8,IF(Signals_US!D176=-1,-Signals_US!R176*Mapping!$E$8,0))</f>
        <v>0</v>
      </c>
      <c r="I176" s="1">
        <f>IF(Signals_US!G176=1,Signals_US!Q176*Mapping!$E$9,IF(Signals_US!G176=-1,-Signals_US!R176*Mapping!$E$9,0))</f>
        <v>0</v>
      </c>
      <c r="J176" s="1">
        <f>IF(Signals_US!H176=1,Signals_US!Q176*Mapping!$E$10,IF(Signals_US!H176=-1,-Signals_US!R176*Mapping!$E$10,0))</f>
        <v>-5.000000000000001E-2</v>
      </c>
      <c r="K176" s="1">
        <f>IF(Signals_US!F176=1,Signals_US!Q176*Mapping!$E$11,IF(Signals_US!F176=-1,-Signals_US!R176*Mapping!$E$11,0))</f>
        <v>0</v>
      </c>
      <c r="L176" s="1">
        <f>IF(Signals_US!N176=1,Signals_US!Q176*Mapping!$E$12,IF(Signals_US!N176=-1,-Signals_US!R176*Mapping!$E$12,0))</f>
        <v>-5.000000000000001E-2</v>
      </c>
      <c r="M176" s="1">
        <f>IF(Signals_US!I176=1,Signals_US!Q176*Mapping!$E$13,IF(Signals_US!I176=-1,-Signals_US!R176*Mapping!$E$13,0))</f>
        <v>0</v>
      </c>
      <c r="N176" s="1">
        <f>0</f>
        <v>0</v>
      </c>
      <c r="O176" s="1">
        <f>0</f>
        <v>0</v>
      </c>
      <c r="P176" s="1">
        <f>IF(Signals_US!E176=1,Signals_US!Q176*Mapping!$E$16,IF(Signals_US!E176=-1,-Signals_US!R176*Mapping!$E$16,0))</f>
        <v>5.000000000000001E-2</v>
      </c>
      <c r="Q176" s="1">
        <f>IF(Signals_US!J176=1,Signals_US!Q176*Mapping!$E$17,IF(Signals_US!J176=-1,-Signals_US!R176*Mapping!$E$17,0))</f>
        <v>5.000000000000001E-2</v>
      </c>
      <c r="R176" s="1">
        <f>IF(Signals_US!K176=1,Signals_US!Q176*Mapping!$E$18,IF(Signals_US!K176=-1,-Signals_US!R176*Mapping!$E$18,0))</f>
        <v>0</v>
      </c>
      <c r="S176" s="1">
        <f>IF(Signals_US!M176=1,Signals_US!Q176*Mapping!$E$19,IF(Signals_US!M176=-1,-Signals_US!R176*Mapping!$E$19,0))</f>
        <v>0</v>
      </c>
      <c r="T176" s="1">
        <f>IF(Signals_US!L176=1,Signals_US!Q176*Mapping!$E$20,IF(Signals_US!L176=-1,-Signals_US!R176*Mapping!$E$20,0))</f>
        <v>-5.000000000000001E-2</v>
      </c>
      <c r="U176" s="1">
        <f t="shared" si="2"/>
        <v>0</v>
      </c>
    </row>
    <row r="177" spans="1:21">
      <c r="A177" s="5">
        <f>Signals_US!B177</f>
        <v>44378</v>
      </c>
      <c r="B177" s="1">
        <f>0</f>
        <v>0</v>
      </c>
      <c r="C177" s="1">
        <f>IF(Signals_US!F177=1,Signals_US!Q177*Mapping!$E$3,IF(Signals_US!F177=-1,-Signals_US!R177*Mapping!$E$3,0))</f>
        <v>-1.666666666666667E-2</v>
      </c>
      <c r="D177" s="1">
        <f>IF(Signals_US!C177=1,Signals_US!Q177*Mapping!$E$4,IF(Signals_US!C177=-1,-Signals_US!R177*Mapping!$E$4,0))</f>
        <v>1.666666666666667E-2</v>
      </c>
      <c r="E177" s="1">
        <f>IF(Signals_US!C177=1,Signals_US!Q177*Mapping!$E$5,IF(Signals_US!C177=-1,-Signals_US!R177*Mapping!$E$5,0))</f>
        <v>1.666666666666667E-2</v>
      </c>
      <c r="F177" s="1">
        <f>IF(Signals_US!C177=1,Signals_US!Q177*Mapping!$E$6,IF(Signals_US!C177=-1,-Signals_US!R177*Mapping!$E$6,0))</f>
        <v>1.666666666666667E-2</v>
      </c>
      <c r="G177" s="1">
        <f>IF(Signals_US!F177=1,Signals_US!Q177*Mapping!$E$7,IF(Signals_US!F177=-1,-Signals_US!R177*Mapping!$E$7,0))</f>
        <v>-1.666666666666667E-2</v>
      </c>
      <c r="H177" s="1">
        <f>IF(Signals_US!D177=1,Signals_US!Q177*Mapping!$E$8,IF(Signals_US!D177=-1,-Signals_US!R177*Mapping!$E$8,0))</f>
        <v>0</v>
      </c>
      <c r="I177" s="1">
        <f>IF(Signals_US!G177=1,Signals_US!Q177*Mapping!$E$9,IF(Signals_US!G177=-1,-Signals_US!R177*Mapping!$E$9,0))</f>
        <v>0</v>
      </c>
      <c r="J177" s="1">
        <f>IF(Signals_US!H177=1,Signals_US!Q177*Mapping!$E$10,IF(Signals_US!H177=-1,-Signals_US!R177*Mapping!$E$10,0))</f>
        <v>0</v>
      </c>
      <c r="K177" s="1">
        <f>IF(Signals_US!F177=1,Signals_US!Q177*Mapping!$E$11,IF(Signals_US!F177=-1,-Signals_US!R177*Mapping!$E$11,0))</f>
        <v>-1.666666666666667E-2</v>
      </c>
      <c r="L177" s="1">
        <f>IF(Signals_US!N177=1,Signals_US!Q177*Mapping!$E$12,IF(Signals_US!N177=-1,-Signals_US!R177*Mapping!$E$12,0))</f>
        <v>-5.000000000000001E-2</v>
      </c>
      <c r="M177" s="1">
        <f>IF(Signals_US!I177=1,Signals_US!Q177*Mapping!$E$13,IF(Signals_US!I177=-1,-Signals_US!R177*Mapping!$E$13,0))</f>
        <v>0</v>
      </c>
      <c r="N177" s="1">
        <f>0</f>
        <v>0</v>
      </c>
      <c r="O177" s="1">
        <f>0</f>
        <v>0</v>
      </c>
      <c r="P177" s="1">
        <f>IF(Signals_US!E177=1,Signals_US!Q177*Mapping!$E$16,IF(Signals_US!E177=-1,-Signals_US!R177*Mapping!$E$16,0))</f>
        <v>5.000000000000001E-2</v>
      </c>
      <c r="Q177" s="1">
        <f>IF(Signals_US!J177=1,Signals_US!Q177*Mapping!$E$17,IF(Signals_US!J177=-1,-Signals_US!R177*Mapping!$E$17,0))</f>
        <v>5.000000000000001E-2</v>
      </c>
      <c r="R177" s="1">
        <f>IF(Signals_US!K177=1,Signals_US!Q177*Mapping!$E$18,IF(Signals_US!K177=-1,-Signals_US!R177*Mapping!$E$18,0))</f>
        <v>0</v>
      </c>
      <c r="S177" s="1">
        <f>IF(Signals_US!M177=1,Signals_US!Q177*Mapping!$E$19,IF(Signals_US!M177=-1,-Signals_US!R177*Mapping!$E$19,0))</f>
        <v>0</v>
      </c>
      <c r="T177" s="1">
        <f>IF(Signals_US!L177=1,Signals_US!Q177*Mapping!$E$20,IF(Signals_US!L177=-1,-Signals_US!R177*Mapping!$E$20,0))</f>
        <v>-5.000000000000001E-2</v>
      </c>
      <c r="U177" s="1">
        <f t="shared" si="2"/>
        <v>0</v>
      </c>
    </row>
    <row r="178" spans="1:21">
      <c r="A178" s="5">
        <f>Signals_US!B178</f>
        <v>44409</v>
      </c>
      <c r="B178" s="1">
        <f>0</f>
        <v>0</v>
      </c>
      <c r="C178" s="1">
        <f>IF(Signals_US!F178=1,Signals_US!Q178*Mapping!$E$3,IF(Signals_US!F178=-1,-Signals_US!R178*Mapping!$E$3,0))</f>
        <v>0</v>
      </c>
      <c r="D178" s="1">
        <f>IF(Signals_US!C178=1,Signals_US!Q178*Mapping!$E$4,IF(Signals_US!C178=-1,-Signals_US!R178*Mapping!$E$4,0))</f>
        <v>1.666666666666667E-2</v>
      </c>
      <c r="E178" s="1">
        <f>IF(Signals_US!C178=1,Signals_US!Q178*Mapping!$E$5,IF(Signals_US!C178=-1,-Signals_US!R178*Mapping!$E$5,0))</f>
        <v>1.666666666666667E-2</v>
      </c>
      <c r="F178" s="1">
        <f>IF(Signals_US!C178=1,Signals_US!Q178*Mapping!$E$6,IF(Signals_US!C178=-1,-Signals_US!R178*Mapping!$E$6,0))</f>
        <v>1.666666666666667E-2</v>
      </c>
      <c r="G178" s="1">
        <f>IF(Signals_US!F178=1,Signals_US!Q178*Mapping!$E$7,IF(Signals_US!F178=-1,-Signals_US!R178*Mapping!$E$7,0))</f>
        <v>0</v>
      </c>
      <c r="H178" s="1">
        <f>IF(Signals_US!D178=1,Signals_US!Q178*Mapping!$E$8,IF(Signals_US!D178=-1,-Signals_US!R178*Mapping!$E$8,0))</f>
        <v>-5.000000000000001E-2</v>
      </c>
      <c r="I178" s="1">
        <f>IF(Signals_US!G178=1,Signals_US!Q178*Mapping!$E$9,IF(Signals_US!G178=-1,-Signals_US!R178*Mapping!$E$9,0))</f>
        <v>0</v>
      </c>
      <c r="J178" s="1">
        <f>IF(Signals_US!H178=1,Signals_US!Q178*Mapping!$E$10,IF(Signals_US!H178=-1,-Signals_US!R178*Mapping!$E$10,0))</f>
        <v>0</v>
      </c>
      <c r="K178" s="1">
        <f>IF(Signals_US!F178=1,Signals_US!Q178*Mapping!$E$11,IF(Signals_US!F178=-1,-Signals_US!R178*Mapping!$E$11,0))</f>
        <v>0</v>
      </c>
      <c r="L178" s="1">
        <f>IF(Signals_US!N178=1,Signals_US!Q178*Mapping!$E$12,IF(Signals_US!N178=-1,-Signals_US!R178*Mapping!$E$12,0))</f>
        <v>-5.000000000000001E-2</v>
      </c>
      <c r="M178" s="1">
        <f>IF(Signals_US!I178=1,Signals_US!Q178*Mapping!$E$13,IF(Signals_US!I178=-1,-Signals_US!R178*Mapping!$E$13,0))</f>
        <v>5.000000000000001E-2</v>
      </c>
      <c r="N178" s="1">
        <f>0</f>
        <v>0</v>
      </c>
      <c r="O178" s="1">
        <f>0</f>
        <v>0</v>
      </c>
      <c r="P178" s="1">
        <f>IF(Signals_US!E178=1,Signals_US!Q178*Mapping!$E$16,IF(Signals_US!E178=-1,-Signals_US!R178*Mapping!$E$16,0))</f>
        <v>0</v>
      </c>
      <c r="Q178" s="1">
        <f>IF(Signals_US!J178=1,Signals_US!Q178*Mapping!$E$17,IF(Signals_US!J178=-1,-Signals_US!R178*Mapping!$E$17,0))</f>
        <v>5.000000000000001E-2</v>
      </c>
      <c r="R178" s="1">
        <f>IF(Signals_US!K178=1,Signals_US!Q178*Mapping!$E$18,IF(Signals_US!K178=-1,-Signals_US!R178*Mapping!$E$18,0))</f>
        <v>0</v>
      </c>
      <c r="S178" s="1">
        <f>IF(Signals_US!M178=1,Signals_US!Q178*Mapping!$E$19,IF(Signals_US!M178=-1,-Signals_US!R178*Mapping!$E$19,0))</f>
        <v>0</v>
      </c>
      <c r="T178" s="1">
        <f>IF(Signals_US!L178=1,Signals_US!Q178*Mapping!$E$20,IF(Signals_US!L178=-1,-Signals_US!R178*Mapping!$E$20,0))</f>
        <v>-5.000000000000001E-2</v>
      </c>
      <c r="U178" s="1">
        <f t="shared" si="2"/>
        <v>0</v>
      </c>
    </row>
    <row r="179" spans="1:21">
      <c r="A179" s="5">
        <f>Signals_US!B179</f>
        <v>44440</v>
      </c>
      <c r="B179" s="1">
        <f>0</f>
        <v>0</v>
      </c>
      <c r="C179" s="1">
        <f>IF(Signals_US!F179=1,Signals_US!Q179*Mapping!$E$3,IF(Signals_US!F179=-1,-Signals_US!R179*Mapping!$E$3,0))</f>
        <v>0</v>
      </c>
      <c r="D179" s="1">
        <f>IF(Signals_US!C179=1,Signals_US!Q179*Mapping!$E$4,IF(Signals_US!C179=-1,-Signals_US!R179*Mapping!$E$4,0))</f>
        <v>1.666666666666667E-2</v>
      </c>
      <c r="E179" s="1">
        <f>IF(Signals_US!C179=1,Signals_US!Q179*Mapping!$E$5,IF(Signals_US!C179=-1,-Signals_US!R179*Mapping!$E$5,0))</f>
        <v>1.666666666666667E-2</v>
      </c>
      <c r="F179" s="1">
        <f>IF(Signals_US!C179=1,Signals_US!Q179*Mapping!$E$6,IF(Signals_US!C179=-1,-Signals_US!R179*Mapping!$E$6,0))</f>
        <v>1.666666666666667E-2</v>
      </c>
      <c r="G179" s="1">
        <f>IF(Signals_US!F179=1,Signals_US!Q179*Mapping!$E$7,IF(Signals_US!F179=-1,-Signals_US!R179*Mapping!$E$7,0))</f>
        <v>0</v>
      </c>
      <c r="H179" s="1">
        <f>IF(Signals_US!D179=1,Signals_US!Q179*Mapping!$E$8,IF(Signals_US!D179=-1,-Signals_US!R179*Mapping!$E$8,0))</f>
        <v>-5.000000000000001E-2</v>
      </c>
      <c r="I179" s="1">
        <f>IF(Signals_US!G179=1,Signals_US!Q179*Mapping!$E$9,IF(Signals_US!G179=-1,-Signals_US!R179*Mapping!$E$9,0))</f>
        <v>0</v>
      </c>
      <c r="J179" s="1">
        <f>IF(Signals_US!H179=1,Signals_US!Q179*Mapping!$E$10,IF(Signals_US!H179=-1,-Signals_US!R179*Mapping!$E$10,0))</f>
        <v>5.000000000000001E-2</v>
      </c>
      <c r="K179" s="1">
        <f>IF(Signals_US!F179=1,Signals_US!Q179*Mapping!$E$11,IF(Signals_US!F179=-1,-Signals_US!R179*Mapping!$E$11,0))</f>
        <v>0</v>
      </c>
      <c r="L179" s="1">
        <f>IF(Signals_US!N179=1,Signals_US!Q179*Mapping!$E$12,IF(Signals_US!N179=-1,-Signals_US!R179*Mapping!$E$12,0))</f>
        <v>0</v>
      </c>
      <c r="M179" s="1">
        <f>IF(Signals_US!I179=1,Signals_US!Q179*Mapping!$E$13,IF(Signals_US!I179=-1,-Signals_US!R179*Mapping!$E$13,0))</f>
        <v>0</v>
      </c>
      <c r="N179" s="1">
        <f>0</f>
        <v>0</v>
      </c>
      <c r="O179" s="1">
        <f>0</f>
        <v>0</v>
      </c>
      <c r="P179" s="1">
        <f>IF(Signals_US!E179=1,Signals_US!Q179*Mapping!$E$16,IF(Signals_US!E179=-1,-Signals_US!R179*Mapping!$E$16,0))</f>
        <v>0</v>
      </c>
      <c r="Q179" s="1">
        <f>IF(Signals_US!J179=1,Signals_US!Q179*Mapping!$E$17,IF(Signals_US!J179=-1,-Signals_US!R179*Mapping!$E$17,0))</f>
        <v>5.000000000000001E-2</v>
      </c>
      <c r="R179" s="1">
        <f>IF(Signals_US!K179=1,Signals_US!Q179*Mapping!$E$18,IF(Signals_US!K179=-1,-Signals_US!R179*Mapping!$E$18,0))</f>
        <v>-5.000000000000001E-2</v>
      </c>
      <c r="S179" s="1">
        <f>IF(Signals_US!M179=1,Signals_US!Q179*Mapping!$E$19,IF(Signals_US!M179=-1,-Signals_US!R179*Mapping!$E$19,0))</f>
        <v>0</v>
      </c>
      <c r="T179" s="1">
        <f>IF(Signals_US!L179=1,Signals_US!Q179*Mapping!$E$20,IF(Signals_US!L179=-1,-Signals_US!R179*Mapping!$E$20,0))</f>
        <v>-5.000000000000001E-2</v>
      </c>
      <c r="U179" s="1">
        <f t="shared" si="2"/>
        <v>0</v>
      </c>
    </row>
    <row r="180" spans="1:21">
      <c r="A180" s="5">
        <f>Signals_US!B180</f>
        <v>44470</v>
      </c>
      <c r="B180" s="1">
        <f>0</f>
        <v>0</v>
      </c>
      <c r="C180" s="1">
        <f>IF(Signals_US!F180=1,Signals_US!Q180*Mapping!$E$3,IF(Signals_US!F180=-1,-Signals_US!R180*Mapping!$E$3,0))</f>
        <v>1.666666666666667E-2</v>
      </c>
      <c r="D180" s="1">
        <f>IF(Signals_US!C180=1,Signals_US!Q180*Mapping!$E$4,IF(Signals_US!C180=-1,-Signals_US!R180*Mapping!$E$4,0))</f>
        <v>0</v>
      </c>
      <c r="E180" s="1">
        <f>IF(Signals_US!C180=1,Signals_US!Q180*Mapping!$E$5,IF(Signals_US!C180=-1,-Signals_US!R180*Mapping!$E$5,0))</f>
        <v>0</v>
      </c>
      <c r="F180" s="1">
        <f>IF(Signals_US!C180=1,Signals_US!Q180*Mapping!$E$6,IF(Signals_US!C180=-1,-Signals_US!R180*Mapping!$E$6,0))</f>
        <v>0</v>
      </c>
      <c r="G180" s="1">
        <f>IF(Signals_US!F180=1,Signals_US!Q180*Mapping!$E$7,IF(Signals_US!F180=-1,-Signals_US!R180*Mapping!$E$7,0))</f>
        <v>1.666666666666667E-2</v>
      </c>
      <c r="H180" s="1">
        <f>IF(Signals_US!D180=1,Signals_US!Q180*Mapping!$E$8,IF(Signals_US!D180=-1,-Signals_US!R180*Mapping!$E$8,0))</f>
        <v>0</v>
      </c>
      <c r="I180" s="1">
        <f>IF(Signals_US!G180=1,Signals_US!Q180*Mapping!$E$9,IF(Signals_US!G180=-1,-Signals_US!R180*Mapping!$E$9,0))</f>
        <v>5.000000000000001E-2</v>
      </c>
      <c r="J180" s="1">
        <f>IF(Signals_US!H180=1,Signals_US!Q180*Mapping!$E$10,IF(Signals_US!H180=-1,-Signals_US!R180*Mapping!$E$10,0))</f>
        <v>-5.000000000000001E-2</v>
      </c>
      <c r="K180" s="1">
        <f>IF(Signals_US!F180=1,Signals_US!Q180*Mapping!$E$11,IF(Signals_US!F180=-1,-Signals_US!R180*Mapping!$E$11,0))</f>
        <v>1.666666666666667E-2</v>
      </c>
      <c r="L180" s="1">
        <f>IF(Signals_US!N180=1,Signals_US!Q180*Mapping!$E$12,IF(Signals_US!N180=-1,-Signals_US!R180*Mapping!$E$12,0))</f>
        <v>-5.000000000000001E-2</v>
      </c>
      <c r="M180" s="1">
        <f>IF(Signals_US!I180=1,Signals_US!Q180*Mapping!$E$13,IF(Signals_US!I180=-1,-Signals_US!R180*Mapping!$E$13,0))</f>
        <v>0</v>
      </c>
      <c r="N180" s="1">
        <f>0</f>
        <v>0</v>
      </c>
      <c r="O180" s="1">
        <f>0</f>
        <v>0</v>
      </c>
      <c r="P180" s="1">
        <f>IF(Signals_US!E180=1,Signals_US!Q180*Mapping!$E$16,IF(Signals_US!E180=-1,-Signals_US!R180*Mapping!$E$16,0))</f>
        <v>0</v>
      </c>
      <c r="Q180" s="1">
        <f>IF(Signals_US!J180=1,Signals_US!Q180*Mapping!$E$17,IF(Signals_US!J180=-1,-Signals_US!R180*Mapping!$E$17,0))</f>
        <v>5.000000000000001E-2</v>
      </c>
      <c r="R180" s="1">
        <f>IF(Signals_US!K180=1,Signals_US!Q180*Mapping!$E$18,IF(Signals_US!K180=-1,-Signals_US!R180*Mapping!$E$18,0))</f>
        <v>0</v>
      </c>
      <c r="S180" s="1">
        <f>IF(Signals_US!M180=1,Signals_US!Q180*Mapping!$E$19,IF(Signals_US!M180=-1,-Signals_US!R180*Mapping!$E$19,0))</f>
        <v>0</v>
      </c>
      <c r="T180" s="1">
        <f>IF(Signals_US!L180=1,Signals_US!Q180*Mapping!$E$20,IF(Signals_US!L180=-1,-Signals_US!R180*Mapping!$E$20,0))</f>
        <v>-5.000000000000001E-2</v>
      </c>
      <c r="U180" s="1">
        <f t="shared" si="2"/>
        <v>0</v>
      </c>
    </row>
    <row r="181" spans="1:21">
      <c r="A181" s="5">
        <f>Signals_US!B181</f>
        <v>44501</v>
      </c>
      <c r="B181" s="1">
        <f>0</f>
        <v>0</v>
      </c>
      <c r="C181" s="1">
        <f>IF(Signals_US!F181=1,Signals_US!Q181*Mapping!$E$3,IF(Signals_US!F181=-1,-Signals_US!R181*Mapping!$E$3,0))</f>
        <v>1.666666666666667E-2</v>
      </c>
      <c r="D181" s="1">
        <f>IF(Signals_US!C181=1,Signals_US!Q181*Mapping!$E$4,IF(Signals_US!C181=-1,-Signals_US!R181*Mapping!$E$4,0))</f>
        <v>0</v>
      </c>
      <c r="E181" s="1">
        <f>IF(Signals_US!C181=1,Signals_US!Q181*Mapping!$E$5,IF(Signals_US!C181=-1,-Signals_US!R181*Mapping!$E$5,0))</f>
        <v>0</v>
      </c>
      <c r="F181" s="1">
        <f>IF(Signals_US!C181=1,Signals_US!Q181*Mapping!$E$6,IF(Signals_US!C181=-1,-Signals_US!R181*Mapping!$E$6,0))</f>
        <v>0</v>
      </c>
      <c r="G181" s="1">
        <f>IF(Signals_US!F181=1,Signals_US!Q181*Mapping!$E$7,IF(Signals_US!F181=-1,-Signals_US!R181*Mapping!$E$7,0))</f>
        <v>1.666666666666667E-2</v>
      </c>
      <c r="H181" s="1">
        <f>IF(Signals_US!D181=1,Signals_US!Q181*Mapping!$E$8,IF(Signals_US!D181=-1,-Signals_US!R181*Mapping!$E$8,0))</f>
        <v>0</v>
      </c>
      <c r="I181" s="1">
        <f>IF(Signals_US!G181=1,Signals_US!Q181*Mapping!$E$9,IF(Signals_US!G181=-1,-Signals_US!R181*Mapping!$E$9,0))</f>
        <v>0</v>
      </c>
      <c r="J181" s="1">
        <f>IF(Signals_US!H181=1,Signals_US!Q181*Mapping!$E$10,IF(Signals_US!H181=-1,-Signals_US!R181*Mapping!$E$10,0))</f>
        <v>0</v>
      </c>
      <c r="K181" s="1">
        <f>IF(Signals_US!F181=1,Signals_US!Q181*Mapping!$E$11,IF(Signals_US!F181=-1,-Signals_US!R181*Mapping!$E$11,0))</f>
        <v>1.666666666666667E-2</v>
      </c>
      <c r="L181" s="1">
        <f>IF(Signals_US!N181=1,Signals_US!Q181*Mapping!$E$12,IF(Signals_US!N181=-1,-Signals_US!R181*Mapping!$E$12,0))</f>
        <v>5.000000000000001E-2</v>
      </c>
      <c r="M181" s="1">
        <f>IF(Signals_US!I181=1,Signals_US!Q181*Mapping!$E$13,IF(Signals_US!I181=-1,-Signals_US!R181*Mapping!$E$13,0))</f>
        <v>5.000000000000001E-2</v>
      </c>
      <c r="N181" s="1">
        <f>0</f>
        <v>0</v>
      </c>
      <c r="O181" s="1">
        <f>0</f>
        <v>0</v>
      </c>
      <c r="P181" s="1">
        <f>IF(Signals_US!E181=1,Signals_US!Q181*Mapping!$E$16,IF(Signals_US!E181=-1,-Signals_US!R181*Mapping!$E$16,0))</f>
        <v>-5.000000000000001E-2</v>
      </c>
      <c r="Q181" s="1">
        <f>IF(Signals_US!J181=1,Signals_US!Q181*Mapping!$E$17,IF(Signals_US!J181=-1,-Signals_US!R181*Mapping!$E$17,0))</f>
        <v>0</v>
      </c>
      <c r="R181" s="1">
        <f>IF(Signals_US!K181=1,Signals_US!Q181*Mapping!$E$18,IF(Signals_US!K181=-1,-Signals_US!R181*Mapping!$E$18,0))</f>
        <v>-5.000000000000001E-2</v>
      </c>
      <c r="S181" s="1">
        <f>IF(Signals_US!M181=1,Signals_US!Q181*Mapping!$E$19,IF(Signals_US!M181=-1,-Signals_US!R181*Mapping!$E$19,0))</f>
        <v>0</v>
      </c>
      <c r="T181" s="1">
        <f>IF(Signals_US!L181=1,Signals_US!Q181*Mapping!$E$20,IF(Signals_US!L181=-1,-Signals_US!R181*Mapping!$E$20,0))</f>
        <v>-5.000000000000001E-2</v>
      </c>
      <c r="U181" s="1">
        <f t="shared" si="2"/>
        <v>0</v>
      </c>
    </row>
    <row r="182" spans="1:21">
      <c r="A182" s="5">
        <f>Signals_US!B182</f>
        <v>44531</v>
      </c>
      <c r="B182" s="1">
        <f>0</f>
        <v>0</v>
      </c>
      <c r="C182" s="1">
        <f>IF(Signals_US!F182=1,Signals_US!Q182*Mapping!$E$3,IF(Signals_US!F182=-1,-Signals_US!R182*Mapping!$E$3,0))</f>
        <v>0</v>
      </c>
      <c r="D182" s="1">
        <f>IF(Signals_US!C182=1,Signals_US!Q182*Mapping!$E$4,IF(Signals_US!C182=-1,-Signals_US!R182*Mapping!$E$4,0))</f>
        <v>0</v>
      </c>
      <c r="E182" s="1">
        <f>IF(Signals_US!C182=1,Signals_US!Q182*Mapping!$E$5,IF(Signals_US!C182=-1,-Signals_US!R182*Mapping!$E$5,0))</f>
        <v>0</v>
      </c>
      <c r="F182" s="1">
        <f>IF(Signals_US!C182=1,Signals_US!Q182*Mapping!$E$6,IF(Signals_US!C182=-1,-Signals_US!R182*Mapping!$E$6,0))</f>
        <v>0</v>
      </c>
      <c r="G182" s="1">
        <f>IF(Signals_US!F182=1,Signals_US!Q182*Mapping!$E$7,IF(Signals_US!F182=-1,-Signals_US!R182*Mapping!$E$7,0))</f>
        <v>0</v>
      </c>
      <c r="H182" s="1">
        <f>IF(Signals_US!D182=1,Signals_US!Q182*Mapping!$E$8,IF(Signals_US!D182=-1,-Signals_US!R182*Mapping!$E$8,0))</f>
        <v>-5.000000000000001E-2</v>
      </c>
      <c r="I182" s="1">
        <f>IF(Signals_US!G182=1,Signals_US!Q182*Mapping!$E$9,IF(Signals_US!G182=-1,-Signals_US!R182*Mapping!$E$9,0))</f>
        <v>5.000000000000001E-2</v>
      </c>
      <c r="J182" s="1">
        <f>IF(Signals_US!H182=1,Signals_US!Q182*Mapping!$E$10,IF(Signals_US!H182=-1,-Signals_US!R182*Mapping!$E$10,0))</f>
        <v>5.000000000000001E-2</v>
      </c>
      <c r="K182" s="1">
        <f>IF(Signals_US!F182=1,Signals_US!Q182*Mapping!$E$11,IF(Signals_US!F182=-1,-Signals_US!R182*Mapping!$E$11,0))</f>
        <v>0</v>
      </c>
      <c r="L182" s="1">
        <f>IF(Signals_US!N182=1,Signals_US!Q182*Mapping!$E$12,IF(Signals_US!N182=-1,-Signals_US!R182*Mapping!$E$12,0))</f>
        <v>-5.000000000000001E-2</v>
      </c>
      <c r="M182" s="1">
        <f>IF(Signals_US!I182=1,Signals_US!Q182*Mapping!$E$13,IF(Signals_US!I182=-1,-Signals_US!R182*Mapping!$E$13,0))</f>
        <v>5.000000000000001E-2</v>
      </c>
      <c r="N182" s="1">
        <f>0</f>
        <v>0</v>
      </c>
      <c r="O182" s="1">
        <f>0</f>
        <v>0</v>
      </c>
      <c r="P182" s="1">
        <f>IF(Signals_US!E182=1,Signals_US!Q182*Mapping!$E$16,IF(Signals_US!E182=-1,-Signals_US!R182*Mapping!$E$16,0))</f>
        <v>0</v>
      </c>
      <c r="Q182" s="1">
        <f>IF(Signals_US!J182=1,Signals_US!Q182*Mapping!$E$17,IF(Signals_US!J182=-1,-Signals_US!R182*Mapping!$E$17,0))</f>
        <v>0</v>
      </c>
      <c r="R182" s="1">
        <f>IF(Signals_US!K182=1,Signals_US!Q182*Mapping!$E$18,IF(Signals_US!K182=-1,-Signals_US!R182*Mapping!$E$18,0))</f>
        <v>-5.000000000000001E-2</v>
      </c>
      <c r="S182" s="1">
        <f>IF(Signals_US!M182=1,Signals_US!Q182*Mapping!$E$19,IF(Signals_US!M182=-1,-Signals_US!R182*Mapping!$E$19,0))</f>
        <v>0</v>
      </c>
      <c r="T182" s="1">
        <f>IF(Signals_US!L182=1,Signals_US!Q182*Mapping!$E$20,IF(Signals_US!L182=-1,-Signals_US!R182*Mapping!$E$20,0))</f>
        <v>0</v>
      </c>
      <c r="U182" s="1">
        <f t="shared" si="2"/>
        <v>0</v>
      </c>
    </row>
    <row r="183" spans="1:21">
      <c r="A183" s="5">
        <f>Signals_US!B183</f>
        <v>44562</v>
      </c>
      <c r="B183" s="1">
        <f>0</f>
        <v>0</v>
      </c>
      <c r="C183" s="1">
        <f>IF(Signals_US!F183=1,Signals_US!Q183*Mapping!$E$3,IF(Signals_US!F183=-1,-Signals_US!R183*Mapping!$E$3,0))</f>
        <v>1.666666666666667E-2</v>
      </c>
      <c r="D183" s="1">
        <f>IF(Signals_US!C183=1,Signals_US!Q183*Mapping!$E$4,IF(Signals_US!C183=-1,-Signals_US!R183*Mapping!$E$4,0))</f>
        <v>1.666666666666667E-2</v>
      </c>
      <c r="E183" s="1">
        <f>IF(Signals_US!C183=1,Signals_US!Q183*Mapping!$E$5,IF(Signals_US!C183=-1,-Signals_US!R183*Mapping!$E$5,0))</f>
        <v>1.666666666666667E-2</v>
      </c>
      <c r="F183" s="1">
        <f>IF(Signals_US!C183=1,Signals_US!Q183*Mapping!$E$6,IF(Signals_US!C183=-1,-Signals_US!R183*Mapping!$E$6,0))</f>
        <v>1.666666666666667E-2</v>
      </c>
      <c r="G183" s="1">
        <f>IF(Signals_US!F183=1,Signals_US!Q183*Mapping!$E$7,IF(Signals_US!F183=-1,-Signals_US!R183*Mapping!$E$7,0))</f>
        <v>1.666666666666667E-2</v>
      </c>
      <c r="H183" s="1">
        <f>IF(Signals_US!D183=1,Signals_US!Q183*Mapping!$E$8,IF(Signals_US!D183=-1,-Signals_US!R183*Mapping!$E$8,0))</f>
        <v>0</v>
      </c>
      <c r="I183" s="1">
        <f>IF(Signals_US!G183=1,Signals_US!Q183*Mapping!$E$9,IF(Signals_US!G183=-1,-Signals_US!R183*Mapping!$E$9,0))</f>
        <v>0</v>
      </c>
      <c r="J183" s="1">
        <f>IF(Signals_US!H183=1,Signals_US!Q183*Mapping!$E$10,IF(Signals_US!H183=-1,-Signals_US!R183*Mapping!$E$10,0))</f>
        <v>0</v>
      </c>
      <c r="K183" s="1">
        <f>IF(Signals_US!F183=1,Signals_US!Q183*Mapping!$E$11,IF(Signals_US!F183=-1,-Signals_US!R183*Mapping!$E$11,0))</f>
        <v>1.666666666666667E-2</v>
      </c>
      <c r="L183" s="1">
        <f>IF(Signals_US!N183=1,Signals_US!Q183*Mapping!$E$12,IF(Signals_US!N183=-1,-Signals_US!R183*Mapping!$E$12,0))</f>
        <v>-5.000000000000001E-2</v>
      </c>
      <c r="M183" s="1">
        <f>IF(Signals_US!I183=1,Signals_US!Q183*Mapping!$E$13,IF(Signals_US!I183=-1,-Signals_US!R183*Mapping!$E$13,0))</f>
        <v>5.000000000000001E-2</v>
      </c>
      <c r="N183" s="1">
        <f>0</f>
        <v>0</v>
      </c>
      <c r="O183" s="1">
        <f>0</f>
        <v>0</v>
      </c>
      <c r="P183" s="1">
        <f>IF(Signals_US!E183=1,Signals_US!Q183*Mapping!$E$16,IF(Signals_US!E183=-1,-Signals_US!R183*Mapping!$E$16,0))</f>
        <v>0</v>
      </c>
      <c r="Q183" s="1">
        <f>IF(Signals_US!J183=1,Signals_US!Q183*Mapping!$E$17,IF(Signals_US!J183=-1,-Signals_US!R183*Mapping!$E$17,0))</f>
        <v>0</v>
      </c>
      <c r="R183" s="1">
        <f>IF(Signals_US!K183=1,Signals_US!Q183*Mapping!$E$18,IF(Signals_US!K183=-1,-Signals_US!R183*Mapping!$E$18,0))</f>
        <v>-5.000000000000001E-2</v>
      </c>
      <c r="S183" s="1">
        <f>IF(Signals_US!M183=1,Signals_US!Q183*Mapping!$E$19,IF(Signals_US!M183=-1,-Signals_US!R183*Mapping!$E$19,0))</f>
        <v>0</v>
      </c>
      <c r="T183" s="1">
        <f>IF(Signals_US!L183=1,Signals_US!Q183*Mapping!$E$20,IF(Signals_US!L183=-1,-Signals_US!R183*Mapping!$E$20,0))</f>
        <v>-5.000000000000001E-2</v>
      </c>
      <c r="U183" s="1">
        <f t="shared" si="2"/>
        <v>0</v>
      </c>
    </row>
    <row r="184" spans="1:21">
      <c r="A184" s="5">
        <f>Signals_US!B184</f>
        <v>44593</v>
      </c>
      <c r="B184" s="1">
        <f>0</f>
        <v>0</v>
      </c>
      <c r="C184" s="1">
        <f>IF(Signals_US!F184=1,Signals_US!Q184*Mapping!$E$3,IF(Signals_US!F184=-1,-Signals_US!R184*Mapping!$E$3,0))</f>
        <v>1.666666666666667E-2</v>
      </c>
      <c r="D184" s="1">
        <f>IF(Signals_US!C184=1,Signals_US!Q184*Mapping!$E$4,IF(Signals_US!C184=-1,-Signals_US!R184*Mapping!$E$4,0))</f>
        <v>1.666666666666667E-2</v>
      </c>
      <c r="E184" s="1">
        <f>IF(Signals_US!C184=1,Signals_US!Q184*Mapping!$E$5,IF(Signals_US!C184=-1,-Signals_US!R184*Mapping!$E$5,0))</f>
        <v>1.666666666666667E-2</v>
      </c>
      <c r="F184" s="1">
        <f>IF(Signals_US!C184=1,Signals_US!Q184*Mapping!$E$6,IF(Signals_US!C184=-1,-Signals_US!R184*Mapping!$E$6,0))</f>
        <v>1.666666666666667E-2</v>
      </c>
      <c r="G184" s="1">
        <f>IF(Signals_US!F184=1,Signals_US!Q184*Mapping!$E$7,IF(Signals_US!F184=-1,-Signals_US!R184*Mapping!$E$7,0))</f>
        <v>1.666666666666667E-2</v>
      </c>
      <c r="H184" s="1">
        <f>IF(Signals_US!D184=1,Signals_US!Q184*Mapping!$E$8,IF(Signals_US!D184=-1,-Signals_US!R184*Mapping!$E$8,0))</f>
        <v>5.000000000000001E-2</v>
      </c>
      <c r="I184" s="1">
        <f>IF(Signals_US!G184=1,Signals_US!Q184*Mapping!$E$9,IF(Signals_US!G184=-1,-Signals_US!R184*Mapping!$E$9,0))</f>
        <v>0</v>
      </c>
      <c r="J184" s="1">
        <f>IF(Signals_US!H184=1,Signals_US!Q184*Mapping!$E$10,IF(Signals_US!H184=-1,-Signals_US!R184*Mapping!$E$10,0))</f>
        <v>0</v>
      </c>
      <c r="K184" s="1">
        <f>IF(Signals_US!F184=1,Signals_US!Q184*Mapping!$E$11,IF(Signals_US!F184=-1,-Signals_US!R184*Mapping!$E$11,0))</f>
        <v>1.666666666666667E-2</v>
      </c>
      <c r="L184" s="1">
        <f>IF(Signals_US!N184=1,Signals_US!Q184*Mapping!$E$12,IF(Signals_US!N184=-1,-Signals_US!R184*Mapping!$E$12,0))</f>
        <v>-5.000000000000001E-2</v>
      </c>
      <c r="M184" s="1">
        <f>IF(Signals_US!I184=1,Signals_US!Q184*Mapping!$E$13,IF(Signals_US!I184=-1,-Signals_US!R184*Mapping!$E$13,0))</f>
        <v>0</v>
      </c>
      <c r="N184" s="1">
        <f>0</f>
        <v>0</v>
      </c>
      <c r="O184" s="1">
        <f>0</f>
        <v>0</v>
      </c>
      <c r="P184" s="1">
        <f>IF(Signals_US!E184=1,Signals_US!Q184*Mapping!$E$16,IF(Signals_US!E184=-1,-Signals_US!R184*Mapping!$E$16,0))</f>
        <v>0</v>
      </c>
      <c r="Q184" s="1">
        <f>IF(Signals_US!J184=1,Signals_US!Q184*Mapping!$E$17,IF(Signals_US!J184=-1,-Signals_US!R184*Mapping!$E$17,0))</f>
        <v>0</v>
      </c>
      <c r="R184" s="1">
        <f>IF(Signals_US!K184=1,Signals_US!Q184*Mapping!$E$18,IF(Signals_US!K184=-1,-Signals_US!R184*Mapping!$E$18,0))</f>
        <v>-5.000000000000001E-2</v>
      </c>
      <c r="S184" s="1">
        <f>IF(Signals_US!M184=1,Signals_US!Q184*Mapping!$E$19,IF(Signals_US!M184=-1,-Signals_US!R184*Mapping!$E$19,0))</f>
        <v>0</v>
      </c>
      <c r="T184" s="1">
        <f>IF(Signals_US!L184=1,Signals_US!Q184*Mapping!$E$20,IF(Signals_US!L184=-1,-Signals_US!R184*Mapping!$E$20,0))</f>
        <v>-5.000000000000001E-2</v>
      </c>
      <c r="U184" s="1">
        <f t="shared" si="2"/>
        <v>0</v>
      </c>
    </row>
    <row r="185" spans="1:21">
      <c r="A185" s="5">
        <f>Signals_US!B185</f>
        <v>44621</v>
      </c>
      <c r="B185" s="1">
        <f>0</f>
        <v>0</v>
      </c>
      <c r="C185" s="1">
        <f>IF(Signals_US!F185=1,Signals_US!Q185*Mapping!$E$3,IF(Signals_US!F185=-1,-Signals_US!R185*Mapping!$E$3,0))</f>
        <v>1.666666666666667E-2</v>
      </c>
      <c r="D185" s="1">
        <f>IF(Signals_US!C185=1,Signals_US!Q185*Mapping!$E$4,IF(Signals_US!C185=-1,-Signals_US!R185*Mapping!$E$4,0))</f>
        <v>0</v>
      </c>
      <c r="E185" s="1">
        <f>IF(Signals_US!C185=1,Signals_US!Q185*Mapping!$E$5,IF(Signals_US!C185=-1,-Signals_US!R185*Mapping!$E$5,0))</f>
        <v>0</v>
      </c>
      <c r="F185" s="1">
        <f>IF(Signals_US!C185=1,Signals_US!Q185*Mapping!$E$6,IF(Signals_US!C185=-1,-Signals_US!R185*Mapping!$E$6,0))</f>
        <v>0</v>
      </c>
      <c r="G185" s="1">
        <f>IF(Signals_US!F185=1,Signals_US!Q185*Mapping!$E$7,IF(Signals_US!F185=-1,-Signals_US!R185*Mapping!$E$7,0))</f>
        <v>1.666666666666667E-2</v>
      </c>
      <c r="H185" s="1">
        <f>IF(Signals_US!D185=1,Signals_US!Q185*Mapping!$E$8,IF(Signals_US!D185=-1,-Signals_US!R185*Mapping!$E$8,0))</f>
        <v>5.000000000000001E-2</v>
      </c>
      <c r="I185" s="1">
        <f>IF(Signals_US!G185=1,Signals_US!Q185*Mapping!$E$9,IF(Signals_US!G185=-1,-Signals_US!R185*Mapping!$E$9,0))</f>
        <v>-5.000000000000001E-2</v>
      </c>
      <c r="J185" s="1">
        <f>IF(Signals_US!H185=1,Signals_US!Q185*Mapping!$E$10,IF(Signals_US!H185=-1,-Signals_US!R185*Mapping!$E$10,0))</f>
        <v>0</v>
      </c>
      <c r="K185" s="1">
        <f>IF(Signals_US!F185=1,Signals_US!Q185*Mapping!$E$11,IF(Signals_US!F185=-1,-Signals_US!R185*Mapping!$E$11,0))</f>
        <v>1.666666666666667E-2</v>
      </c>
      <c r="L185" s="1">
        <f>IF(Signals_US!N185=1,Signals_US!Q185*Mapping!$E$12,IF(Signals_US!N185=-1,-Signals_US!R185*Mapping!$E$12,0))</f>
        <v>-5.000000000000001E-2</v>
      </c>
      <c r="M185" s="1">
        <f>IF(Signals_US!I185=1,Signals_US!Q185*Mapping!$E$13,IF(Signals_US!I185=-1,-Signals_US!R185*Mapping!$E$13,0))</f>
        <v>5.000000000000001E-2</v>
      </c>
      <c r="N185" s="1">
        <f>0</f>
        <v>0</v>
      </c>
      <c r="O185" s="1">
        <f>0</f>
        <v>0</v>
      </c>
      <c r="P185" s="1">
        <f>IF(Signals_US!E185=1,Signals_US!Q185*Mapping!$E$16,IF(Signals_US!E185=-1,-Signals_US!R185*Mapping!$E$16,0))</f>
        <v>0</v>
      </c>
      <c r="Q185" s="1">
        <f>IF(Signals_US!J185=1,Signals_US!Q185*Mapping!$E$17,IF(Signals_US!J185=-1,-Signals_US!R185*Mapping!$E$17,0))</f>
        <v>-5.000000000000001E-2</v>
      </c>
      <c r="R185" s="1">
        <f>IF(Signals_US!K185=1,Signals_US!Q185*Mapping!$E$18,IF(Signals_US!K185=-1,-Signals_US!R185*Mapping!$E$18,0))</f>
        <v>0</v>
      </c>
      <c r="S185" s="1">
        <f>IF(Signals_US!M185=1,Signals_US!Q185*Mapping!$E$19,IF(Signals_US!M185=-1,-Signals_US!R185*Mapping!$E$19,0))</f>
        <v>0</v>
      </c>
      <c r="T185" s="1">
        <f>IF(Signals_US!L185=1,Signals_US!Q185*Mapping!$E$20,IF(Signals_US!L185=-1,-Signals_US!R185*Mapping!$E$20,0))</f>
        <v>0</v>
      </c>
      <c r="U185" s="1">
        <f t="shared" si="2"/>
        <v>0</v>
      </c>
    </row>
    <row r="186" spans="1:21">
      <c r="A186" s="5">
        <f>Signals_US!B186</f>
        <v>44652</v>
      </c>
      <c r="B186" s="1">
        <f>0</f>
        <v>0</v>
      </c>
      <c r="C186" s="1">
        <f>IF(Signals_US!F186=1,Signals_US!Q186*Mapping!$E$3,IF(Signals_US!F186=-1,-Signals_US!R186*Mapping!$E$3,0))</f>
        <v>1.666666666666667E-2</v>
      </c>
      <c r="D186" s="1">
        <f>IF(Signals_US!C186=1,Signals_US!Q186*Mapping!$E$4,IF(Signals_US!C186=-1,-Signals_US!R186*Mapping!$E$4,0))</f>
        <v>0</v>
      </c>
      <c r="E186" s="1">
        <f>IF(Signals_US!C186=1,Signals_US!Q186*Mapping!$E$5,IF(Signals_US!C186=-1,-Signals_US!R186*Mapping!$E$5,0))</f>
        <v>0</v>
      </c>
      <c r="F186" s="1">
        <f>IF(Signals_US!C186=1,Signals_US!Q186*Mapping!$E$6,IF(Signals_US!C186=-1,-Signals_US!R186*Mapping!$E$6,0))</f>
        <v>0</v>
      </c>
      <c r="G186" s="1">
        <f>IF(Signals_US!F186=1,Signals_US!Q186*Mapping!$E$7,IF(Signals_US!F186=-1,-Signals_US!R186*Mapping!$E$7,0))</f>
        <v>1.666666666666667E-2</v>
      </c>
      <c r="H186" s="1">
        <f>IF(Signals_US!D186=1,Signals_US!Q186*Mapping!$E$8,IF(Signals_US!D186=-1,-Signals_US!R186*Mapping!$E$8,0))</f>
        <v>5.000000000000001E-2</v>
      </c>
      <c r="I186" s="1">
        <f>IF(Signals_US!G186=1,Signals_US!Q186*Mapping!$E$9,IF(Signals_US!G186=-1,-Signals_US!R186*Mapping!$E$9,0))</f>
        <v>0</v>
      </c>
      <c r="J186" s="1">
        <f>IF(Signals_US!H186=1,Signals_US!Q186*Mapping!$E$10,IF(Signals_US!H186=-1,-Signals_US!R186*Mapping!$E$10,0))</f>
        <v>0</v>
      </c>
      <c r="K186" s="1">
        <f>IF(Signals_US!F186=1,Signals_US!Q186*Mapping!$E$11,IF(Signals_US!F186=-1,-Signals_US!R186*Mapping!$E$11,0))</f>
        <v>1.666666666666667E-2</v>
      </c>
      <c r="L186" s="1">
        <f>IF(Signals_US!N186=1,Signals_US!Q186*Mapping!$E$12,IF(Signals_US!N186=-1,-Signals_US!R186*Mapping!$E$12,0))</f>
        <v>-5.000000000000001E-2</v>
      </c>
      <c r="M186" s="1">
        <f>IF(Signals_US!I186=1,Signals_US!Q186*Mapping!$E$13,IF(Signals_US!I186=-1,-Signals_US!R186*Mapping!$E$13,0))</f>
        <v>5.000000000000001E-2</v>
      </c>
      <c r="N186" s="1">
        <f>0</f>
        <v>0</v>
      </c>
      <c r="O186" s="1">
        <f>0</f>
        <v>0</v>
      </c>
      <c r="P186" s="1">
        <f>IF(Signals_US!E186=1,Signals_US!Q186*Mapping!$E$16,IF(Signals_US!E186=-1,-Signals_US!R186*Mapping!$E$16,0))</f>
        <v>0</v>
      </c>
      <c r="Q186" s="1">
        <f>IF(Signals_US!J186=1,Signals_US!Q186*Mapping!$E$17,IF(Signals_US!J186=-1,-Signals_US!R186*Mapping!$E$17,0))</f>
        <v>0</v>
      </c>
      <c r="R186" s="1">
        <f>IF(Signals_US!K186=1,Signals_US!Q186*Mapping!$E$18,IF(Signals_US!K186=-1,-Signals_US!R186*Mapping!$E$18,0))</f>
        <v>-5.000000000000001E-2</v>
      </c>
      <c r="S186" s="1">
        <f>IF(Signals_US!M186=1,Signals_US!Q186*Mapping!$E$19,IF(Signals_US!M186=-1,-Signals_US!R186*Mapping!$E$19,0))</f>
        <v>0</v>
      </c>
      <c r="T186" s="1">
        <f>IF(Signals_US!L186=1,Signals_US!Q186*Mapping!$E$20,IF(Signals_US!L186=-1,-Signals_US!R186*Mapping!$E$20,0))</f>
        <v>-5.000000000000001E-2</v>
      </c>
      <c r="U186" s="1">
        <f t="shared" si="2"/>
        <v>0</v>
      </c>
    </row>
    <row r="187" spans="1:21">
      <c r="A187" s="5">
        <f>Signals_US!B187</f>
        <v>44682</v>
      </c>
      <c r="B187" s="1">
        <f>0</f>
        <v>0</v>
      </c>
      <c r="C187" s="1">
        <f>IF(Signals_US!F187=1,Signals_US!Q187*Mapping!$E$3,IF(Signals_US!F187=-1,-Signals_US!R187*Mapping!$E$3,0))</f>
        <v>1.666666666666667E-2</v>
      </c>
      <c r="D187" s="1">
        <f>IF(Signals_US!C187=1,Signals_US!Q187*Mapping!$E$4,IF(Signals_US!C187=-1,-Signals_US!R187*Mapping!$E$4,0))</f>
        <v>1.666666666666667E-2</v>
      </c>
      <c r="E187" s="1">
        <f>IF(Signals_US!C187=1,Signals_US!Q187*Mapping!$E$5,IF(Signals_US!C187=-1,-Signals_US!R187*Mapping!$E$5,0))</f>
        <v>1.666666666666667E-2</v>
      </c>
      <c r="F187" s="1">
        <f>IF(Signals_US!C187=1,Signals_US!Q187*Mapping!$E$6,IF(Signals_US!C187=-1,-Signals_US!R187*Mapping!$E$6,0))</f>
        <v>1.666666666666667E-2</v>
      </c>
      <c r="G187" s="1">
        <f>IF(Signals_US!F187=1,Signals_US!Q187*Mapping!$E$7,IF(Signals_US!F187=-1,-Signals_US!R187*Mapping!$E$7,0))</f>
        <v>1.666666666666667E-2</v>
      </c>
      <c r="H187" s="1">
        <f>IF(Signals_US!D187=1,Signals_US!Q187*Mapping!$E$8,IF(Signals_US!D187=-1,-Signals_US!R187*Mapping!$E$8,0))</f>
        <v>0</v>
      </c>
      <c r="I187" s="1">
        <f>IF(Signals_US!G187=1,Signals_US!Q187*Mapping!$E$9,IF(Signals_US!G187=-1,-Signals_US!R187*Mapping!$E$9,0))</f>
        <v>0</v>
      </c>
      <c r="J187" s="1">
        <f>IF(Signals_US!H187=1,Signals_US!Q187*Mapping!$E$10,IF(Signals_US!H187=-1,-Signals_US!R187*Mapping!$E$10,0))</f>
        <v>0</v>
      </c>
      <c r="K187" s="1">
        <f>IF(Signals_US!F187=1,Signals_US!Q187*Mapping!$E$11,IF(Signals_US!F187=-1,-Signals_US!R187*Mapping!$E$11,0))</f>
        <v>1.666666666666667E-2</v>
      </c>
      <c r="L187" s="1">
        <f>IF(Signals_US!N187=1,Signals_US!Q187*Mapping!$E$12,IF(Signals_US!N187=-1,-Signals_US!R187*Mapping!$E$12,0))</f>
        <v>-5.000000000000001E-2</v>
      </c>
      <c r="M187" s="1">
        <f>IF(Signals_US!I187=1,Signals_US!Q187*Mapping!$E$13,IF(Signals_US!I187=-1,-Signals_US!R187*Mapping!$E$13,0))</f>
        <v>5.000000000000001E-2</v>
      </c>
      <c r="N187" s="1">
        <f>0</f>
        <v>0</v>
      </c>
      <c r="O187" s="1">
        <f>0</f>
        <v>0</v>
      </c>
      <c r="P187" s="1">
        <f>IF(Signals_US!E187=1,Signals_US!Q187*Mapping!$E$16,IF(Signals_US!E187=-1,-Signals_US!R187*Mapping!$E$16,0))</f>
        <v>0</v>
      </c>
      <c r="Q187" s="1">
        <f>IF(Signals_US!J187=1,Signals_US!Q187*Mapping!$E$17,IF(Signals_US!J187=-1,-Signals_US!R187*Mapping!$E$17,0))</f>
        <v>0</v>
      </c>
      <c r="R187" s="1">
        <f>IF(Signals_US!K187=1,Signals_US!Q187*Mapping!$E$18,IF(Signals_US!K187=-1,-Signals_US!R187*Mapping!$E$18,0))</f>
        <v>-5.000000000000001E-2</v>
      </c>
      <c r="S187" s="1">
        <f>IF(Signals_US!M187=1,Signals_US!Q187*Mapping!$E$19,IF(Signals_US!M187=-1,-Signals_US!R187*Mapping!$E$19,0))</f>
        <v>0</v>
      </c>
      <c r="T187" s="1">
        <f>IF(Signals_US!L187=1,Signals_US!Q187*Mapping!$E$20,IF(Signals_US!L187=-1,-Signals_US!R187*Mapping!$E$20,0))</f>
        <v>-5.000000000000001E-2</v>
      </c>
      <c r="U187" s="1">
        <f t="shared" si="2"/>
        <v>0</v>
      </c>
    </row>
    <row r="188" spans="1:21">
      <c r="A188" s="5">
        <f>Signals_US!B188</f>
        <v>44713</v>
      </c>
      <c r="B188" s="1">
        <f>0</f>
        <v>0</v>
      </c>
      <c r="C188" s="1">
        <f>IF(Signals_US!F188=1,Signals_US!Q188*Mapping!$E$3,IF(Signals_US!F188=-1,-Signals_US!R188*Mapping!$E$3,0))</f>
        <v>0</v>
      </c>
      <c r="D188" s="1">
        <f>IF(Signals_US!C188=1,Signals_US!Q188*Mapping!$E$4,IF(Signals_US!C188=-1,-Signals_US!R188*Mapping!$E$4,0))</f>
        <v>1.666666666666667E-2</v>
      </c>
      <c r="E188" s="1">
        <f>IF(Signals_US!C188=1,Signals_US!Q188*Mapping!$E$5,IF(Signals_US!C188=-1,-Signals_US!R188*Mapping!$E$5,0))</f>
        <v>1.666666666666667E-2</v>
      </c>
      <c r="F188" s="1">
        <f>IF(Signals_US!C188=1,Signals_US!Q188*Mapping!$E$6,IF(Signals_US!C188=-1,-Signals_US!R188*Mapping!$E$6,0))</f>
        <v>1.666666666666667E-2</v>
      </c>
      <c r="G188" s="1">
        <f>IF(Signals_US!F188=1,Signals_US!Q188*Mapping!$E$7,IF(Signals_US!F188=-1,-Signals_US!R188*Mapping!$E$7,0))</f>
        <v>0</v>
      </c>
      <c r="H188" s="1">
        <f>IF(Signals_US!D188=1,Signals_US!Q188*Mapping!$E$8,IF(Signals_US!D188=-1,-Signals_US!R188*Mapping!$E$8,0))</f>
        <v>0</v>
      </c>
      <c r="I188" s="1">
        <f>IF(Signals_US!G188=1,Signals_US!Q188*Mapping!$E$9,IF(Signals_US!G188=-1,-Signals_US!R188*Mapping!$E$9,0))</f>
        <v>-5.000000000000001E-2</v>
      </c>
      <c r="J188" s="1">
        <f>IF(Signals_US!H188=1,Signals_US!Q188*Mapping!$E$10,IF(Signals_US!H188=-1,-Signals_US!R188*Mapping!$E$10,0))</f>
        <v>0</v>
      </c>
      <c r="K188" s="1">
        <f>IF(Signals_US!F188=1,Signals_US!Q188*Mapping!$E$11,IF(Signals_US!F188=-1,-Signals_US!R188*Mapping!$E$11,0))</f>
        <v>0</v>
      </c>
      <c r="L188" s="1">
        <f>IF(Signals_US!N188=1,Signals_US!Q188*Mapping!$E$12,IF(Signals_US!N188=-1,-Signals_US!R188*Mapping!$E$12,0))</f>
        <v>0</v>
      </c>
      <c r="M188" s="1">
        <f>IF(Signals_US!I188=1,Signals_US!Q188*Mapping!$E$13,IF(Signals_US!I188=-1,-Signals_US!R188*Mapping!$E$13,0))</f>
        <v>5.000000000000001E-2</v>
      </c>
      <c r="N188" s="1">
        <f>0</f>
        <v>0</v>
      </c>
      <c r="O188" s="1">
        <f>0</f>
        <v>0</v>
      </c>
      <c r="P188" s="1">
        <f>IF(Signals_US!E188=1,Signals_US!Q188*Mapping!$E$16,IF(Signals_US!E188=-1,-Signals_US!R188*Mapping!$E$16,0))</f>
        <v>0</v>
      </c>
      <c r="Q188" s="1">
        <f>IF(Signals_US!J188=1,Signals_US!Q188*Mapping!$E$17,IF(Signals_US!J188=-1,-Signals_US!R188*Mapping!$E$17,0))</f>
        <v>5.000000000000001E-2</v>
      </c>
      <c r="R188" s="1">
        <f>IF(Signals_US!K188=1,Signals_US!Q188*Mapping!$E$18,IF(Signals_US!K188=-1,-Signals_US!R188*Mapping!$E$18,0))</f>
        <v>-5.000000000000001E-2</v>
      </c>
      <c r="S188" s="1">
        <f>IF(Signals_US!M188=1,Signals_US!Q188*Mapping!$E$19,IF(Signals_US!M188=-1,-Signals_US!R188*Mapping!$E$19,0))</f>
        <v>0</v>
      </c>
      <c r="T188" s="1">
        <f>IF(Signals_US!L188=1,Signals_US!Q188*Mapping!$E$20,IF(Signals_US!L188=-1,-Signals_US!R188*Mapping!$E$20,0))</f>
        <v>-5.000000000000001E-2</v>
      </c>
      <c r="U188" s="1">
        <f t="shared" si="2"/>
        <v>0</v>
      </c>
    </row>
    <row r="189" spans="1:21">
      <c r="A189" s="5">
        <f>Signals_US!B189</f>
        <v>44743</v>
      </c>
      <c r="B189" s="1">
        <f>0</f>
        <v>0</v>
      </c>
      <c r="C189" s="1">
        <f>IF(Signals_US!F189=1,Signals_US!Q189*Mapping!$E$3,IF(Signals_US!F189=-1,-Signals_US!R189*Mapping!$E$3,0))</f>
        <v>0</v>
      </c>
      <c r="D189" s="1">
        <f>IF(Signals_US!C189=1,Signals_US!Q189*Mapping!$E$4,IF(Signals_US!C189=-1,-Signals_US!R189*Mapping!$E$4,0))</f>
        <v>0</v>
      </c>
      <c r="E189" s="1">
        <f>IF(Signals_US!C189=1,Signals_US!Q189*Mapping!$E$5,IF(Signals_US!C189=-1,-Signals_US!R189*Mapping!$E$5,0))</f>
        <v>0</v>
      </c>
      <c r="F189" s="1">
        <f>IF(Signals_US!C189=1,Signals_US!Q189*Mapping!$E$6,IF(Signals_US!C189=-1,-Signals_US!R189*Mapping!$E$6,0))</f>
        <v>0</v>
      </c>
      <c r="G189" s="1">
        <f>IF(Signals_US!F189=1,Signals_US!Q189*Mapping!$E$7,IF(Signals_US!F189=-1,-Signals_US!R189*Mapping!$E$7,0))</f>
        <v>0</v>
      </c>
      <c r="H189" s="1">
        <f>IF(Signals_US!D189=1,Signals_US!Q189*Mapping!$E$8,IF(Signals_US!D189=-1,-Signals_US!R189*Mapping!$E$8,0))</f>
        <v>0</v>
      </c>
      <c r="I189" s="1">
        <f>IF(Signals_US!G189=1,Signals_US!Q189*Mapping!$E$9,IF(Signals_US!G189=-1,-Signals_US!R189*Mapping!$E$9,0))</f>
        <v>-5.000000000000001E-2</v>
      </c>
      <c r="J189" s="1">
        <f>IF(Signals_US!H189=1,Signals_US!Q189*Mapping!$E$10,IF(Signals_US!H189=-1,-Signals_US!R189*Mapping!$E$10,0))</f>
        <v>0</v>
      </c>
      <c r="K189" s="1">
        <f>IF(Signals_US!F189=1,Signals_US!Q189*Mapping!$E$11,IF(Signals_US!F189=-1,-Signals_US!R189*Mapping!$E$11,0))</f>
        <v>0</v>
      </c>
      <c r="L189" s="1">
        <f>IF(Signals_US!N189=1,Signals_US!Q189*Mapping!$E$12,IF(Signals_US!N189=-1,-Signals_US!R189*Mapping!$E$12,0))</f>
        <v>0</v>
      </c>
      <c r="M189" s="1">
        <f>IF(Signals_US!I189=1,Signals_US!Q189*Mapping!$E$13,IF(Signals_US!I189=-1,-Signals_US!R189*Mapping!$E$13,0))</f>
        <v>5.000000000000001E-2</v>
      </c>
      <c r="N189" s="1">
        <f>0</f>
        <v>0</v>
      </c>
      <c r="O189" s="1">
        <f>0</f>
        <v>0</v>
      </c>
      <c r="P189" s="1">
        <f>IF(Signals_US!E189=1,Signals_US!Q189*Mapping!$E$16,IF(Signals_US!E189=-1,-Signals_US!R189*Mapping!$E$16,0))</f>
        <v>5.000000000000001E-2</v>
      </c>
      <c r="Q189" s="1">
        <f>IF(Signals_US!J189=1,Signals_US!Q189*Mapping!$E$17,IF(Signals_US!J189=-1,-Signals_US!R189*Mapping!$E$17,0))</f>
        <v>5.000000000000001E-2</v>
      </c>
      <c r="R189" s="1">
        <f>IF(Signals_US!K189=1,Signals_US!Q189*Mapping!$E$18,IF(Signals_US!K189=-1,-Signals_US!R189*Mapping!$E$18,0))</f>
        <v>-5.000000000000001E-2</v>
      </c>
      <c r="S189" s="1">
        <f>IF(Signals_US!M189=1,Signals_US!Q189*Mapping!$E$19,IF(Signals_US!M189=-1,-Signals_US!R189*Mapping!$E$19,0))</f>
        <v>0</v>
      </c>
      <c r="T189" s="1">
        <f>IF(Signals_US!L189=1,Signals_US!Q189*Mapping!$E$20,IF(Signals_US!L189=-1,-Signals_US!R189*Mapping!$E$20,0))</f>
        <v>-5.000000000000001E-2</v>
      </c>
      <c r="U189" s="1">
        <f t="shared" si="2"/>
        <v>0</v>
      </c>
    </row>
    <row r="190" spans="1:21">
      <c r="A190" s="5">
        <f>Signals_US!B190</f>
        <v>44774</v>
      </c>
      <c r="B190" s="1">
        <f>0</f>
        <v>0</v>
      </c>
      <c r="C190" s="1">
        <f>IF(Signals_US!F190=1,Signals_US!Q190*Mapping!$E$3,IF(Signals_US!F190=-1,-Signals_US!R190*Mapping!$E$3,0))</f>
        <v>0</v>
      </c>
      <c r="D190" s="1">
        <f>IF(Signals_US!C190=1,Signals_US!Q190*Mapping!$E$4,IF(Signals_US!C190=-1,-Signals_US!R190*Mapping!$E$4,0))</f>
        <v>1.666666666666667E-2</v>
      </c>
      <c r="E190" s="1">
        <f>IF(Signals_US!C190=1,Signals_US!Q190*Mapping!$E$5,IF(Signals_US!C190=-1,-Signals_US!R190*Mapping!$E$5,0))</f>
        <v>1.666666666666667E-2</v>
      </c>
      <c r="F190" s="1">
        <f>IF(Signals_US!C190=1,Signals_US!Q190*Mapping!$E$6,IF(Signals_US!C190=-1,-Signals_US!R190*Mapping!$E$6,0))</f>
        <v>1.666666666666667E-2</v>
      </c>
      <c r="G190" s="1">
        <f>IF(Signals_US!F190=1,Signals_US!Q190*Mapping!$E$7,IF(Signals_US!F190=-1,-Signals_US!R190*Mapping!$E$7,0))</f>
        <v>0</v>
      </c>
      <c r="H190" s="1">
        <f>IF(Signals_US!D190=1,Signals_US!Q190*Mapping!$E$8,IF(Signals_US!D190=-1,-Signals_US!R190*Mapping!$E$8,0))</f>
        <v>5.000000000000001E-2</v>
      </c>
      <c r="I190" s="1">
        <f>IF(Signals_US!G190=1,Signals_US!Q190*Mapping!$E$9,IF(Signals_US!G190=-1,-Signals_US!R190*Mapping!$E$9,0))</f>
        <v>0</v>
      </c>
      <c r="J190" s="1">
        <f>IF(Signals_US!H190=1,Signals_US!Q190*Mapping!$E$10,IF(Signals_US!H190=-1,-Signals_US!R190*Mapping!$E$10,0))</f>
        <v>0</v>
      </c>
      <c r="K190" s="1">
        <f>IF(Signals_US!F190=1,Signals_US!Q190*Mapping!$E$11,IF(Signals_US!F190=-1,-Signals_US!R190*Mapping!$E$11,0))</f>
        <v>0</v>
      </c>
      <c r="L190" s="1">
        <f>IF(Signals_US!N190=1,Signals_US!Q190*Mapping!$E$12,IF(Signals_US!N190=-1,-Signals_US!R190*Mapping!$E$12,0))</f>
        <v>-5.000000000000001E-2</v>
      </c>
      <c r="M190" s="1">
        <f>IF(Signals_US!I190=1,Signals_US!Q190*Mapping!$E$13,IF(Signals_US!I190=-1,-Signals_US!R190*Mapping!$E$13,0))</f>
        <v>5.000000000000001E-2</v>
      </c>
      <c r="N190" s="1">
        <f>0</f>
        <v>0</v>
      </c>
      <c r="O190" s="1">
        <f>0</f>
        <v>0</v>
      </c>
      <c r="P190" s="1">
        <f>IF(Signals_US!E190=1,Signals_US!Q190*Mapping!$E$16,IF(Signals_US!E190=-1,-Signals_US!R190*Mapping!$E$16,0))</f>
        <v>-5.000000000000001E-2</v>
      </c>
      <c r="Q190" s="1">
        <f>IF(Signals_US!J190=1,Signals_US!Q190*Mapping!$E$17,IF(Signals_US!J190=-1,-Signals_US!R190*Mapping!$E$17,0))</f>
        <v>0</v>
      </c>
      <c r="R190" s="1">
        <f>IF(Signals_US!K190=1,Signals_US!Q190*Mapping!$E$18,IF(Signals_US!K190=-1,-Signals_US!R190*Mapping!$E$18,0))</f>
        <v>-5.000000000000001E-2</v>
      </c>
      <c r="S190" s="1">
        <f>IF(Signals_US!M190=1,Signals_US!Q190*Mapping!$E$19,IF(Signals_US!M190=-1,-Signals_US!R190*Mapping!$E$19,0))</f>
        <v>0</v>
      </c>
      <c r="T190" s="1">
        <f>IF(Signals_US!L190=1,Signals_US!Q190*Mapping!$E$20,IF(Signals_US!L190=-1,-Signals_US!R190*Mapping!$E$20,0))</f>
        <v>0</v>
      </c>
      <c r="U190" s="1">
        <f t="shared" si="2"/>
        <v>0</v>
      </c>
    </row>
    <row r="191" spans="1:21">
      <c r="A191" s="5">
        <f>Signals_US!B191</f>
        <v>44805</v>
      </c>
      <c r="B191" s="1">
        <f>0</f>
        <v>0</v>
      </c>
      <c r="C191" s="1">
        <f>IF(Signals_US!F191=1,Signals_US!Q191*Mapping!$E$3,IF(Signals_US!F191=-1,-Signals_US!R191*Mapping!$E$3,0))</f>
        <v>0</v>
      </c>
      <c r="D191" s="1">
        <f>IF(Signals_US!C191=1,Signals_US!Q191*Mapping!$E$4,IF(Signals_US!C191=-1,-Signals_US!R191*Mapping!$E$4,0))</f>
        <v>1.666666666666667E-2</v>
      </c>
      <c r="E191" s="1">
        <f>IF(Signals_US!C191=1,Signals_US!Q191*Mapping!$E$5,IF(Signals_US!C191=-1,-Signals_US!R191*Mapping!$E$5,0))</f>
        <v>1.666666666666667E-2</v>
      </c>
      <c r="F191" s="1">
        <f>IF(Signals_US!C191=1,Signals_US!Q191*Mapping!$E$6,IF(Signals_US!C191=-1,-Signals_US!R191*Mapping!$E$6,0))</f>
        <v>1.666666666666667E-2</v>
      </c>
      <c r="G191" s="1">
        <f>IF(Signals_US!F191=1,Signals_US!Q191*Mapping!$E$7,IF(Signals_US!F191=-1,-Signals_US!R191*Mapping!$E$7,0))</f>
        <v>0</v>
      </c>
      <c r="H191" s="1">
        <f>IF(Signals_US!D191=1,Signals_US!Q191*Mapping!$E$8,IF(Signals_US!D191=-1,-Signals_US!R191*Mapping!$E$8,0))</f>
        <v>0</v>
      </c>
      <c r="I191" s="1">
        <f>IF(Signals_US!G191=1,Signals_US!Q191*Mapping!$E$9,IF(Signals_US!G191=-1,-Signals_US!R191*Mapping!$E$9,0))</f>
        <v>5.000000000000001E-2</v>
      </c>
      <c r="J191" s="1">
        <f>IF(Signals_US!H191=1,Signals_US!Q191*Mapping!$E$10,IF(Signals_US!H191=-1,-Signals_US!R191*Mapping!$E$10,0))</f>
        <v>0</v>
      </c>
      <c r="K191" s="1">
        <f>IF(Signals_US!F191=1,Signals_US!Q191*Mapping!$E$11,IF(Signals_US!F191=-1,-Signals_US!R191*Mapping!$E$11,0))</f>
        <v>0</v>
      </c>
      <c r="L191" s="1">
        <f>IF(Signals_US!N191=1,Signals_US!Q191*Mapping!$E$12,IF(Signals_US!N191=-1,-Signals_US!R191*Mapping!$E$12,0))</f>
        <v>-5.000000000000001E-2</v>
      </c>
      <c r="M191" s="1">
        <f>IF(Signals_US!I191=1,Signals_US!Q191*Mapping!$E$13,IF(Signals_US!I191=-1,-Signals_US!R191*Mapping!$E$13,0))</f>
        <v>5.000000000000001E-2</v>
      </c>
      <c r="N191" s="1">
        <f>0</f>
        <v>0</v>
      </c>
      <c r="O191" s="1">
        <f>0</f>
        <v>0</v>
      </c>
      <c r="P191" s="1">
        <f>IF(Signals_US!E191=1,Signals_US!Q191*Mapping!$E$16,IF(Signals_US!E191=-1,-Signals_US!R191*Mapping!$E$16,0))</f>
        <v>0</v>
      </c>
      <c r="Q191" s="1">
        <f>IF(Signals_US!J191=1,Signals_US!Q191*Mapping!$E$17,IF(Signals_US!J191=-1,-Signals_US!R191*Mapping!$E$17,0))</f>
        <v>-5.000000000000001E-2</v>
      </c>
      <c r="R191" s="1">
        <f>IF(Signals_US!K191=1,Signals_US!Q191*Mapping!$E$18,IF(Signals_US!K191=-1,-Signals_US!R191*Mapping!$E$18,0))</f>
        <v>-5.000000000000001E-2</v>
      </c>
      <c r="S191" s="1">
        <f>IF(Signals_US!M191=1,Signals_US!Q191*Mapping!$E$19,IF(Signals_US!M191=-1,-Signals_US!R191*Mapping!$E$19,0))</f>
        <v>0</v>
      </c>
      <c r="T191" s="1">
        <f>IF(Signals_US!L191=1,Signals_US!Q191*Mapping!$E$20,IF(Signals_US!L191=-1,-Signals_US!R191*Mapping!$E$20,0))</f>
        <v>0</v>
      </c>
      <c r="U191" s="1">
        <f t="shared" si="2"/>
        <v>0</v>
      </c>
    </row>
    <row r="192" spans="1:21">
      <c r="A192" s="5">
        <f>Signals_US!B192</f>
        <v>44835</v>
      </c>
      <c r="B192" s="1">
        <f>0</f>
        <v>0</v>
      </c>
      <c r="C192" s="1">
        <f>IF(Signals_US!F192=1,Signals_US!Q192*Mapping!$E$3,IF(Signals_US!F192=-1,-Signals_US!R192*Mapping!$E$3,0))</f>
        <v>1.666666666666667E-2</v>
      </c>
      <c r="D192" s="1">
        <f>IF(Signals_US!C192=1,Signals_US!Q192*Mapping!$E$4,IF(Signals_US!C192=-1,-Signals_US!R192*Mapping!$E$4,0))</f>
        <v>0</v>
      </c>
      <c r="E192" s="1">
        <f>IF(Signals_US!C192=1,Signals_US!Q192*Mapping!$E$5,IF(Signals_US!C192=-1,-Signals_US!R192*Mapping!$E$5,0))</f>
        <v>0</v>
      </c>
      <c r="F192" s="1">
        <f>IF(Signals_US!C192=1,Signals_US!Q192*Mapping!$E$6,IF(Signals_US!C192=-1,-Signals_US!R192*Mapping!$E$6,0))</f>
        <v>0</v>
      </c>
      <c r="G192" s="1">
        <f>IF(Signals_US!F192=1,Signals_US!Q192*Mapping!$E$7,IF(Signals_US!F192=-1,-Signals_US!R192*Mapping!$E$7,0))</f>
        <v>1.666666666666667E-2</v>
      </c>
      <c r="H192" s="1">
        <f>IF(Signals_US!D192=1,Signals_US!Q192*Mapping!$E$8,IF(Signals_US!D192=-1,-Signals_US!R192*Mapping!$E$8,0))</f>
        <v>0</v>
      </c>
      <c r="I192" s="1">
        <f>IF(Signals_US!G192=1,Signals_US!Q192*Mapping!$E$9,IF(Signals_US!G192=-1,-Signals_US!R192*Mapping!$E$9,0))</f>
        <v>0</v>
      </c>
      <c r="J192" s="1">
        <f>IF(Signals_US!H192=1,Signals_US!Q192*Mapping!$E$10,IF(Signals_US!H192=-1,-Signals_US!R192*Mapping!$E$10,0))</f>
        <v>0</v>
      </c>
      <c r="K192" s="1">
        <f>IF(Signals_US!F192=1,Signals_US!Q192*Mapping!$E$11,IF(Signals_US!F192=-1,-Signals_US!R192*Mapping!$E$11,0))</f>
        <v>1.666666666666667E-2</v>
      </c>
      <c r="L192" s="1">
        <f>IF(Signals_US!N192=1,Signals_US!Q192*Mapping!$E$12,IF(Signals_US!N192=-1,-Signals_US!R192*Mapping!$E$12,0))</f>
        <v>-5.000000000000001E-2</v>
      </c>
      <c r="M192" s="1">
        <f>IF(Signals_US!I192=1,Signals_US!Q192*Mapping!$E$13,IF(Signals_US!I192=-1,-Signals_US!R192*Mapping!$E$13,0))</f>
        <v>5.000000000000001E-2</v>
      </c>
      <c r="N192" s="1">
        <f>0</f>
        <v>0</v>
      </c>
      <c r="O192" s="1">
        <f>0</f>
        <v>0</v>
      </c>
      <c r="P192" s="1">
        <f>IF(Signals_US!E192=1,Signals_US!Q192*Mapping!$E$16,IF(Signals_US!E192=-1,-Signals_US!R192*Mapping!$E$16,0))</f>
        <v>0</v>
      </c>
      <c r="Q192" s="1">
        <f>IF(Signals_US!J192=1,Signals_US!Q192*Mapping!$E$17,IF(Signals_US!J192=-1,-Signals_US!R192*Mapping!$E$17,0))</f>
        <v>5.000000000000001E-2</v>
      </c>
      <c r="R192" s="1">
        <f>IF(Signals_US!K192=1,Signals_US!Q192*Mapping!$E$18,IF(Signals_US!K192=-1,-Signals_US!R192*Mapping!$E$18,0))</f>
        <v>-5.000000000000001E-2</v>
      </c>
      <c r="S192" s="1">
        <f>IF(Signals_US!M192=1,Signals_US!Q192*Mapping!$E$19,IF(Signals_US!M192=-1,-Signals_US!R192*Mapping!$E$19,0))</f>
        <v>0</v>
      </c>
      <c r="T192" s="1">
        <f>IF(Signals_US!L192=1,Signals_US!Q192*Mapping!$E$20,IF(Signals_US!L192=-1,-Signals_US!R192*Mapping!$E$20,0))</f>
        <v>-5.000000000000001E-2</v>
      </c>
      <c r="U192" s="1">
        <f t="shared" si="2"/>
        <v>0</v>
      </c>
    </row>
    <row r="193" spans="1:21">
      <c r="A193" s="5">
        <f>Signals_US!B193</f>
        <v>44866</v>
      </c>
      <c r="B193" s="1">
        <f>0</f>
        <v>0</v>
      </c>
      <c r="C193" s="1">
        <f>IF(Signals_US!F193=1,Signals_US!Q193*Mapping!$E$3,IF(Signals_US!F193=-1,-Signals_US!R193*Mapping!$E$3,0))</f>
        <v>0</v>
      </c>
      <c r="D193" s="1">
        <f>IF(Signals_US!C193=1,Signals_US!Q193*Mapping!$E$4,IF(Signals_US!C193=-1,-Signals_US!R193*Mapping!$E$4,0))</f>
        <v>1.666666666666667E-2</v>
      </c>
      <c r="E193" s="1">
        <f>IF(Signals_US!C193=1,Signals_US!Q193*Mapping!$E$5,IF(Signals_US!C193=-1,-Signals_US!R193*Mapping!$E$5,0))</f>
        <v>1.666666666666667E-2</v>
      </c>
      <c r="F193" s="1">
        <f>IF(Signals_US!C193=1,Signals_US!Q193*Mapping!$E$6,IF(Signals_US!C193=-1,-Signals_US!R193*Mapping!$E$6,0))</f>
        <v>1.666666666666667E-2</v>
      </c>
      <c r="G193" s="1">
        <f>IF(Signals_US!F193=1,Signals_US!Q193*Mapping!$E$7,IF(Signals_US!F193=-1,-Signals_US!R193*Mapping!$E$7,0))</f>
        <v>0</v>
      </c>
      <c r="H193" s="1">
        <f>IF(Signals_US!D193=1,Signals_US!Q193*Mapping!$E$8,IF(Signals_US!D193=-1,-Signals_US!R193*Mapping!$E$8,0))</f>
        <v>0</v>
      </c>
      <c r="I193" s="1">
        <f>IF(Signals_US!G193=1,Signals_US!Q193*Mapping!$E$9,IF(Signals_US!G193=-1,-Signals_US!R193*Mapping!$E$9,0))</f>
        <v>5.000000000000001E-2</v>
      </c>
      <c r="J193" s="1">
        <f>IF(Signals_US!H193=1,Signals_US!Q193*Mapping!$E$10,IF(Signals_US!H193=-1,-Signals_US!R193*Mapping!$E$10,0))</f>
        <v>-5.000000000000001E-2</v>
      </c>
      <c r="K193" s="1">
        <f>IF(Signals_US!F193=1,Signals_US!Q193*Mapping!$E$11,IF(Signals_US!F193=-1,-Signals_US!R193*Mapping!$E$11,0))</f>
        <v>0</v>
      </c>
      <c r="L193" s="1">
        <f>IF(Signals_US!N193=1,Signals_US!Q193*Mapping!$E$12,IF(Signals_US!N193=-1,-Signals_US!R193*Mapping!$E$12,0))</f>
        <v>-5.000000000000001E-2</v>
      </c>
      <c r="M193" s="1">
        <f>IF(Signals_US!I193=1,Signals_US!Q193*Mapping!$E$13,IF(Signals_US!I193=-1,-Signals_US!R193*Mapping!$E$13,0))</f>
        <v>5.000000000000001E-2</v>
      </c>
      <c r="N193" s="1">
        <f>0</f>
        <v>0</v>
      </c>
      <c r="O193" s="1">
        <f>0</f>
        <v>0</v>
      </c>
      <c r="P193" s="1">
        <f>IF(Signals_US!E193=1,Signals_US!Q193*Mapping!$E$16,IF(Signals_US!E193=-1,-Signals_US!R193*Mapping!$E$16,0))</f>
        <v>0</v>
      </c>
      <c r="Q193" s="1">
        <f>IF(Signals_US!J193=1,Signals_US!Q193*Mapping!$E$17,IF(Signals_US!J193=-1,-Signals_US!R193*Mapping!$E$17,0))</f>
        <v>0</v>
      </c>
      <c r="R193" s="1">
        <f>IF(Signals_US!K193=1,Signals_US!Q193*Mapping!$E$18,IF(Signals_US!K193=-1,-Signals_US!R193*Mapping!$E$18,0))</f>
        <v>-5.000000000000001E-2</v>
      </c>
      <c r="S193" s="1">
        <f>IF(Signals_US!M193=1,Signals_US!Q193*Mapping!$E$19,IF(Signals_US!M193=-1,-Signals_US!R193*Mapping!$E$19,0))</f>
        <v>0</v>
      </c>
      <c r="T193" s="1">
        <f>IF(Signals_US!L193=1,Signals_US!Q193*Mapping!$E$20,IF(Signals_US!L193=-1,-Signals_US!R193*Mapping!$E$20,0))</f>
        <v>0</v>
      </c>
      <c r="U193" s="1">
        <f t="shared" si="2"/>
        <v>0</v>
      </c>
    </row>
    <row r="194" spans="1:21">
      <c r="A194" s="5">
        <f>Signals_US!B194</f>
        <v>44896</v>
      </c>
      <c r="B194" s="1">
        <f>0</f>
        <v>0</v>
      </c>
      <c r="C194" s="1">
        <f>IF(Signals_US!F194=1,Signals_US!Q194*Mapping!$E$3,IF(Signals_US!F194=-1,-Signals_US!R194*Mapping!$E$3,0))</f>
        <v>0</v>
      </c>
      <c r="D194" s="1">
        <f>IF(Signals_US!C194=1,Signals_US!Q194*Mapping!$E$4,IF(Signals_US!C194=-1,-Signals_US!R194*Mapping!$E$4,0))</f>
        <v>-1.666666666666667E-2</v>
      </c>
      <c r="E194" s="1">
        <f>IF(Signals_US!C194=1,Signals_US!Q194*Mapping!$E$5,IF(Signals_US!C194=-1,-Signals_US!R194*Mapping!$E$5,0))</f>
        <v>-1.666666666666667E-2</v>
      </c>
      <c r="F194" s="1">
        <f>IF(Signals_US!C194=1,Signals_US!Q194*Mapping!$E$6,IF(Signals_US!C194=-1,-Signals_US!R194*Mapping!$E$6,0))</f>
        <v>-1.666666666666667E-2</v>
      </c>
      <c r="G194" s="1">
        <f>IF(Signals_US!F194=1,Signals_US!Q194*Mapping!$E$7,IF(Signals_US!F194=-1,-Signals_US!R194*Mapping!$E$7,0))</f>
        <v>0</v>
      </c>
      <c r="H194" s="1">
        <f>IF(Signals_US!D194=1,Signals_US!Q194*Mapping!$E$8,IF(Signals_US!D194=-1,-Signals_US!R194*Mapping!$E$8,0))</f>
        <v>5.000000000000001E-2</v>
      </c>
      <c r="I194" s="1">
        <f>IF(Signals_US!G194=1,Signals_US!Q194*Mapping!$E$9,IF(Signals_US!G194=-1,-Signals_US!R194*Mapping!$E$9,0))</f>
        <v>0</v>
      </c>
      <c r="J194" s="1">
        <f>IF(Signals_US!H194=1,Signals_US!Q194*Mapping!$E$10,IF(Signals_US!H194=-1,-Signals_US!R194*Mapping!$E$10,0))</f>
        <v>0</v>
      </c>
      <c r="K194" s="1">
        <f>IF(Signals_US!F194=1,Signals_US!Q194*Mapping!$E$11,IF(Signals_US!F194=-1,-Signals_US!R194*Mapping!$E$11,0))</f>
        <v>0</v>
      </c>
      <c r="L194" s="1">
        <f>IF(Signals_US!N194=1,Signals_US!Q194*Mapping!$E$12,IF(Signals_US!N194=-1,-Signals_US!R194*Mapping!$E$12,0))</f>
        <v>-5.000000000000001E-2</v>
      </c>
      <c r="M194" s="1">
        <f>IF(Signals_US!I194=1,Signals_US!Q194*Mapping!$E$13,IF(Signals_US!I194=-1,-Signals_US!R194*Mapping!$E$13,0))</f>
        <v>5.000000000000001E-2</v>
      </c>
      <c r="N194" s="1">
        <f>0</f>
        <v>0</v>
      </c>
      <c r="O194" s="1">
        <f>0</f>
        <v>0</v>
      </c>
      <c r="P194" s="1">
        <f>IF(Signals_US!E194=1,Signals_US!Q194*Mapping!$E$16,IF(Signals_US!E194=-1,-Signals_US!R194*Mapping!$E$16,0))</f>
        <v>5.000000000000001E-2</v>
      </c>
      <c r="Q194" s="1">
        <f>IF(Signals_US!J194=1,Signals_US!Q194*Mapping!$E$17,IF(Signals_US!J194=-1,-Signals_US!R194*Mapping!$E$17,0))</f>
        <v>0</v>
      </c>
      <c r="R194" s="1">
        <f>IF(Signals_US!K194=1,Signals_US!Q194*Mapping!$E$18,IF(Signals_US!K194=-1,-Signals_US!R194*Mapping!$E$18,0))</f>
        <v>-5.000000000000001E-2</v>
      </c>
      <c r="S194" s="1">
        <f>IF(Signals_US!M194=1,Signals_US!Q194*Mapping!$E$19,IF(Signals_US!M194=-1,-Signals_US!R194*Mapping!$E$19,0))</f>
        <v>0</v>
      </c>
      <c r="T194" s="1">
        <f>IF(Signals_US!L194=1,Signals_US!Q194*Mapping!$E$20,IF(Signals_US!L194=-1,-Signals_US!R194*Mapping!$E$20,0))</f>
        <v>0</v>
      </c>
      <c r="U194" s="1">
        <f t="shared" si="2"/>
        <v>0</v>
      </c>
    </row>
    <row r="195" spans="1:21">
      <c r="A195" s="5">
        <f>Signals_US!B195</f>
        <v>44927</v>
      </c>
      <c r="B195" s="1">
        <f>0</f>
        <v>0</v>
      </c>
      <c r="C195" s="1">
        <f>IF(Signals_US!F195=1,Signals_US!Q195*Mapping!$E$3,IF(Signals_US!F195=-1,-Signals_US!R195*Mapping!$E$3,0))</f>
        <v>0</v>
      </c>
      <c r="D195" s="1">
        <f>IF(Signals_US!C195=1,Signals_US!Q195*Mapping!$E$4,IF(Signals_US!C195=-1,-Signals_US!R195*Mapping!$E$4,0))</f>
        <v>0</v>
      </c>
      <c r="E195" s="1">
        <f>IF(Signals_US!C195=1,Signals_US!Q195*Mapping!$E$5,IF(Signals_US!C195=-1,-Signals_US!R195*Mapping!$E$5,0))</f>
        <v>0</v>
      </c>
      <c r="F195" s="1">
        <f>IF(Signals_US!C195=1,Signals_US!Q195*Mapping!$E$6,IF(Signals_US!C195=-1,-Signals_US!R195*Mapping!$E$6,0))</f>
        <v>0</v>
      </c>
      <c r="G195" s="1">
        <f>IF(Signals_US!F195=1,Signals_US!Q195*Mapping!$E$7,IF(Signals_US!F195=-1,-Signals_US!R195*Mapping!$E$7,0))</f>
        <v>0</v>
      </c>
      <c r="H195" s="1">
        <f>IF(Signals_US!D195=1,Signals_US!Q195*Mapping!$E$8,IF(Signals_US!D195=-1,-Signals_US!R195*Mapping!$E$8,0))</f>
        <v>5.000000000000001E-2</v>
      </c>
      <c r="I195" s="1">
        <f>IF(Signals_US!G195=1,Signals_US!Q195*Mapping!$E$9,IF(Signals_US!G195=-1,-Signals_US!R195*Mapping!$E$9,0))</f>
        <v>0</v>
      </c>
      <c r="J195" s="1">
        <f>IF(Signals_US!H195=1,Signals_US!Q195*Mapping!$E$10,IF(Signals_US!H195=-1,-Signals_US!R195*Mapping!$E$10,0))</f>
        <v>0</v>
      </c>
      <c r="K195" s="1">
        <f>IF(Signals_US!F195=1,Signals_US!Q195*Mapping!$E$11,IF(Signals_US!F195=-1,-Signals_US!R195*Mapping!$E$11,0))</f>
        <v>0</v>
      </c>
      <c r="L195" s="1">
        <f>IF(Signals_US!N195=1,Signals_US!Q195*Mapping!$E$12,IF(Signals_US!N195=-1,-Signals_US!R195*Mapping!$E$12,0))</f>
        <v>-5.000000000000001E-2</v>
      </c>
      <c r="M195" s="1">
        <f>IF(Signals_US!I195=1,Signals_US!Q195*Mapping!$E$13,IF(Signals_US!I195=-1,-Signals_US!R195*Mapping!$E$13,0))</f>
        <v>5.000000000000001E-2</v>
      </c>
      <c r="N195" s="1">
        <f>0</f>
        <v>0</v>
      </c>
      <c r="O195" s="1">
        <f>0</f>
        <v>0</v>
      </c>
      <c r="P195" s="1">
        <f>IF(Signals_US!E195=1,Signals_US!Q195*Mapping!$E$16,IF(Signals_US!E195=-1,-Signals_US!R195*Mapping!$E$16,0))</f>
        <v>0</v>
      </c>
      <c r="Q195" s="1">
        <f>IF(Signals_US!J195=1,Signals_US!Q195*Mapping!$E$17,IF(Signals_US!J195=-1,-Signals_US!R195*Mapping!$E$17,0))</f>
        <v>5.000000000000001E-2</v>
      </c>
      <c r="R195" s="1">
        <f>IF(Signals_US!K195=1,Signals_US!Q195*Mapping!$E$18,IF(Signals_US!K195=-1,-Signals_US!R195*Mapping!$E$18,0))</f>
        <v>-5.000000000000001E-2</v>
      </c>
      <c r="S195" s="1">
        <f>IF(Signals_US!M195=1,Signals_US!Q195*Mapping!$E$19,IF(Signals_US!M195=-1,-Signals_US!R195*Mapping!$E$19,0))</f>
        <v>0</v>
      </c>
      <c r="T195" s="1">
        <f>IF(Signals_US!L195=1,Signals_US!Q195*Mapping!$E$20,IF(Signals_US!L195=-1,-Signals_US!R195*Mapping!$E$20,0))</f>
        <v>-5.000000000000001E-2</v>
      </c>
      <c r="U195" s="1">
        <f t="shared" ref="U195:U240" si="3">ROUND(SUM(B195:T195),12)</f>
        <v>0</v>
      </c>
    </row>
    <row r="196" spans="1:21">
      <c r="A196" s="5">
        <f>Signals_US!B196</f>
        <v>44958</v>
      </c>
      <c r="B196" s="1">
        <f>0</f>
        <v>0</v>
      </c>
      <c r="C196" s="1">
        <f>IF(Signals_US!F196=1,Signals_US!Q196*Mapping!$E$3,IF(Signals_US!F196=-1,-Signals_US!R196*Mapping!$E$3,0))</f>
        <v>0</v>
      </c>
      <c r="D196" s="1">
        <f>IF(Signals_US!C196=1,Signals_US!Q196*Mapping!$E$4,IF(Signals_US!C196=-1,-Signals_US!R196*Mapping!$E$4,0))</f>
        <v>-1.666666666666667E-2</v>
      </c>
      <c r="E196" s="1">
        <f>IF(Signals_US!C196=1,Signals_US!Q196*Mapping!$E$5,IF(Signals_US!C196=-1,-Signals_US!R196*Mapping!$E$5,0))</f>
        <v>-1.666666666666667E-2</v>
      </c>
      <c r="F196" s="1">
        <f>IF(Signals_US!C196=1,Signals_US!Q196*Mapping!$E$6,IF(Signals_US!C196=-1,-Signals_US!R196*Mapping!$E$6,0))</f>
        <v>-1.666666666666667E-2</v>
      </c>
      <c r="G196" s="1">
        <f>IF(Signals_US!F196=1,Signals_US!Q196*Mapping!$E$7,IF(Signals_US!F196=-1,-Signals_US!R196*Mapping!$E$7,0))</f>
        <v>0</v>
      </c>
      <c r="H196" s="1">
        <f>IF(Signals_US!D196=1,Signals_US!Q196*Mapping!$E$8,IF(Signals_US!D196=-1,-Signals_US!R196*Mapping!$E$8,0))</f>
        <v>5.000000000000001E-2</v>
      </c>
      <c r="I196" s="1">
        <f>IF(Signals_US!G196=1,Signals_US!Q196*Mapping!$E$9,IF(Signals_US!G196=-1,-Signals_US!R196*Mapping!$E$9,0))</f>
        <v>0</v>
      </c>
      <c r="J196" s="1">
        <f>IF(Signals_US!H196=1,Signals_US!Q196*Mapping!$E$10,IF(Signals_US!H196=-1,-Signals_US!R196*Mapping!$E$10,0))</f>
        <v>0</v>
      </c>
      <c r="K196" s="1">
        <f>IF(Signals_US!F196=1,Signals_US!Q196*Mapping!$E$11,IF(Signals_US!F196=-1,-Signals_US!R196*Mapping!$E$11,0))</f>
        <v>0</v>
      </c>
      <c r="L196" s="1">
        <f>IF(Signals_US!N196=1,Signals_US!Q196*Mapping!$E$12,IF(Signals_US!N196=-1,-Signals_US!R196*Mapping!$E$12,0))</f>
        <v>-5.000000000000001E-2</v>
      </c>
      <c r="M196" s="1">
        <f>IF(Signals_US!I196=1,Signals_US!Q196*Mapping!$E$13,IF(Signals_US!I196=-1,-Signals_US!R196*Mapping!$E$13,0))</f>
        <v>5.000000000000001E-2</v>
      </c>
      <c r="N196" s="1">
        <f>0</f>
        <v>0</v>
      </c>
      <c r="O196" s="1">
        <f>0</f>
        <v>0</v>
      </c>
      <c r="P196" s="1">
        <f>IF(Signals_US!E196=1,Signals_US!Q196*Mapping!$E$16,IF(Signals_US!E196=-1,-Signals_US!R196*Mapping!$E$16,0))</f>
        <v>0</v>
      </c>
      <c r="Q196" s="1">
        <f>IF(Signals_US!J196=1,Signals_US!Q196*Mapping!$E$17,IF(Signals_US!J196=-1,-Signals_US!R196*Mapping!$E$17,0))</f>
        <v>0</v>
      </c>
      <c r="R196" s="1">
        <f>IF(Signals_US!K196=1,Signals_US!Q196*Mapping!$E$18,IF(Signals_US!K196=-1,-Signals_US!R196*Mapping!$E$18,0))</f>
        <v>-5.000000000000001E-2</v>
      </c>
      <c r="S196" s="1">
        <f>IF(Signals_US!M196=1,Signals_US!Q196*Mapping!$E$19,IF(Signals_US!M196=-1,-Signals_US!R196*Mapping!$E$19,0))</f>
        <v>0</v>
      </c>
      <c r="T196" s="1">
        <f>IF(Signals_US!L196=1,Signals_US!Q196*Mapping!$E$20,IF(Signals_US!L196=-1,-Signals_US!R196*Mapping!$E$20,0))</f>
        <v>5.000000000000001E-2</v>
      </c>
      <c r="U196" s="1">
        <f t="shared" si="3"/>
        <v>0</v>
      </c>
    </row>
    <row r="197" spans="1:21">
      <c r="A197" s="5">
        <f>Signals_US!B197</f>
        <v>44986</v>
      </c>
      <c r="B197" s="1">
        <f>0</f>
        <v>0</v>
      </c>
      <c r="C197" s="1">
        <f>IF(Signals_US!F197=1,Signals_US!Q197*Mapping!$E$3,IF(Signals_US!F197=-1,-Signals_US!R197*Mapping!$E$3,0))</f>
        <v>0</v>
      </c>
      <c r="D197" s="1">
        <f>IF(Signals_US!C197=1,Signals_US!Q197*Mapping!$E$4,IF(Signals_US!C197=-1,-Signals_US!R197*Mapping!$E$4,0))</f>
        <v>0</v>
      </c>
      <c r="E197" s="1">
        <f>IF(Signals_US!C197=1,Signals_US!Q197*Mapping!$E$5,IF(Signals_US!C197=-1,-Signals_US!R197*Mapping!$E$5,0))</f>
        <v>0</v>
      </c>
      <c r="F197" s="1">
        <f>IF(Signals_US!C197=1,Signals_US!Q197*Mapping!$E$6,IF(Signals_US!C197=-1,-Signals_US!R197*Mapping!$E$6,0))</f>
        <v>0</v>
      </c>
      <c r="G197" s="1">
        <f>IF(Signals_US!F197=1,Signals_US!Q197*Mapping!$E$7,IF(Signals_US!F197=-1,-Signals_US!R197*Mapping!$E$7,0))</f>
        <v>0</v>
      </c>
      <c r="H197" s="1">
        <f>IF(Signals_US!D197=1,Signals_US!Q197*Mapping!$E$8,IF(Signals_US!D197=-1,-Signals_US!R197*Mapping!$E$8,0))</f>
        <v>5.000000000000001E-2</v>
      </c>
      <c r="I197" s="1">
        <f>IF(Signals_US!G197=1,Signals_US!Q197*Mapping!$E$9,IF(Signals_US!G197=-1,-Signals_US!R197*Mapping!$E$9,0))</f>
        <v>-5.000000000000001E-2</v>
      </c>
      <c r="J197" s="1">
        <f>IF(Signals_US!H197=1,Signals_US!Q197*Mapping!$E$10,IF(Signals_US!H197=-1,-Signals_US!R197*Mapping!$E$10,0))</f>
        <v>0</v>
      </c>
      <c r="K197" s="1">
        <f>IF(Signals_US!F197=1,Signals_US!Q197*Mapping!$E$11,IF(Signals_US!F197=-1,-Signals_US!R197*Mapping!$E$11,0))</f>
        <v>0</v>
      </c>
      <c r="L197" s="1">
        <f>IF(Signals_US!N197=1,Signals_US!Q197*Mapping!$E$12,IF(Signals_US!N197=-1,-Signals_US!R197*Mapping!$E$12,0))</f>
        <v>-5.000000000000001E-2</v>
      </c>
      <c r="M197" s="1">
        <f>IF(Signals_US!I197=1,Signals_US!Q197*Mapping!$E$13,IF(Signals_US!I197=-1,-Signals_US!R197*Mapping!$E$13,0))</f>
        <v>5.000000000000001E-2</v>
      </c>
      <c r="N197" s="1">
        <f>0</f>
        <v>0</v>
      </c>
      <c r="O197" s="1">
        <f>0</f>
        <v>0</v>
      </c>
      <c r="P197" s="1">
        <f>IF(Signals_US!E197=1,Signals_US!Q197*Mapping!$E$16,IF(Signals_US!E197=-1,-Signals_US!R197*Mapping!$E$16,0))</f>
        <v>5.000000000000001E-2</v>
      </c>
      <c r="Q197" s="1">
        <f>IF(Signals_US!J197=1,Signals_US!Q197*Mapping!$E$17,IF(Signals_US!J197=-1,-Signals_US!R197*Mapping!$E$17,0))</f>
        <v>0</v>
      </c>
      <c r="R197" s="1">
        <f>IF(Signals_US!K197=1,Signals_US!Q197*Mapping!$E$18,IF(Signals_US!K197=-1,-Signals_US!R197*Mapping!$E$18,0))</f>
        <v>-5.000000000000001E-2</v>
      </c>
      <c r="S197" s="1">
        <f>IF(Signals_US!M197=1,Signals_US!Q197*Mapping!$E$19,IF(Signals_US!M197=-1,-Signals_US!R197*Mapping!$E$19,0))</f>
        <v>0</v>
      </c>
      <c r="T197" s="1">
        <f>IF(Signals_US!L197=1,Signals_US!Q197*Mapping!$E$20,IF(Signals_US!L197=-1,-Signals_US!R197*Mapping!$E$20,0))</f>
        <v>0</v>
      </c>
      <c r="U197" s="1">
        <f t="shared" si="3"/>
        <v>0</v>
      </c>
    </row>
    <row r="198" spans="1:21">
      <c r="A198" s="5">
        <f>Signals_US!B198</f>
        <v>45017</v>
      </c>
      <c r="B198" s="1">
        <f>0</f>
        <v>0</v>
      </c>
      <c r="C198" s="1">
        <f>IF(Signals_US!F198=1,Signals_US!Q198*Mapping!$E$3,IF(Signals_US!F198=-1,-Signals_US!R198*Mapping!$E$3,0))</f>
        <v>0</v>
      </c>
      <c r="D198" s="1">
        <f>IF(Signals_US!C198=1,Signals_US!Q198*Mapping!$E$4,IF(Signals_US!C198=-1,-Signals_US!R198*Mapping!$E$4,0))</f>
        <v>1.666666666666667E-2</v>
      </c>
      <c r="E198" s="1">
        <f>IF(Signals_US!C198=1,Signals_US!Q198*Mapping!$E$5,IF(Signals_US!C198=-1,-Signals_US!R198*Mapping!$E$5,0))</f>
        <v>1.666666666666667E-2</v>
      </c>
      <c r="F198" s="1">
        <f>IF(Signals_US!C198=1,Signals_US!Q198*Mapping!$E$6,IF(Signals_US!C198=-1,-Signals_US!R198*Mapping!$E$6,0))</f>
        <v>1.666666666666667E-2</v>
      </c>
      <c r="G198" s="1">
        <f>IF(Signals_US!F198=1,Signals_US!Q198*Mapping!$E$7,IF(Signals_US!F198=-1,-Signals_US!R198*Mapping!$E$7,0))</f>
        <v>0</v>
      </c>
      <c r="H198" s="1">
        <f>IF(Signals_US!D198=1,Signals_US!Q198*Mapping!$E$8,IF(Signals_US!D198=-1,-Signals_US!R198*Mapping!$E$8,0))</f>
        <v>5.000000000000001E-2</v>
      </c>
      <c r="I198" s="1">
        <f>IF(Signals_US!G198=1,Signals_US!Q198*Mapping!$E$9,IF(Signals_US!G198=-1,-Signals_US!R198*Mapping!$E$9,0))</f>
        <v>0</v>
      </c>
      <c r="J198" s="1">
        <f>IF(Signals_US!H198=1,Signals_US!Q198*Mapping!$E$10,IF(Signals_US!H198=-1,-Signals_US!R198*Mapping!$E$10,0))</f>
        <v>0</v>
      </c>
      <c r="K198" s="1">
        <f>IF(Signals_US!F198=1,Signals_US!Q198*Mapping!$E$11,IF(Signals_US!F198=-1,-Signals_US!R198*Mapping!$E$11,0))</f>
        <v>0</v>
      </c>
      <c r="L198" s="1">
        <f>IF(Signals_US!N198=1,Signals_US!Q198*Mapping!$E$12,IF(Signals_US!N198=-1,-Signals_US!R198*Mapping!$E$12,0))</f>
        <v>-5.000000000000001E-2</v>
      </c>
      <c r="M198" s="1">
        <f>IF(Signals_US!I198=1,Signals_US!Q198*Mapping!$E$13,IF(Signals_US!I198=-1,-Signals_US!R198*Mapping!$E$13,0))</f>
        <v>0</v>
      </c>
      <c r="N198" s="1">
        <f>0</f>
        <v>0</v>
      </c>
      <c r="O198" s="1">
        <f>0</f>
        <v>0</v>
      </c>
      <c r="P198" s="1">
        <f>IF(Signals_US!E198=1,Signals_US!Q198*Mapping!$E$16,IF(Signals_US!E198=-1,-Signals_US!R198*Mapping!$E$16,0))</f>
        <v>5.000000000000001E-2</v>
      </c>
      <c r="Q198" s="1">
        <f>IF(Signals_US!J198=1,Signals_US!Q198*Mapping!$E$17,IF(Signals_US!J198=-1,-Signals_US!R198*Mapping!$E$17,0))</f>
        <v>-5.000000000000001E-2</v>
      </c>
      <c r="R198" s="1">
        <f>IF(Signals_US!K198=1,Signals_US!Q198*Mapping!$E$18,IF(Signals_US!K198=-1,-Signals_US!R198*Mapping!$E$18,0))</f>
        <v>-5.000000000000001E-2</v>
      </c>
      <c r="S198" s="1">
        <f>IF(Signals_US!M198=1,Signals_US!Q198*Mapping!$E$19,IF(Signals_US!M198=-1,-Signals_US!R198*Mapping!$E$19,0))</f>
        <v>0</v>
      </c>
      <c r="T198" s="1">
        <f>IF(Signals_US!L198=1,Signals_US!Q198*Mapping!$E$20,IF(Signals_US!L198=-1,-Signals_US!R198*Mapping!$E$20,0))</f>
        <v>0</v>
      </c>
      <c r="U198" s="1">
        <f t="shared" si="3"/>
        <v>0</v>
      </c>
    </row>
    <row r="199" spans="1:21">
      <c r="A199" s="5">
        <f>Signals_US!B199</f>
        <v>45047</v>
      </c>
      <c r="B199" s="1">
        <f>0</f>
        <v>0</v>
      </c>
      <c r="C199" s="1">
        <f>IF(Signals_US!F199=1,Signals_US!Q199*Mapping!$E$3,IF(Signals_US!F199=-1,-Signals_US!R199*Mapping!$E$3,0))</f>
        <v>-1.666666666666667E-2</v>
      </c>
      <c r="D199" s="1">
        <f>IF(Signals_US!C199=1,Signals_US!Q199*Mapping!$E$4,IF(Signals_US!C199=-1,-Signals_US!R199*Mapping!$E$4,0))</f>
        <v>0</v>
      </c>
      <c r="E199" s="1">
        <f>IF(Signals_US!C199=1,Signals_US!Q199*Mapping!$E$5,IF(Signals_US!C199=-1,-Signals_US!R199*Mapping!$E$5,0))</f>
        <v>0</v>
      </c>
      <c r="F199" s="1">
        <f>IF(Signals_US!C199=1,Signals_US!Q199*Mapping!$E$6,IF(Signals_US!C199=-1,-Signals_US!R199*Mapping!$E$6,0))</f>
        <v>0</v>
      </c>
      <c r="G199" s="1">
        <f>IF(Signals_US!F199=1,Signals_US!Q199*Mapping!$E$7,IF(Signals_US!F199=-1,-Signals_US!R199*Mapping!$E$7,0))</f>
        <v>-1.666666666666667E-2</v>
      </c>
      <c r="H199" s="1">
        <f>IF(Signals_US!D199=1,Signals_US!Q199*Mapping!$E$8,IF(Signals_US!D199=-1,-Signals_US!R199*Mapping!$E$8,0))</f>
        <v>5.000000000000001E-2</v>
      </c>
      <c r="I199" s="1">
        <f>IF(Signals_US!G199=1,Signals_US!Q199*Mapping!$E$9,IF(Signals_US!G199=-1,-Signals_US!R199*Mapping!$E$9,0))</f>
        <v>0</v>
      </c>
      <c r="J199" s="1">
        <f>IF(Signals_US!H199=1,Signals_US!Q199*Mapping!$E$10,IF(Signals_US!H199=-1,-Signals_US!R199*Mapping!$E$10,0))</f>
        <v>5.000000000000001E-2</v>
      </c>
      <c r="K199" s="1">
        <f>IF(Signals_US!F199=1,Signals_US!Q199*Mapping!$E$11,IF(Signals_US!F199=-1,-Signals_US!R199*Mapping!$E$11,0))</f>
        <v>-1.666666666666667E-2</v>
      </c>
      <c r="L199" s="1">
        <f>IF(Signals_US!N199=1,Signals_US!Q199*Mapping!$E$12,IF(Signals_US!N199=-1,-Signals_US!R199*Mapping!$E$12,0))</f>
        <v>-5.000000000000001E-2</v>
      </c>
      <c r="M199" s="1">
        <f>IF(Signals_US!I199=1,Signals_US!Q199*Mapping!$E$13,IF(Signals_US!I199=-1,-Signals_US!R199*Mapping!$E$13,0))</f>
        <v>0</v>
      </c>
      <c r="N199" s="1">
        <f>0</f>
        <v>0</v>
      </c>
      <c r="O199" s="1">
        <f>0</f>
        <v>0</v>
      </c>
      <c r="P199" s="1">
        <f>IF(Signals_US!E199=1,Signals_US!Q199*Mapping!$E$16,IF(Signals_US!E199=-1,-Signals_US!R199*Mapping!$E$16,0))</f>
        <v>5.000000000000001E-2</v>
      </c>
      <c r="Q199" s="1">
        <f>IF(Signals_US!J199=1,Signals_US!Q199*Mapping!$E$17,IF(Signals_US!J199=-1,-Signals_US!R199*Mapping!$E$17,0))</f>
        <v>0</v>
      </c>
      <c r="R199" s="1">
        <f>IF(Signals_US!K199=1,Signals_US!Q199*Mapping!$E$18,IF(Signals_US!K199=-1,-Signals_US!R199*Mapping!$E$18,0))</f>
        <v>-5.000000000000001E-2</v>
      </c>
      <c r="S199" s="1">
        <f>IF(Signals_US!M199=1,Signals_US!Q199*Mapping!$E$19,IF(Signals_US!M199=-1,-Signals_US!R199*Mapping!$E$19,0))</f>
        <v>0</v>
      </c>
      <c r="T199" s="1">
        <f>IF(Signals_US!L199=1,Signals_US!Q199*Mapping!$E$20,IF(Signals_US!L199=-1,-Signals_US!R199*Mapping!$E$20,0))</f>
        <v>0</v>
      </c>
      <c r="U199" s="1">
        <f t="shared" si="3"/>
        <v>0</v>
      </c>
    </row>
    <row r="200" spans="1:21">
      <c r="A200" s="5">
        <f>Signals_US!B200</f>
        <v>45078</v>
      </c>
      <c r="B200" s="1">
        <f>0</f>
        <v>0</v>
      </c>
      <c r="C200" s="1">
        <f>IF(Signals_US!F200=1,Signals_US!Q200*Mapping!$E$3,IF(Signals_US!F200=-1,-Signals_US!R200*Mapping!$E$3,0))</f>
        <v>0</v>
      </c>
      <c r="D200" s="1">
        <f>IF(Signals_US!C200=1,Signals_US!Q200*Mapping!$E$4,IF(Signals_US!C200=-1,-Signals_US!R200*Mapping!$E$4,0))</f>
        <v>-1.666666666666667E-2</v>
      </c>
      <c r="E200" s="1">
        <f>IF(Signals_US!C200=1,Signals_US!Q200*Mapping!$E$5,IF(Signals_US!C200=-1,-Signals_US!R200*Mapping!$E$5,0))</f>
        <v>-1.666666666666667E-2</v>
      </c>
      <c r="F200" s="1">
        <f>IF(Signals_US!C200=1,Signals_US!Q200*Mapping!$E$6,IF(Signals_US!C200=-1,-Signals_US!R200*Mapping!$E$6,0))</f>
        <v>-1.666666666666667E-2</v>
      </c>
      <c r="G200" s="1">
        <f>IF(Signals_US!F200=1,Signals_US!Q200*Mapping!$E$7,IF(Signals_US!F200=-1,-Signals_US!R200*Mapping!$E$7,0))</f>
        <v>0</v>
      </c>
      <c r="H200" s="1">
        <f>IF(Signals_US!D200=1,Signals_US!Q200*Mapping!$E$8,IF(Signals_US!D200=-1,-Signals_US!R200*Mapping!$E$8,0))</f>
        <v>5.000000000000001E-2</v>
      </c>
      <c r="I200" s="1">
        <f>IF(Signals_US!G200=1,Signals_US!Q200*Mapping!$E$9,IF(Signals_US!G200=-1,-Signals_US!R200*Mapping!$E$9,0))</f>
        <v>0</v>
      </c>
      <c r="J200" s="1">
        <f>IF(Signals_US!H200=1,Signals_US!Q200*Mapping!$E$10,IF(Signals_US!H200=-1,-Signals_US!R200*Mapping!$E$10,0))</f>
        <v>5.000000000000001E-2</v>
      </c>
      <c r="K200" s="1">
        <f>IF(Signals_US!F200=1,Signals_US!Q200*Mapping!$E$11,IF(Signals_US!F200=-1,-Signals_US!R200*Mapping!$E$11,0))</f>
        <v>0</v>
      </c>
      <c r="L200" s="1">
        <f>IF(Signals_US!N200=1,Signals_US!Q200*Mapping!$E$12,IF(Signals_US!N200=-1,-Signals_US!R200*Mapping!$E$12,0))</f>
        <v>-5.000000000000001E-2</v>
      </c>
      <c r="M200" s="1">
        <f>IF(Signals_US!I200=1,Signals_US!Q200*Mapping!$E$13,IF(Signals_US!I200=-1,-Signals_US!R200*Mapping!$E$13,0))</f>
        <v>5.000000000000001E-2</v>
      </c>
      <c r="N200" s="1">
        <f>0</f>
        <v>0</v>
      </c>
      <c r="O200" s="1">
        <f>0</f>
        <v>0</v>
      </c>
      <c r="P200" s="1">
        <f>IF(Signals_US!E200=1,Signals_US!Q200*Mapping!$E$16,IF(Signals_US!E200=-1,-Signals_US!R200*Mapping!$E$16,0))</f>
        <v>0</v>
      </c>
      <c r="Q200" s="1">
        <f>IF(Signals_US!J200=1,Signals_US!Q200*Mapping!$E$17,IF(Signals_US!J200=-1,-Signals_US!R200*Mapping!$E$17,0))</f>
        <v>0</v>
      </c>
      <c r="R200" s="1">
        <f>IF(Signals_US!K200=1,Signals_US!Q200*Mapping!$E$18,IF(Signals_US!K200=-1,-Signals_US!R200*Mapping!$E$18,0))</f>
        <v>-5.000000000000001E-2</v>
      </c>
      <c r="S200" s="1">
        <f>IF(Signals_US!M200=1,Signals_US!Q200*Mapping!$E$19,IF(Signals_US!M200=-1,-Signals_US!R200*Mapping!$E$19,0))</f>
        <v>0</v>
      </c>
      <c r="T200" s="1">
        <f>IF(Signals_US!L200=1,Signals_US!Q200*Mapping!$E$20,IF(Signals_US!L200=-1,-Signals_US!R200*Mapping!$E$20,0))</f>
        <v>0</v>
      </c>
      <c r="U200" s="1">
        <f t="shared" si="3"/>
        <v>0</v>
      </c>
    </row>
    <row r="201" spans="1:21">
      <c r="A201" s="5">
        <f>Signals_US!B201</f>
        <v>45108</v>
      </c>
      <c r="B201" s="1">
        <f>0</f>
        <v>0</v>
      </c>
      <c r="C201" s="1">
        <f>IF(Signals_US!F201=1,Signals_US!Q201*Mapping!$E$3,IF(Signals_US!F201=-1,-Signals_US!R201*Mapping!$E$3,0))</f>
        <v>0</v>
      </c>
      <c r="D201" s="1">
        <f>IF(Signals_US!C201=1,Signals_US!Q201*Mapping!$E$4,IF(Signals_US!C201=-1,-Signals_US!R201*Mapping!$E$4,0))</f>
        <v>-1.666666666666667E-2</v>
      </c>
      <c r="E201" s="1">
        <f>IF(Signals_US!C201=1,Signals_US!Q201*Mapping!$E$5,IF(Signals_US!C201=-1,-Signals_US!R201*Mapping!$E$5,0))</f>
        <v>-1.666666666666667E-2</v>
      </c>
      <c r="F201" s="1">
        <f>IF(Signals_US!C201=1,Signals_US!Q201*Mapping!$E$6,IF(Signals_US!C201=-1,-Signals_US!R201*Mapping!$E$6,0))</f>
        <v>-1.666666666666667E-2</v>
      </c>
      <c r="G201" s="1">
        <f>IF(Signals_US!F201=1,Signals_US!Q201*Mapping!$E$7,IF(Signals_US!F201=-1,-Signals_US!R201*Mapping!$E$7,0))</f>
        <v>0</v>
      </c>
      <c r="H201" s="1">
        <f>IF(Signals_US!D201=1,Signals_US!Q201*Mapping!$E$8,IF(Signals_US!D201=-1,-Signals_US!R201*Mapping!$E$8,0))</f>
        <v>0</v>
      </c>
      <c r="I201" s="1">
        <f>IF(Signals_US!G201=1,Signals_US!Q201*Mapping!$E$9,IF(Signals_US!G201=-1,-Signals_US!R201*Mapping!$E$9,0))</f>
        <v>0</v>
      </c>
      <c r="J201" s="1">
        <f>IF(Signals_US!H201=1,Signals_US!Q201*Mapping!$E$10,IF(Signals_US!H201=-1,-Signals_US!R201*Mapping!$E$10,0))</f>
        <v>5.000000000000001E-2</v>
      </c>
      <c r="K201" s="1">
        <f>IF(Signals_US!F201=1,Signals_US!Q201*Mapping!$E$11,IF(Signals_US!F201=-1,-Signals_US!R201*Mapping!$E$11,0))</f>
        <v>0</v>
      </c>
      <c r="L201" s="1">
        <f>IF(Signals_US!N201=1,Signals_US!Q201*Mapping!$E$12,IF(Signals_US!N201=-1,-Signals_US!R201*Mapping!$E$12,0))</f>
        <v>0</v>
      </c>
      <c r="M201" s="1">
        <f>IF(Signals_US!I201=1,Signals_US!Q201*Mapping!$E$13,IF(Signals_US!I201=-1,-Signals_US!R201*Mapping!$E$13,0))</f>
        <v>0</v>
      </c>
      <c r="N201" s="1">
        <f>0</f>
        <v>0</v>
      </c>
      <c r="O201" s="1">
        <f>0</f>
        <v>0</v>
      </c>
      <c r="P201" s="1">
        <f>IF(Signals_US!E201=1,Signals_US!Q201*Mapping!$E$16,IF(Signals_US!E201=-1,-Signals_US!R201*Mapping!$E$16,0))</f>
        <v>5.000000000000001E-2</v>
      </c>
      <c r="Q201" s="1">
        <f>IF(Signals_US!J201=1,Signals_US!Q201*Mapping!$E$17,IF(Signals_US!J201=-1,-Signals_US!R201*Mapping!$E$17,0))</f>
        <v>5.000000000000001E-2</v>
      </c>
      <c r="R201" s="1">
        <f>IF(Signals_US!K201=1,Signals_US!Q201*Mapping!$E$18,IF(Signals_US!K201=-1,-Signals_US!R201*Mapping!$E$18,0))</f>
        <v>-5.000000000000001E-2</v>
      </c>
      <c r="S201" s="1">
        <f>IF(Signals_US!M201=1,Signals_US!Q201*Mapping!$E$19,IF(Signals_US!M201=-1,-Signals_US!R201*Mapping!$E$19,0))</f>
        <v>0</v>
      </c>
      <c r="T201" s="1">
        <f>IF(Signals_US!L201=1,Signals_US!Q201*Mapping!$E$20,IF(Signals_US!L201=-1,-Signals_US!R201*Mapping!$E$20,0))</f>
        <v>-5.000000000000001E-2</v>
      </c>
      <c r="U201" s="1">
        <f t="shared" si="3"/>
        <v>0</v>
      </c>
    </row>
    <row r="202" spans="1:21">
      <c r="A202" s="5">
        <f>Signals_US!B202</f>
        <v>45139</v>
      </c>
      <c r="B202" s="1">
        <f>0</f>
        <v>0</v>
      </c>
      <c r="C202" s="1">
        <f>IF(Signals_US!F202=1,Signals_US!Q202*Mapping!$E$3,IF(Signals_US!F202=-1,-Signals_US!R202*Mapping!$E$3,0))</f>
        <v>-1.666666666666667E-2</v>
      </c>
      <c r="D202" s="1">
        <f>IF(Signals_US!C202=1,Signals_US!Q202*Mapping!$E$4,IF(Signals_US!C202=-1,-Signals_US!R202*Mapping!$E$4,0))</f>
        <v>-1.666666666666667E-2</v>
      </c>
      <c r="E202" s="1">
        <f>IF(Signals_US!C202=1,Signals_US!Q202*Mapping!$E$5,IF(Signals_US!C202=-1,-Signals_US!R202*Mapping!$E$5,0))</f>
        <v>-1.666666666666667E-2</v>
      </c>
      <c r="F202" s="1">
        <f>IF(Signals_US!C202=1,Signals_US!Q202*Mapping!$E$6,IF(Signals_US!C202=-1,-Signals_US!R202*Mapping!$E$6,0))</f>
        <v>-1.666666666666667E-2</v>
      </c>
      <c r="G202" s="1">
        <f>IF(Signals_US!F202=1,Signals_US!Q202*Mapping!$E$7,IF(Signals_US!F202=-1,-Signals_US!R202*Mapping!$E$7,0))</f>
        <v>-1.666666666666667E-2</v>
      </c>
      <c r="H202" s="1">
        <f>IF(Signals_US!D202=1,Signals_US!Q202*Mapping!$E$8,IF(Signals_US!D202=-1,-Signals_US!R202*Mapping!$E$8,0))</f>
        <v>5.000000000000001E-2</v>
      </c>
      <c r="I202" s="1">
        <f>IF(Signals_US!G202=1,Signals_US!Q202*Mapping!$E$9,IF(Signals_US!G202=-1,-Signals_US!R202*Mapping!$E$9,0))</f>
        <v>0</v>
      </c>
      <c r="J202" s="1">
        <f>IF(Signals_US!H202=1,Signals_US!Q202*Mapping!$E$10,IF(Signals_US!H202=-1,-Signals_US!R202*Mapping!$E$10,0))</f>
        <v>0</v>
      </c>
      <c r="K202" s="1">
        <f>IF(Signals_US!F202=1,Signals_US!Q202*Mapping!$E$11,IF(Signals_US!F202=-1,-Signals_US!R202*Mapping!$E$11,0))</f>
        <v>-1.666666666666667E-2</v>
      </c>
      <c r="L202" s="1">
        <f>IF(Signals_US!N202=1,Signals_US!Q202*Mapping!$E$12,IF(Signals_US!N202=-1,-Signals_US!R202*Mapping!$E$12,0))</f>
        <v>0</v>
      </c>
      <c r="M202" s="1">
        <f>IF(Signals_US!I202=1,Signals_US!Q202*Mapping!$E$13,IF(Signals_US!I202=-1,-Signals_US!R202*Mapping!$E$13,0))</f>
        <v>0</v>
      </c>
      <c r="N202" s="1">
        <f>0</f>
        <v>0</v>
      </c>
      <c r="O202" s="1">
        <f>0</f>
        <v>0</v>
      </c>
      <c r="P202" s="1">
        <f>IF(Signals_US!E202=1,Signals_US!Q202*Mapping!$E$16,IF(Signals_US!E202=-1,-Signals_US!R202*Mapping!$E$16,0))</f>
        <v>5.000000000000001E-2</v>
      </c>
      <c r="Q202" s="1">
        <f>IF(Signals_US!J202=1,Signals_US!Q202*Mapping!$E$17,IF(Signals_US!J202=-1,-Signals_US!R202*Mapping!$E$17,0))</f>
        <v>5.000000000000001E-2</v>
      </c>
      <c r="R202" s="1">
        <f>IF(Signals_US!K202=1,Signals_US!Q202*Mapping!$E$18,IF(Signals_US!K202=-1,-Signals_US!R202*Mapping!$E$18,0))</f>
        <v>-5.000000000000001E-2</v>
      </c>
      <c r="S202" s="1">
        <f>IF(Signals_US!M202=1,Signals_US!Q202*Mapping!$E$19,IF(Signals_US!M202=-1,-Signals_US!R202*Mapping!$E$19,0))</f>
        <v>0</v>
      </c>
      <c r="T202" s="1">
        <f>IF(Signals_US!L202=1,Signals_US!Q202*Mapping!$E$20,IF(Signals_US!L202=-1,-Signals_US!R202*Mapping!$E$20,0))</f>
        <v>0</v>
      </c>
      <c r="U202" s="1">
        <f t="shared" si="3"/>
        <v>0</v>
      </c>
    </row>
    <row r="203" spans="1:21">
      <c r="A203" s="5">
        <f>Signals_US!B203</f>
        <v>45170</v>
      </c>
      <c r="B203" s="1">
        <f>0</f>
        <v>0</v>
      </c>
      <c r="C203" s="1">
        <f>IF(Signals_US!F203=1,Signals_US!Q203*Mapping!$E$3,IF(Signals_US!F203=-1,-Signals_US!R203*Mapping!$E$3,0))</f>
        <v>0</v>
      </c>
      <c r="D203" s="1">
        <f>IF(Signals_US!C203=1,Signals_US!Q203*Mapping!$E$4,IF(Signals_US!C203=-1,-Signals_US!R203*Mapping!$E$4,0))</f>
        <v>-1.666666666666667E-2</v>
      </c>
      <c r="E203" s="1">
        <f>IF(Signals_US!C203=1,Signals_US!Q203*Mapping!$E$5,IF(Signals_US!C203=-1,-Signals_US!R203*Mapping!$E$5,0))</f>
        <v>-1.666666666666667E-2</v>
      </c>
      <c r="F203" s="1">
        <f>IF(Signals_US!C203=1,Signals_US!Q203*Mapping!$E$6,IF(Signals_US!C203=-1,-Signals_US!R203*Mapping!$E$6,0))</f>
        <v>-1.666666666666667E-2</v>
      </c>
      <c r="G203" s="1">
        <f>IF(Signals_US!F203=1,Signals_US!Q203*Mapping!$E$7,IF(Signals_US!F203=-1,-Signals_US!R203*Mapping!$E$7,0))</f>
        <v>0</v>
      </c>
      <c r="H203" s="1">
        <f>IF(Signals_US!D203=1,Signals_US!Q203*Mapping!$E$8,IF(Signals_US!D203=-1,-Signals_US!R203*Mapping!$E$8,0))</f>
        <v>0</v>
      </c>
      <c r="I203" s="1">
        <f>IF(Signals_US!G203=1,Signals_US!Q203*Mapping!$E$9,IF(Signals_US!G203=-1,-Signals_US!R203*Mapping!$E$9,0))</f>
        <v>0</v>
      </c>
      <c r="J203" s="1">
        <f>IF(Signals_US!H203=1,Signals_US!Q203*Mapping!$E$10,IF(Signals_US!H203=-1,-Signals_US!R203*Mapping!$E$10,0))</f>
        <v>0</v>
      </c>
      <c r="K203" s="1">
        <f>IF(Signals_US!F203=1,Signals_US!Q203*Mapping!$E$11,IF(Signals_US!F203=-1,-Signals_US!R203*Mapping!$E$11,0))</f>
        <v>0</v>
      </c>
      <c r="L203" s="1">
        <f>IF(Signals_US!N203=1,Signals_US!Q203*Mapping!$E$12,IF(Signals_US!N203=-1,-Signals_US!R203*Mapping!$E$12,0))</f>
        <v>0</v>
      </c>
      <c r="M203" s="1">
        <f>IF(Signals_US!I203=1,Signals_US!Q203*Mapping!$E$13,IF(Signals_US!I203=-1,-Signals_US!R203*Mapping!$E$13,0))</f>
        <v>5.000000000000001E-2</v>
      </c>
      <c r="N203" s="1">
        <f>0</f>
        <v>0</v>
      </c>
      <c r="O203" s="1">
        <f>0</f>
        <v>0</v>
      </c>
      <c r="P203" s="1">
        <f>IF(Signals_US!E203=1,Signals_US!Q203*Mapping!$E$16,IF(Signals_US!E203=-1,-Signals_US!R203*Mapping!$E$16,0))</f>
        <v>5.000000000000001E-2</v>
      </c>
      <c r="Q203" s="1">
        <f>IF(Signals_US!J203=1,Signals_US!Q203*Mapping!$E$17,IF(Signals_US!J203=-1,-Signals_US!R203*Mapping!$E$17,0))</f>
        <v>5.000000000000001E-2</v>
      </c>
      <c r="R203" s="1">
        <f>IF(Signals_US!K203=1,Signals_US!Q203*Mapping!$E$18,IF(Signals_US!K203=-1,-Signals_US!R203*Mapping!$E$18,0))</f>
        <v>-5.000000000000001E-2</v>
      </c>
      <c r="S203" s="1">
        <f>IF(Signals_US!M203=1,Signals_US!Q203*Mapping!$E$19,IF(Signals_US!M203=-1,-Signals_US!R203*Mapping!$E$19,0))</f>
        <v>0</v>
      </c>
      <c r="T203" s="1">
        <f>IF(Signals_US!L203=1,Signals_US!Q203*Mapping!$E$20,IF(Signals_US!L203=-1,-Signals_US!R203*Mapping!$E$20,0))</f>
        <v>-5.000000000000001E-2</v>
      </c>
      <c r="U203" s="1">
        <f t="shared" si="3"/>
        <v>0</v>
      </c>
    </row>
    <row r="204" spans="1:21">
      <c r="A204" s="5">
        <f>Signals_US!B204</f>
        <v>45200</v>
      </c>
      <c r="B204" s="1">
        <f>0</f>
        <v>0</v>
      </c>
      <c r="C204" s="1">
        <f>IF(Signals_US!F204=1,Signals_US!Q204*Mapping!$E$3,IF(Signals_US!F204=-1,-Signals_US!R204*Mapping!$E$3,0))</f>
        <v>1.666666666666667E-2</v>
      </c>
      <c r="D204" s="1">
        <f>IF(Signals_US!C204=1,Signals_US!Q204*Mapping!$E$4,IF(Signals_US!C204=-1,-Signals_US!R204*Mapping!$E$4,0))</f>
        <v>0</v>
      </c>
      <c r="E204" s="1">
        <f>IF(Signals_US!C204=1,Signals_US!Q204*Mapping!$E$5,IF(Signals_US!C204=-1,-Signals_US!R204*Mapping!$E$5,0))</f>
        <v>0</v>
      </c>
      <c r="F204" s="1">
        <f>IF(Signals_US!C204=1,Signals_US!Q204*Mapping!$E$6,IF(Signals_US!C204=-1,-Signals_US!R204*Mapping!$E$6,0))</f>
        <v>0</v>
      </c>
      <c r="G204" s="1">
        <f>IF(Signals_US!F204=1,Signals_US!Q204*Mapping!$E$7,IF(Signals_US!F204=-1,-Signals_US!R204*Mapping!$E$7,0))</f>
        <v>1.666666666666667E-2</v>
      </c>
      <c r="H204" s="1">
        <f>IF(Signals_US!D204=1,Signals_US!Q204*Mapping!$E$8,IF(Signals_US!D204=-1,-Signals_US!R204*Mapping!$E$8,0))</f>
        <v>0</v>
      </c>
      <c r="I204" s="1">
        <f>IF(Signals_US!G204=1,Signals_US!Q204*Mapping!$E$9,IF(Signals_US!G204=-1,-Signals_US!R204*Mapping!$E$9,0))</f>
        <v>0</v>
      </c>
      <c r="J204" s="1">
        <f>IF(Signals_US!H204=1,Signals_US!Q204*Mapping!$E$10,IF(Signals_US!H204=-1,-Signals_US!R204*Mapping!$E$10,0))</f>
        <v>5.000000000000001E-2</v>
      </c>
      <c r="K204" s="1">
        <f>IF(Signals_US!F204=1,Signals_US!Q204*Mapping!$E$11,IF(Signals_US!F204=-1,-Signals_US!R204*Mapping!$E$11,0))</f>
        <v>1.666666666666667E-2</v>
      </c>
      <c r="L204" s="1">
        <f>IF(Signals_US!N204=1,Signals_US!Q204*Mapping!$E$12,IF(Signals_US!N204=-1,-Signals_US!R204*Mapping!$E$12,0))</f>
        <v>-5.000000000000001E-2</v>
      </c>
      <c r="M204" s="1">
        <f>IF(Signals_US!I204=1,Signals_US!Q204*Mapping!$E$13,IF(Signals_US!I204=-1,-Signals_US!R204*Mapping!$E$13,0))</f>
        <v>0</v>
      </c>
      <c r="N204" s="1">
        <f>0</f>
        <v>0</v>
      </c>
      <c r="O204" s="1">
        <f>0</f>
        <v>0</v>
      </c>
      <c r="P204" s="1">
        <f>IF(Signals_US!E204=1,Signals_US!Q204*Mapping!$E$16,IF(Signals_US!E204=-1,-Signals_US!R204*Mapping!$E$16,0))</f>
        <v>5.000000000000001E-2</v>
      </c>
      <c r="Q204" s="1">
        <f>IF(Signals_US!J204=1,Signals_US!Q204*Mapping!$E$17,IF(Signals_US!J204=-1,-Signals_US!R204*Mapping!$E$17,0))</f>
        <v>0</v>
      </c>
      <c r="R204" s="1">
        <f>IF(Signals_US!K204=1,Signals_US!Q204*Mapping!$E$18,IF(Signals_US!K204=-1,-Signals_US!R204*Mapping!$E$18,0))</f>
        <v>-5.000000000000001E-2</v>
      </c>
      <c r="S204" s="1">
        <f>IF(Signals_US!M204=1,Signals_US!Q204*Mapping!$E$19,IF(Signals_US!M204=-1,-Signals_US!R204*Mapping!$E$19,0))</f>
        <v>0</v>
      </c>
      <c r="T204" s="1">
        <f>IF(Signals_US!L204=1,Signals_US!Q204*Mapping!$E$20,IF(Signals_US!L204=-1,-Signals_US!R204*Mapping!$E$20,0))</f>
        <v>-5.000000000000001E-2</v>
      </c>
      <c r="U204" s="1">
        <f t="shared" si="3"/>
        <v>0</v>
      </c>
    </row>
    <row r="205" spans="1:21">
      <c r="A205" s="5">
        <f>Signals_US!B205</f>
        <v>45231</v>
      </c>
      <c r="B205" s="1">
        <f>0</f>
        <v>0</v>
      </c>
      <c r="C205" s="1">
        <f>IF(Signals_US!F205=1,Signals_US!Q205*Mapping!$E$3,IF(Signals_US!F205=-1,-Signals_US!R205*Mapping!$E$3,0))</f>
        <v>1.666666666666667E-2</v>
      </c>
      <c r="D205" s="1">
        <f>IF(Signals_US!C205=1,Signals_US!Q205*Mapping!$E$4,IF(Signals_US!C205=-1,-Signals_US!R205*Mapping!$E$4,0))</f>
        <v>0</v>
      </c>
      <c r="E205" s="1">
        <f>IF(Signals_US!C205=1,Signals_US!Q205*Mapping!$E$5,IF(Signals_US!C205=-1,-Signals_US!R205*Mapping!$E$5,0))</f>
        <v>0</v>
      </c>
      <c r="F205" s="1">
        <f>IF(Signals_US!C205=1,Signals_US!Q205*Mapping!$E$6,IF(Signals_US!C205=-1,-Signals_US!R205*Mapping!$E$6,0))</f>
        <v>0</v>
      </c>
      <c r="G205" s="1">
        <f>IF(Signals_US!F205=1,Signals_US!Q205*Mapping!$E$7,IF(Signals_US!F205=-1,-Signals_US!R205*Mapping!$E$7,0))</f>
        <v>1.666666666666667E-2</v>
      </c>
      <c r="H205" s="1">
        <f>IF(Signals_US!D205=1,Signals_US!Q205*Mapping!$E$8,IF(Signals_US!D205=-1,-Signals_US!R205*Mapping!$E$8,0))</f>
        <v>0</v>
      </c>
      <c r="I205" s="1">
        <f>IF(Signals_US!G205=1,Signals_US!Q205*Mapping!$E$9,IF(Signals_US!G205=-1,-Signals_US!R205*Mapping!$E$9,0))</f>
        <v>0</v>
      </c>
      <c r="J205" s="1">
        <f>IF(Signals_US!H205=1,Signals_US!Q205*Mapping!$E$10,IF(Signals_US!H205=-1,-Signals_US!R205*Mapping!$E$10,0))</f>
        <v>0</v>
      </c>
      <c r="K205" s="1">
        <f>IF(Signals_US!F205=1,Signals_US!Q205*Mapping!$E$11,IF(Signals_US!F205=-1,-Signals_US!R205*Mapping!$E$11,0))</f>
        <v>1.666666666666667E-2</v>
      </c>
      <c r="L205" s="1">
        <f>IF(Signals_US!N205=1,Signals_US!Q205*Mapping!$E$12,IF(Signals_US!N205=-1,-Signals_US!R205*Mapping!$E$12,0))</f>
        <v>-5.000000000000001E-2</v>
      </c>
      <c r="M205" s="1">
        <f>IF(Signals_US!I205=1,Signals_US!Q205*Mapping!$E$13,IF(Signals_US!I205=-1,-Signals_US!R205*Mapping!$E$13,0))</f>
        <v>5.000000000000001E-2</v>
      </c>
      <c r="N205" s="1">
        <f>0</f>
        <v>0</v>
      </c>
      <c r="O205" s="1">
        <f>0</f>
        <v>0</v>
      </c>
      <c r="P205" s="1">
        <f>IF(Signals_US!E205=1,Signals_US!Q205*Mapping!$E$16,IF(Signals_US!E205=-1,-Signals_US!R205*Mapping!$E$16,0))</f>
        <v>5.000000000000001E-2</v>
      </c>
      <c r="Q205" s="1">
        <f>IF(Signals_US!J205=1,Signals_US!Q205*Mapping!$E$17,IF(Signals_US!J205=-1,-Signals_US!R205*Mapping!$E$17,0))</f>
        <v>0</v>
      </c>
      <c r="R205" s="1">
        <f>IF(Signals_US!K205=1,Signals_US!Q205*Mapping!$E$18,IF(Signals_US!K205=-1,-Signals_US!R205*Mapping!$E$18,0))</f>
        <v>-5.000000000000001E-2</v>
      </c>
      <c r="S205" s="1">
        <f>IF(Signals_US!M205=1,Signals_US!Q205*Mapping!$E$19,IF(Signals_US!M205=-1,-Signals_US!R205*Mapping!$E$19,0))</f>
        <v>0</v>
      </c>
      <c r="T205" s="1">
        <f>IF(Signals_US!L205=1,Signals_US!Q205*Mapping!$E$20,IF(Signals_US!L205=-1,-Signals_US!R205*Mapping!$E$20,0))</f>
        <v>-5.000000000000001E-2</v>
      </c>
      <c r="U205" s="1">
        <f t="shared" si="3"/>
        <v>0</v>
      </c>
    </row>
    <row r="206" spans="1:21">
      <c r="A206" s="5">
        <f>Signals_US!B206</f>
        <v>45261</v>
      </c>
      <c r="B206" s="1">
        <f>0</f>
        <v>0</v>
      </c>
      <c r="C206" s="1">
        <f>IF(Signals_US!F206=1,Signals_US!Q206*Mapping!$E$3,IF(Signals_US!F206=-1,-Signals_US!R206*Mapping!$E$3,0))</f>
        <v>1.666666666666667E-2</v>
      </c>
      <c r="D206" s="1">
        <f>IF(Signals_US!C206=1,Signals_US!Q206*Mapping!$E$4,IF(Signals_US!C206=-1,-Signals_US!R206*Mapping!$E$4,0))</f>
        <v>-1.666666666666667E-2</v>
      </c>
      <c r="E206" s="1">
        <f>IF(Signals_US!C206=1,Signals_US!Q206*Mapping!$E$5,IF(Signals_US!C206=-1,-Signals_US!R206*Mapping!$E$5,0))</f>
        <v>-1.666666666666667E-2</v>
      </c>
      <c r="F206" s="1">
        <f>IF(Signals_US!C206=1,Signals_US!Q206*Mapping!$E$6,IF(Signals_US!C206=-1,-Signals_US!R206*Mapping!$E$6,0))</f>
        <v>-1.666666666666667E-2</v>
      </c>
      <c r="G206" s="1">
        <f>IF(Signals_US!F206=1,Signals_US!Q206*Mapping!$E$7,IF(Signals_US!F206=-1,-Signals_US!R206*Mapping!$E$7,0))</f>
        <v>1.666666666666667E-2</v>
      </c>
      <c r="H206" s="1">
        <f>IF(Signals_US!D206=1,Signals_US!Q206*Mapping!$E$8,IF(Signals_US!D206=-1,-Signals_US!R206*Mapping!$E$8,0))</f>
        <v>0</v>
      </c>
      <c r="I206" s="1">
        <f>IF(Signals_US!G206=1,Signals_US!Q206*Mapping!$E$9,IF(Signals_US!G206=-1,-Signals_US!R206*Mapping!$E$9,0))</f>
        <v>0</v>
      </c>
      <c r="J206" s="1">
        <f>IF(Signals_US!H206=1,Signals_US!Q206*Mapping!$E$10,IF(Signals_US!H206=-1,-Signals_US!R206*Mapping!$E$10,0))</f>
        <v>0</v>
      </c>
      <c r="K206" s="1">
        <f>IF(Signals_US!F206=1,Signals_US!Q206*Mapping!$E$11,IF(Signals_US!F206=-1,-Signals_US!R206*Mapping!$E$11,0))</f>
        <v>1.666666666666667E-2</v>
      </c>
      <c r="L206" s="1">
        <f>IF(Signals_US!N206=1,Signals_US!Q206*Mapping!$E$12,IF(Signals_US!N206=-1,-Signals_US!R206*Mapping!$E$12,0))</f>
        <v>0</v>
      </c>
      <c r="M206" s="1">
        <f>IF(Signals_US!I206=1,Signals_US!Q206*Mapping!$E$13,IF(Signals_US!I206=-1,-Signals_US!R206*Mapping!$E$13,0))</f>
        <v>0</v>
      </c>
      <c r="N206" s="1">
        <f>0</f>
        <v>0</v>
      </c>
      <c r="O206" s="1">
        <f>0</f>
        <v>0</v>
      </c>
      <c r="P206" s="1">
        <f>IF(Signals_US!E206=1,Signals_US!Q206*Mapping!$E$16,IF(Signals_US!E206=-1,-Signals_US!R206*Mapping!$E$16,0))</f>
        <v>5.000000000000001E-2</v>
      </c>
      <c r="Q206" s="1">
        <f>IF(Signals_US!J206=1,Signals_US!Q206*Mapping!$E$17,IF(Signals_US!J206=-1,-Signals_US!R206*Mapping!$E$17,0))</f>
        <v>5.000000000000001E-2</v>
      </c>
      <c r="R206" s="1">
        <f>IF(Signals_US!K206=1,Signals_US!Q206*Mapping!$E$18,IF(Signals_US!K206=-1,-Signals_US!R206*Mapping!$E$18,0))</f>
        <v>-5.000000000000001E-2</v>
      </c>
      <c r="S206" s="1">
        <f>IF(Signals_US!M206=1,Signals_US!Q206*Mapping!$E$19,IF(Signals_US!M206=-1,-Signals_US!R206*Mapping!$E$19,0))</f>
        <v>0</v>
      </c>
      <c r="T206" s="1">
        <f>IF(Signals_US!L206=1,Signals_US!Q206*Mapping!$E$20,IF(Signals_US!L206=-1,-Signals_US!R206*Mapping!$E$20,0))</f>
        <v>-5.000000000000001E-2</v>
      </c>
      <c r="U206" s="1">
        <f t="shared" si="3"/>
        <v>0</v>
      </c>
    </row>
    <row r="207" spans="1:21">
      <c r="A207" s="5">
        <f>Signals_US!B207</f>
        <v>45292</v>
      </c>
      <c r="B207" s="1">
        <f>0</f>
        <v>0</v>
      </c>
      <c r="C207" s="1">
        <f>IF(Signals_US!F207=1,Signals_US!Q207*Mapping!$E$3,IF(Signals_US!F207=-1,-Signals_US!R207*Mapping!$E$3,0))</f>
        <v>1.666666666666667E-2</v>
      </c>
      <c r="D207" s="1">
        <f>IF(Signals_US!C207=1,Signals_US!Q207*Mapping!$E$4,IF(Signals_US!C207=-1,-Signals_US!R207*Mapping!$E$4,0))</f>
        <v>-1.666666666666667E-2</v>
      </c>
      <c r="E207" s="1">
        <f>IF(Signals_US!C207=1,Signals_US!Q207*Mapping!$E$5,IF(Signals_US!C207=-1,-Signals_US!R207*Mapping!$E$5,0))</f>
        <v>-1.666666666666667E-2</v>
      </c>
      <c r="F207" s="1">
        <f>IF(Signals_US!C207=1,Signals_US!Q207*Mapping!$E$6,IF(Signals_US!C207=-1,-Signals_US!R207*Mapping!$E$6,0))</f>
        <v>-1.666666666666667E-2</v>
      </c>
      <c r="G207" s="1">
        <f>IF(Signals_US!F207=1,Signals_US!Q207*Mapping!$E$7,IF(Signals_US!F207=-1,-Signals_US!R207*Mapping!$E$7,0))</f>
        <v>1.666666666666667E-2</v>
      </c>
      <c r="H207" s="1">
        <f>IF(Signals_US!D207=1,Signals_US!Q207*Mapping!$E$8,IF(Signals_US!D207=-1,-Signals_US!R207*Mapping!$E$8,0))</f>
        <v>0</v>
      </c>
      <c r="I207" s="1">
        <f>IF(Signals_US!G207=1,Signals_US!Q207*Mapping!$E$9,IF(Signals_US!G207=-1,-Signals_US!R207*Mapping!$E$9,0))</f>
        <v>0</v>
      </c>
      <c r="J207" s="1">
        <f>IF(Signals_US!H207=1,Signals_US!Q207*Mapping!$E$10,IF(Signals_US!H207=-1,-Signals_US!R207*Mapping!$E$10,0))</f>
        <v>-5.000000000000001E-2</v>
      </c>
      <c r="K207" s="1">
        <f>IF(Signals_US!F207=1,Signals_US!Q207*Mapping!$E$11,IF(Signals_US!F207=-1,-Signals_US!R207*Mapping!$E$11,0))</f>
        <v>1.666666666666667E-2</v>
      </c>
      <c r="L207" s="1">
        <f>IF(Signals_US!N207=1,Signals_US!Q207*Mapping!$E$12,IF(Signals_US!N207=-1,-Signals_US!R207*Mapping!$E$12,0))</f>
        <v>0</v>
      </c>
      <c r="M207" s="1">
        <f>IF(Signals_US!I207=1,Signals_US!Q207*Mapping!$E$13,IF(Signals_US!I207=-1,-Signals_US!R207*Mapping!$E$13,0))</f>
        <v>0</v>
      </c>
      <c r="N207" s="1">
        <f>0</f>
        <v>0</v>
      </c>
      <c r="O207" s="1">
        <f>0</f>
        <v>0</v>
      </c>
      <c r="P207" s="1">
        <f>IF(Signals_US!E207=1,Signals_US!Q207*Mapping!$E$16,IF(Signals_US!E207=-1,-Signals_US!R207*Mapping!$E$16,0))</f>
        <v>5.000000000000001E-2</v>
      </c>
      <c r="Q207" s="1">
        <f>IF(Signals_US!J207=1,Signals_US!Q207*Mapping!$E$17,IF(Signals_US!J207=-1,-Signals_US!R207*Mapping!$E$17,0))</f>
        <v>5.000000000000001E-2</v>
      </c>
      <c r="R207" s="1">
        <f>IF(Signals_US!K207=1,Signals_US!Q207*Mapping!$E$18,IF(Signals_US!K207=-1,-Signals_US!R207*Mapping!$E$18,0))</f>
        <v>0</v>
      </c>
      <c r="S207" s="1">
        <f>IF(Signals_US!M207=1,Signals_US!Q207*Mapping!$E$19,IF(Signals_US!M207=-1,-Signals_US!R207*Mapping!$E$19,0))</f>
        <v>0</v>
      </c>
      <c r="T207" s="1">
        <f>IF(Signals_US!L207=1,Signals_US!Q207*Mapping!$E$20,IF(Signals_US!L207=-1,-Signals_US!R207*Mapping!$E$20,0))</f>
        <v>-5.000000000000001E-2</v>
      </c>
      <c r="U207" s="1">
        <f t="shared" si="3"/>
        <v>0</v>
      </c>
    </row>
    <row r="208" spans="1:21">
      <c r="A208" s="5">
        <f>Signals_US!B208</f>
        <v>45323</v>
      </c>
      <c r="B208" s="1">
        <f>0</f>
        <v>0</v>
      </c>
      <c r="C208" s="1">
        <f>IF(Signals_US!F208=1,Signals_US!Q208*Mapping!$E$3,IF(Signals_US!F208=-1,-Signals_US!R208*Mapping!$E$3,0))</f>
        <v>1.666666666666667E-2</v>
      </c>
      <c r="D208" s="1">
        <f>IF(Signals_US!C208=1,Signals_US!Q208*Mapping!$E$4,IF(Signals_US!C208=-1,-Signals_US!R208*Mapping!$E$4,0))</f>
        <v>0</v>
      </c>
      <c r="E208" s="1">
        <f>IF(Signals_US!C208=1,Signals_US!Q208*Mapping!$E$5,IF(Signals_US!C208=-1,-Signals_US!R208*Mapping!$E$5,0))</f>
        <v>0</v>
      </c>
      <c r="F208" s="1">
        <f>IF(Signals_US!C208=1,Signals_US!Q208*Mapping!$E$6,IF(Signals_US!C208=-1,-Signals_US!R208*Mapping!$E$6,0))</f>
        <v>0</v>
      </c>
      <c r="G208" s="1">
        <f>IF(Signals_US!F208=1,Signals_US!Q208*Mapping!$E$7,IF(Signals_US!F208=-1,-Signals_US!R208*Mapping!$E$7,0))</f>
        <v>1.666666666666667E-2</v>
      </c>
      <c r="H208" s="1">
        <f>IF(Signals_US!D208=1,Signals_US!Q208*Mapping!$E$8,IF(Signals_US!D208=-1,-Signals_US!R208*Mapping!$E$8,0))</f>
        <v>0</v>
      </c>
      <c r="I208" s="1">
        <f>IF(Signals_US!G208=1,Signals_US!Q208*Mapping!$E$9,IF(Signals_US!G208=-1,-Signals_US!R208*Mapping!$E$9,0))</f>
        <v>0</v>
      </c>
      <c r="J208" s="1">
        <f>IF(Signals_US!H208=1,Signals_US!Q208*Mapping!$E$10,IF(Signals_US!H208=-1,-Signals_US!R208*Mapping!$E$10,0))</f>
        <v>0</v>
      </c>
      <c r="K208" s="1">
        <f>IF(Signals_US!F208=1,Signals_US!Q208*Mapping!$E$11,IF(Signals_US!F208=-1,-Signals_US!R208*Mapping!$E$11,0))</f>
        <v>1.666666666666667E-2</v>
      </c>
      <c r="L208" s="1">
        <f>IF(Signals_US!N208=1,Signals_US!Q208*Mapping!$E$12,IF(Signals_US!N208=-1,-Signals_US!R208*Mapping!$E$12,0))</f>
        <v>-5.000000000000001E-2</v>
      </c>
      <c r="M208" s="1">
        <f>IF(Signals_US!I208=1,Signals_US!Q208*Mapping!$E$13,IF(Signals_US!I208=-1,-Signals_US!R208*Mapping!$E$13,0))</f>
        <v>0</v>
      </c>
      <c r="N208" s="1">
        <f>0</f>
        <v>0</v>
      </c>
      <c r="O208" s="1">
        <f>0</f>
        <v>0</v>
      </c>
      <c r="P208" s="1">
        <f>IF(Signals_US!E208=1,Signals_US!Q208*Mapping!$E$16,IF(Signals_US!E208=-1,-Signals_US!R208*Mapping!$E$16,0))</f>
        <v>5.000000000000001E-2</v>
      </c>
      <c r="Q208" s="1">
        <f>IF(Signals_US!J208=1,Signals_US!Q208*Mapping!$E$17,IF(Signals_US!J208=-1,-Signals_US!R208*Mapping!$E$17,0))</f>
        <v>5.000000000000001E-2</v>
      </c>
      <c r="R208" s="1">
        <f>IF(Signals_US!K208=1,Signals_US!Q208*Mapping!$E$18,IF(Signals_US!K208=-1,-Signals_US!R208*Mapping!$E$18,0))</f>
        <v>-5.000000000000001E-2</v>
      </c>
      <c r="S208" s="1">
        <f>IF(Signals_US!M208=1,Signals_US!Q208*Mapping!$E$19,IF(Signals_US!M208=-1,-Signals_US!R208*Mapping!$E$19,0))</f>
        <v>0</v>
      </c>
      <c r="T208" s="1">
        <f>IF(Signals_US!L208=1,Signals_US!Q208*Mapping!$E$20,IF(Signals_US!L208=-1,-Signals_US!R208*Mapping!$E$20,0))</f>
        <v>-5.000000000000001E-2</v>
      </c>
      <c r="U208" s="1">
        <f t="shared" si="3"/>
        <v>0</v>
      </c>
    </row>
    <row r="209" spans="1:21">
      <c r="A209" s="5">
        <f>Signals_US!B209</f>
        <v>45352</v>
      </c>
      <c r="B209" s="1">
        <f>0</f>
        <v>0</v>
      </c>
      <c r="C209" s="1">
        <f>IF(Signals_US!F209=1,Signals_US!Q209*Mapping!$E$3,IF(Signals_US!F209=-1,-Signals_US!R209*Mapping!$E$3,0))</f>
        <v>1.666666666666667E-2</v>
      </c>
      <c r="D209" s="1">
        <f>IF(Signals_US!C209=1,Signals_US!Q209*Mapping!$E$4,IF(Signals_US!C209=-1,-Signals_US!R209*Mapping!$E$4,0))</f>
        <v>0</v>
      </c>
      <c r="E209" s="1">
        <f>IF(Signals_US!C209=1,Signals_US!Q209*Mapping!$E$5,IF(Signals_US!C209=-1,-Signals_US!R209*Mapping!$E$5,0))</f>
        <v>0</v>
      </c>
      <c r="F209" s="1">
        <f>IF(Signals_US!C209=1,Signals_US!Q209*Mapping!$E$6,IF(Signals_US!C209=-1,-Signals_US!R209*Mapping!$E$6,0))</f>
        <v>0</v>
      </c>
      <c r="G209" s="1">
        <f>IF(Signals_US!F209=1,Signals_US!Q209*Mapping!$E$7,IF(Signals_US!F209=-1,-Signals_US!R209*Mapping!$E$7,0))</f>
        <v>1.666666666666667E-2</v>
      </c>
      <c r="H209" s="1">
        <f>IF(Signals_US!D209=1,Signals_US!Q209*Mapping!$E$8,IF(Signals_US!D209=-1,-Signals_US!R209*Mapping!$E$8,0))</f>
        <v>0</v>
      </c>
      <c r="I209" s="1">
        <f>IF(Signals_US!G209=1,Signals_US!Q209*Mapping!$E$9,IF(Signals_US!G209=-1,-Signals_US!R209*Mapping!$E$9,0))</f>
        <v>0</v>
      </c>
      <c r="J209" s="1">
        <f>IF(Signals_US!H209=1,Signals_US!Q209*Mapping!$E$10,IF(Signals_US!H209=-1,-Signals_US!R209*Mapping!$E$10,0))</f>
        <v>-5.000000000000001E-2</v>
      </c>
      <c r="K209" s="1">
        <f>IF(Signals_US!F209=1,Signals_US!Q209*Mapping!$E$11,IF(Signals_US!F209=-1,-Signals_US!R209*Mapping!$E$11,0))</f>
        <v>1.666666666666667E-2</v>
      </c>
      <c r="L209" s="1">
        <f>IF(Signals_US!N209=1,Signals_US!Q209*Mapping!$E$12,IF(Signals_US!N209=-1,-Signals_US!R209*Mapping!$E$12,0))</f>
        <v>0</v>
      </c>
      <c r="M209" s="1">
        <f>IF(Signals_US!I209=1,Signals_US!Q209*Mapping!$E$13,IF(Signals_US!I209=-1,-Signals_US!R209*Mapping!$E$13,0))</f>
        <v>0</v>
      </c>
      <c r="N209" s="1">
        <f>0</f>
        <v>0</v>
      </c>
      <c r="O209" s="1">
        <f>0</f>
        <v>0</v>
      </c>
      <c r="P209" s="1">
        <f>IF(Signals_US!E209=1,Signals_US!Q209*Mapping!$E$16,IF(Signals_US!E209=-1,-Signals_US!R209*Mapping!$E$16,0))</f>
        <v>5.000000000000001E-2</v>
      </c>
      <c r="Q209" s="1">
        <f>IF(Signals_US!J209=1,Signals_US!Q209*Mapping!$E$17,IF(Signals_US!J209=-1,-Signals_US!R209*Mapping!$E$17,0))</f>
        <v>5.000000000000001E-2</v>
      </c>
      <c r="R209" s="1">
        <f>IF(Signals_US!K209=1,Signals_US!Q209*Mapping!$E$18,IF(Signals_US!K209=-1,-Signals_US!R209*Mapping!$E$18,0))</f>
        <v>-5.000000000000001E-2</v>
      </c>
      <c r="S209" s="1">
        <f>IF(Signals_US!M209=1,Signals_US!Q209*Mapping!$E$19,IF(Signals_US!M209=-1,-Signals_US!R209*Mapping!$E$19,0))</f>
        <v>0</v>
      </c>
      <c r="T209" s="1">
        <f>IF(Signals_US!L209=1,Signals_US!Q209*Mapping!$E$20,IF(Signals_US!L209=-1,-Signals_US!R209*Mapping!$E$20,0))</f>
        <v>-5.000000000000001E-2</v>
      </c>
      <c r="U209" s="1">
        <f t="shared" si="3"/>
        <v>0</v>
      </c>
    </row>
    <row r="210" spans="1:21">
      <c r="A210" s="5">
        <f>Signals_US!B210</f>
        <v>45383</v>
      </c>
      <c r="B210" s="1">
        <f>0</f>
        <v>0</v>
      </c>
      <c r="C210" s="1">
        <f>IF(Signals_US!F210=1,Signals_US!Q210*Mapping!$E$3,IF(Signals_US!F210=-1,-Signals_US!R210*Mapping!$E$3,0))</f>
        <v>1.666666666666667E-2</v>
      </c>
      <c r="D210" s="1">
        <f>IF(Signals_US!C210=1,Signals_US!Q210*Mapping!$E$4,IF(Signals_US!C210=-1,-Signals_US!R210*Mapping!$E$4,0))</f>
        <v>0</v>
      </c>
      <c r="E210" s="1">
        <f>IF(Signals_US!C210=1,Signals_US!Q210*Mapping!$E$5,IF(Signals_US!C210=-1,-Signals_US!R210*Mapping!$E$5,0))</f>
        <v>0</v>
      </c>
      <c r="F210" s="1">
        <f>IF(Signals_US!C210=1,Signals_US!Q210*Mapping!$E$6,IF(Signals_US!C210=-1,-Signals_US!R210*Mapping!$E$6,0))</f>
        <v>0</v>
      </c>
      <c r="G210" s="1">
        <f>IF(Signals_US!F210=1,Signals_US!Q210*Mapping!$E$7,IF(Signals_US!F210=-1,-Signals_US!R210*Mapping!$E$7,0))</f>
        <v>1.666666666666667E-2</v>
      </c>
      <c r="H210" s="1">
        <f>IF(Signals_US!D210=1,Signals_US!Q210*Mapping!$E$8,IF(Signals_US!D210=-1,-Signals_US!R210*Mapping!$E$8,0))</f>
        <v>0</v>
      </c>
      <c r="I210" s="1">
        <f>IF(Signals_US!G210=1,Signals_US!Q210*Mapping!$E$9,IF(Signals_US!G210=-1,-Signals_US!R210*Mapping!$E$9,0))</f>
        <v>0</v>
      </c>
      <c r="J210" s="1">
        <f>IF(Signals_US!H210=1,Signals_US!Q210*Mapping!$E$10,IF(Signals_US!H210=-1,-Signals_US!R210*Mapping!$E$10,0))</f>
        <v>-5.000000000000001E-2</v>
      </c>
      <c r="K210" s="1">
        <f>IF(Signals_US!F210=1,Signals_US!Q210*Mapping!$E$11,IF(Signals_US!F210=-1,-Signals_US!R210*Mapping!$E$11,0))</f>
        <v>1.666666666666667E-2</v>
      </c>
      <c r="L210" s="1">
        <f>IF(Signals_US!N210=1,Signals_US!Q210*Mapping!$E$12,IF(Signals_US!N210=-1,-Signals_US!R210*Mapping!$E$12,0))</f>
        <v>0</v>
      </c>
      <c r="M210" s="1">
        <f>IF(Signals_US!I210=1,Signals_US!Q210*Mapping!$E$13,IF(Signals_US!I210=-1,-Signals_US!R210*Mapping!$E$13,0))</f>
        <v>0</v>
      </c>
      <c r="N210" s="1">
        <f>0</f>
        <v>0</v>
      </c>
      <c r="O210" s="1">
        <f>0</f>
        <v>0</v>
      </c>
      <c r="P210" s="1">
        <f>IF(Signals_US!E210=1,Signals_US!Q210*Mapping!$E$16,IF(Signals_US!E210=-1,-Signals_US!R210*Mapping!$E$16,0))</f>
        <v>5.000000000000001E-2</v>
      </c>
      <c r="Q210" s="1">
        <f>IF(Signals_US!J210=1,Signals_US!Q210*Mapping!$E$17,IF(Signals_US!J210=-1,-Signals_US!R210*Mapping!$E$17,0))</f>
        <v>5.000000000000001E-2</v>
      </c>
      <c r="R210" s="1">
        <f>IF(Signals_US!K210=1,Signals_US!Q210*Mapping!$E$18,IF(Signals_US!K210=-1,-Signals_US!R210*Mapping!$E$18,0))</f>
        <v>-5.000000000000001E-2</v>
      </c>
      <c r="S210" s="1">
        <f>IF(Signals_US!M210=1,Signals_US!Q210*Mapping!$E$19,IF(Signals_US!M210=-1,-Signals_US!R210*Mapping!$E$19,0))</f>
        <v>0</v>
      </c>
      <c r="T210" s="1">
        <f>IF(Signals_US!L210=1,Signals_US!Q210*Mapping!$E$20,IF(Signals_US!L210=-1,-Signals_US!R210*Mapping!$E$20,0))</f>
        <v>-5.000000000000001E-2</v>
      </c>
      <c r="U210" s="1">
        <f t="shared" si="3"/>
        <v>0</v>
      </c>
    </row>
    <row r="211" spans="1:21">
      <c r="A211" s="5">
        <f>Signals_US!B211</f>
        <v>45413</v>
      </c>
      <c r="B211" s="1">
        <f>0</f>
        <v>0</v>
      </c>
      <c r="C211" s="1">
        <f>IF(Signals_US!F211=1,Signals_US!Q211*Mapping!$E$3,IF(Signals_US!F211=-1,-Signals_US!R211*Mapping!$E$3,0))</f>
        <v>1.666666666666667E-2</v>
      </c>
      <c r="D211" s="1">
        <f>IF(Signals_US!C211=1,Signals_US!Q211*Mapping!$E$4,IF(Signals_US!C211=-1,-Signals_US!R211*Mapping!$E$4,0))</f>
        <v>-1.666666666666667E-2</v>
      </c>
      <c r="E211" s="1">
        <f>IF(Signals_US!C211=1,Signals_US!Q211*Mapping!$E$5,IF(Signals_US!C211=-1,-Signals_US!R211*Mapping!$E$5,0))</f>
        <v>-1.666666666666667E-2</v>
      </c>
      <c r="F211" s="1">
        <f>IF(Signals_US!C211=1,Signals_US!Q211*Mapping!$E$6,IF(Signals_US!C211=-1,-Signals_US!R211*Mapping!$E$6,0))</f>
        <v>-1.666666666666667E-2</v>
      </c>
      <c r="G211" s="1">
        <f>IF(Signals_US!F211=1,Signals_US!Q211*Mapping!$E$7,IF(Signals_US!F211=-1,-Signals_US!R211*Mapping!$E$7,0))</f>
        <v>1.666666666666667E-2</v>
      </c>
      <c r="H211" s="1">
        <f>IF(Signals_US!D211=1,Signals_US!Q211*Mapping!$E$8,IF(Signals_US!D211=-1,-Signals_US!R211*Mapping!$E$8,0))</f>
        <v>5.000000000000001E-2</v>
      </c>
      <c r="I211" s="1">
        <f>IF(Signals_US!G211=1,Signals_US!Q211*Mapping!$E$9,IF(Signals_US!G211=-1,-Signals_US!R211*Mapping!$E$9,0))</f>
        <v>0</v>
      </c>
      <c r="J211" s="1">
        <f>IF(Signals_US!H211=1,Signals_US!Q211*Mapping!$E$10,IF(Signals_US!H211=-1,-Signals_US!R211*Mapping!$E$10,0))</f>
        <v>-5.000000000000001E-2</v>
      </c>
      <c r="K211" s="1">
        <f>IF(Signals_US!F211=1,Signals_US!Q211*Mapping!$E$11,IF(Signals_US!F211=-1,-Signals_US!R211*Mapping!$E$11,0))</f>
        <v>1.666666666666667E-2</v>
      </c>
      <c r="L211" s="1">
        <f>IF(Signals_US!N211=1,Signals_US!Q211*Mapping!$E$12,IF(Signals_US!N211=-1,-Signals_US!R211*Mapping!$E$12,0))</f>
        <v>0</v>
      </c>
      <c r="M211" s="1">
        <f>IF(Signals_US!I211=1,Signals_US!Q211*Mapping!$E$13,IF(Signals_US!I211=-1,-Signals_US!R211*Mapping!$E$13,0))</f>
        <v>5.000000000000001E-2</v>
      </c>
      <c r="N211" s="1">
        <f>0</f>
        <v>0</v>
      </c>
      <c r="O211" s="1">
        <f>0</f>
        <v>0</v>
      </c>
      <c r="P211" s="1">
        <f>IF(Signals_US!E211=1,Signals_US!Q211*Mapping!$E$16,IF(Signals_US!E211=-1,-Signals_US!R211*Mapping!$E$16,0))</f>
        <v>0</v>
      </c>
      <c r="Q211" s="1">
        <f>IF(Signals_US!J211=1,Signals_US!Q211*Mapping!$E$17,IF(Signals_US!J211=-1,-Signals_US!R211*Mapping!$E$17,0))</f>
        <v>0</v>
      </c>
      <c r="R211" s="1">
        <f>IF(Signals_US!K211=1,Signals_US!Q211*Mapping!$E$18,IF(Signals_US!K211=-1,-Signals_US!R211*Mapping!$E$18,0))</f>
        <v>-5.000000000000001E-2</v>
      </c>
      <c r="S211" s="1">
        <f>IF(Signals_US!M211=1,Signals_US!Q211*Mapping!$E$19,IF(Signals_US!M211=-1,-Signals_US!R211*Mapping!$E$19,0))</f>
        <v>0</v>
      </c>
      <c r="T211" s="1">
        <f>IF(Signals_US!L211=1,Signals_US!Q211*Mapping!$E$20,IF(Signals_US!L211=-1,-Signals_US!R211*Mapping!$E$20,0))</f>
        <v>0</v>
      </c>
      <c r="U211" s="1">
        <f t="shared" si="3"/>
        <v>0</v>
      </c>
    </row>
    <row r="212" spans="1:21">
      <c r="A212" s="5">
        <f>Signals_US!B212</f>
        <v>45444</v>
      </c>
      <c r="B212" s="1">
        <f>0</f>
        <v>0</v>
      </c>
      <c r="C212" s="1">
        <f>IF(Signals_US!F212=1,Signals_US!Q212*Mapping!$E$3,IF(Signals_US!F212=-1,-Signals_US!R212*Mapping!$E$3,0))</f>
        <v>1.666666666666667E-2</v>
      </c>
      <c r="D212" s="1">
        <f>IF(Signals_US!C212=1,Signals_US!Q212*Mapping!$E$4,IF(Signals_US!C212=-1,-Signals_US!R212*Mapping!$E$4,0))</f>
        <v>0</v>
      </c>
      <c r="E212" s="1">
        <f>IF(Signals_US!C212=1,Signals_US!Q212*Mapping!$E$5,IF(Signals_US!C212=-1,-Signals_US!R212*Mapping!$E$5,0))</f>
        <v>0</v>
      </c>
      <c r="F212" s="1">
        <f>IF(Signals_US!C212=1,Signals_US!Q212*Mapping!$E$6,IF(Signals_US!C212=-1,-Signals_US!R212*Mapping!$E$6,0))</f>
        <v>0</v>
      </c>
      <c r="G212" s="1">
        <f>IF(Signals_US!F212=1,Signals_US!Q212*Mapping!$E$7,IF(Signals_US!F212=-1,-Signals_US!R212*Mapping!$E$7,0))</f>
        <v>1.666666666666667E-2</v>
      </c>
      <c r="H212" s="1">
        <f>IF(Signals_US!D212=1,Signals_US!Q212*Mapping!$E$8,IF(Signals_US!D212=-1,-Signals_US!R212*Mapping!$E$8,0))</f>
        <v>0</v>
      </c>
      <c r="I212" s="1">
        <f>IF(Signals_US!G212=1,Signals_US!Q212*Mapping!$E$9,IF(Signals_US!G212=-1,-Signals_US!R212*Mapping!$E$9,0))</f>
        <v>-5.000000000000001E-2</v>
      </c>
      <c r="J212" s="1">
        <f>IF(Signals_US!H212=1,Signals_US!Q212*Mapping!$E$10,IF(Signals_US!H212=-1,-Signals_US!R212*Mapping!$E$10,0))</f>
        <v>0</v>
      </c>
      <c r="K212" s="1">
        <f>IF(Signals_US!F212=1,Signals_US!Q212*Mapping!$E$11,IF(Signals_US!F212=-1,-Signals_US!R212*Mapping!$E$11,0))</f>
        <v>1.666666666666667E-2</v>
      </c>
      <c r="L212" s="1">
        <f>IF(Signals_US!N212=1,Signals_US!Q212*Mapping!$E$12,IF(Signals_US!N212=-1,-Signals_US!R212*Mapping!$E$12,0))</f>
        <v>0</v>
      </c>
      <c r="M212" s="1">
        <f>IF(Signals_US!I212=1,Signals_US!Q212*Mapping!$E$13,IF(Signals_US!I212=-1,-Signals_US!R212*Mapping!$E$13,0))</f>
        <v>0</v>
      </c>
      <c r="N212" s="1">
        <f>0</f>
        <v>0</v>
      </c>
      <c r="O212" s="1">
        <f>0</f>
        <v>0</v>
      </c>
      <c r="P212" s="1">
        <f>IF(Signals_US!E212=1,Signals_US!Q212*Mapping!$E$16,IF(Signals_US!E212=-1,-Signals_US!R212*Mapping!$E$16,0))</f>
        <v>5.000000000000001E-2</v>
      </c>
      <c r="Q212" s="1">
        <f>IF(Signals_US!J212=1,Signals_US!Q212*Mapping!$E$17,IF(Signals_US!J212=-1,-Signals_US!R212*Mapping!$E$17,0))</f>
        <v>5.000000000000001E-2</v>
      </c>
      <c r="R212" s="1">
        <f>IF(Signals_US!K212=1,Signals_US!Q212*Mapping!$E$18,IF(Signals_US!K212=-1,-Signals_US!R212*Mapping!$E$18,0))</f>
        <v>-5.000000000000001E-2</v>
      </c>
      <c r="S212" s="1">
        <f>IF(Signals_US!M212=1,Signals_US!Q212*Mapping!$E$19,IF(Signals_US!M212=-1,-Signals_US!R212*Mapping!$E$19,0))</f>
        <v>0</v>
      </c>
      <c r="T212" s="1">
        <f>IF(Signals_US!L212=1,Signals_US!Q212*Mapping!$E$20,IF(Signals_US!L212=-1,-Signals_US!R212*Mapping!$E$20,0))</f>
        <v>-5.000000000000001E-2</v>
      </c>
      <c r="U212" s="1">
        <f t="shared" si="3"/>
        <v>0</v>
      </c>
    </row>
    <row r="213" spans="1:21">
      <c r="A213" s="5">
        <f>Signals_US!B213</f>
        <v>45474</v>
      </c>
      <c r="B213" s="1">
        <f>0</f>
        <v>0</v>
      </c>
      <c r="C213" s="1">
        <f>IF(Signals_US!F213=1,Signals_US!Q213*Mapping!$E$3,IF(Signals_US!F213=-1,-Signals_US!R213*Mapping!$E$3,0))</f>
        <v>0</v>
      </c>
      <c r="D213" s="1">
        <f>IF(Signals_US!C213=1,Signals_US!Q213*Mapping!$E$4,IF(Signals_US!C213=-1,-Signals_US!R213*Mapping!$E$4,0))</f>
        <v>0</v>
      </c>
      <c r="E213" s="1">
        <f>IF(Signals_US!C213=1,Signals_US!Q213*Mapping!$E$5,IF(Signals_US!C213=-1,-Signals_US!R213*Mapping!$E$5,0))</f>
        <v>0</v>
      </c>
      <c r="F213" s="1">
        <f>IF(Signals_US!C213=1,Signals_US!Q213*Mapping!$E$6,IF(Signals_US!C213=-1,-Signals_US!R213*Mapping!$E$6,0))</f>
        <v>0</v>
      </c>
      <c r="G213" s="1">
        <f>IF(Signals_US!F213=1,Signals_US!Q213*Mapping!$E$7,IF(Signals_US!F213=-1,-Signals_US!R213*Mapping!$E$7,0))</f>
        <v>0</v>
      </c>
      <c r="H213" s="1">
        <f>IF(Signals_US!D213=1,Signals_US!Q213*Mapping!$E$8,IF(Signals_US!D213=-1,-Signals_US!R213*Mapping!$E$8,0))</f>
        <v>-5.000000000000001E-2</v>
      </c>
      <c r="I213" s="1">
        <f>IF(Signals_US!G213=1,Signals_US!Q213*Mapping!$E$9,IF(Signals_US!G213=-1,-Signals_US!R213*Mapping!$E$9,0))</f>
        <v>-5.000000000000001E-2</v>
      </c>
      <c r="J213" s="1">
        <f>IF(Signals_US!H213=1,Signals_US!Q213*Mapping!$E$10,IF(Signals_US!H213=-1,-Signals_US!R213*Mapping!$E$10,0))</f>
        <v>0</v>
      </c>
      <c r="K213" s="1">
        <f>IF(Signals_US!F213=1,Signals_US!Q213*Mapping!$E$11,IF(Signals_US!F213=-1,-Signals_US!R213*Mapping!$E$11,0))</f>
        <v>0</v>
      </c>
      <c r="L213" s="1">
        <f>IF(Signals_US!N213=1,Signals_US!Q213*Mapping!$E$12,IF(Signals_US!N213=-1,-Signals_US!R213*Mapping!$E$12,0))</f>
        <v>0</v>
      </c>
      <c r="M213" s="1">
        <f>IF(Signals_US!I213=1,Signals_US!Q213*Mapping!$E$13,IF(Signals_US!I213=-1,-Signals_US!R213*Mapping!$E$13,0))</f>
        <v>5.000000000000001E-2</v>
      </c>
      <c r="N213" s="1">
        <f>0</f>
        <v>0</v>
      </c>
      <c r="O213" s="1">
        <f>0</f>
        <v>0</v>
      </c>
      <c r="P213" s="1">
        <f>IF(Signals_US!E213=1,Signals_US!Q213*Mapping!$E$16,IF(Signals_US!E213=-1,-Signals_US!R213*Mapping!$E$16,0))</f>
        <v>0</v>
      </c>
      <c r="Q213" s="1">
        <f>IF(Signals_US!J213=1,Signals_US!Q213*Mapping!$E$17,IF(Signals_US!J213=-1,-Signals_US!R213*Mapping!$E$17,0))</f>
        <v>5.000000000000001E-2</v>
      </c>
      <c r="R213" s="1">
        <f>IF(Signals_US!K213=1,Signals_US!Q213*Mapping!$E$18,IF(Signals_US!K213=-1,-Signals_US!R213*Mapping!$E$18,0))</f>
        <v>-5.000000000000001E-2</v>
      </c>
      <c r="S213" s="1">
        <f>IF(Signals_US!M213=1,Signals_US!Q213*Mapping!$E$19,IF(Signals_US!M213=-1,-Signals_US!R213*Mapping!$E$19,0))</f>
        <v>0</v>
      </c>
      <c r="T213" s="1">
        <f>IF(Signals_US!L213=1,Signals_US!Q213*Mapping!$E$20,IF(Signals_US!L213=-1,-Signals_US!R213*Mapping!$E$20,0))</f>
        <v>5.000000000000001E-2</v>
      </c>
      <c r="U213" s="1">
        <f t="shared" si="3"/>
        <v>0</v>
      </c>
    </row>
    <row r="214" spans="1:21">
      <c r="A214" s="5">
        <f>Signals_US!B214</f>
        <v>45505</v>
      </c>
      <c r="B214" s="1">
        <f>0</f>
        <v>0</v>
      </c>
      <c r="C214" s="1">
        <f>IF(Signals_US!F214=1,Signals_US!Q214*Mapping!$E$3,IF(Signals_US!F214=-1,-Signals_US!R214*Mapping!$E$3,0))</f>
        <v>1.666666666666667E-2</v>
      </c>
      <c r="D214" s="1">
        <f>IF(Signals_US!C214=1,Signals_US!Q214*Mapping!$E$4,IF(Signals_US!C214=-1,-Signals_US!R214*Mapping!$E$4,0))</f>
        <v>-1.666666666666667E-2</v>
      </c>
      <c r="E214" s="1">
        <f>IF(Signals_US!C214=1,Signals_US!Q214*Mapping!$E$5,IF(Signals_US!C214=-1,-Signals_US!R214*Mapping!$E$5,0))</f>
        <v>-1.666666666666667E-2</v>
      </c>
      <c r="F214" s="1">
        <f>IF(Signals_US!C214=1,Signals_US!Q214*Mapping!$E$6,IF(Signals_US!C214=-1,-Signals_US!R214*Mapping!$E$6,0))</f>
        <v>-1.666666666666667E-2</v>
      </c>
      <c r="G214" s="1">
        <f>IF(Signals_US!F214=1,Signals_US!Q214*Mapping!$E$7,IF(Signals_US!F214=-1,-Signals_US!R214*Mapping!$E$7,0))</f>
        <v>1.666666666666667E-2</v>
      </c>
      <c r="H214" s="1">
        <f>IF(Signals_US!D214=1,Signals_US!Q214*Mapping!$E$8,IF(Signals_US!D214=-1,-Signals_US!R214*Mapping!$E$8,0))</f>
        <v>0</v>
      </c>
      <c r="I214" s="1">
        <f>IF(Signals_US!G214=1,Signals_US!Q214*Mapping!$E$9,IF(Signals_US!G214=-1,-Signals_US!R214*Mapping!$E$9,0))</f>
        <v>0</v>
      </c>
      <c r="J214" s="1">
        <f>IF(Signals_US!H214=1,Signals_US!Q214*Mapping!$E$10,IF(Signals_US!H214=-1,-Signals_US!R214*Mapping!$E$10,0))</f>
        <v>0</v>
      </c>
      <c r="K214" s="1">
        <f>IF(Signals_US!F214=1,Signals_US!Q214*Mapping!$E$11,IF(Signals_US!F214=-1,-Signals_US!R214*Mapping!$E$11,0))</f>
        <v>1.666666666666667E-2</v>
      </c>
      <c r="L214" s="1">
        <f>IF(Signals_US!N214=1,Signals_US!Q214*Mapping!$E$12,IF(Signals_US!N214=-1,-Signals_US!R214*Mapping!$E$12,0))</f>
        <v>0</v>
      </c>
      <c r="M214" s="1">
        <f>IF(Signals_US!I214=1,Signals_US!Q214*Mapping!$E$13,IF(Signals_US!I214=-1,-Signals_US!R214*Mapping!$E$13,0))</f>
        <v>0</v>
      </c>
      <c r="N214" s="1">
        <f>0</f>
        <v>0</v>
      </c>
      <c r="O214" s="1">
        <f>0</f>
        <v>0</v>
      </c>
      <c r="P214" s="1">
        <f>IF(Signals_US!E214=1,Signals_US!Q214*Mapping!$E$16,IF(Signals_US!E214=-1,-Signals_US!R214*Mapping!$E$16,0))</f>
        <v>5.000000000000001E-2</v>
      </c>
      <c r="Q214" s="1">
        <f>IF(Signals_US!J214=1,Signals_US!Q214*Mapping!$E$17,IF(Signals_US!J214=-1,-Signals_US!R214*Mapping!$E$17,0))</f>
        <v>5.000000000000001E-2</v>
      </c>
      <c r="R214" s="1">
        <f>IF(Signals_US!K214=1,Signals_US!Q214*Mapping!$E$18,IF(Signals_US!K214=-1,-Signals_US!R214*Mapping!$E$18,0))</f>
        <v>-5.000000000000001E-2</v>
      </c>
      <c r="S214" s="1">
        <f>IF(Signals_US!M214=1,Signals_US!Q214*Mapping!$E$19,IF(Signals_US!M214=-1,-Signals_US!R214*Mapping!$E$19,0))</f>
        <v>0</v>
      </c>
      <c r="T214" s="1">
        <f>IF(Signals_US!L214=1,Signals_US!Q214*Mapping!$E$20,IF(Signals_US!L214=-1,-Signals_US!R214*Mapping!$E$20,0))</f>
        <v>-5.000000000000001E-2</v>
      </c>
      <c r="U214" s="1">
        <f t="shared" si="3"/>
        <v>0</v>
      </c>
    </row>
    <row r="215" spans="1:21">
      <c r="A215" s="5">
        <f>Signals_US!B215</f>
        <v>45536</v>
      </c>
      <c r="B215" s="1">
        <f>0</f>
        <v>0</v>
      </c>
      <c r="C215" s="1">
        <f>IF(Signals_US!F215=1,Signals_US!Q215*Mapping!$E$3,IF(Signals_US!F215=-1,-Signals_US!R215*Mapping!$E$3,0))</f>
        <v>1.666666666666667E-2</v>
      </c>
      <c r="D215" s="1">
        <f>IF(Signals_US!C215=1,Signals_US!Q215*Mapping!$E$4,IF(Signals_US!C215=-1,-Signals_US!R215*Mapping!$E$4,0))</f>
        <v>0</v>
      </c>
      <c r="E215" s="1">
        <f>IF(Signals_US!C215=1,Signals_US!Q215*Mapping!$E$5,IF(Signals_US!C215=-1,-Signals_US!R215*Mapping!$E$5,0))</f>
        <v>0</v>
      </c>
      <c r="F215" s="1">
        <f>IF(Signals_US!C215=1,Signals_US!Q215*Mapping!$E$6,IF(Signals_US!C215=-1,-Signals_US!R215*Mapping!$E$6,0))</f>
        <v>0</v>
      </c>
      <c r="G215" s="1">
        <f>IF(Signals_US!F215=1,Signals_US!Q215*Mapping!$E$7,IF(Signals_US!F215=-1,-Signals_US!R215*Mapping!$E$7,0))</f>
        <v>1.666666666666667E-2</v>
      </c>
      <c r="H215" s="1">
        <f>IF(Signals_US!D215=1,Signals_US!Q215*Mapping!$E$8,IF(Signals_US!D215=-1,-Signals_US!R215*Mapping!$E$8,0))</f>
        <v>-5.000000000000001E-2</v>
      </c>
      <c r="I215" s="1">
        <f>IF(Signals_US!G215=1,Signals_US!Q215*Mapping!$E$9,IF(Signals_US!G215=-1,-Signals_US!R215*Mapping!$E$9,0))</f>
        <v>-5.000000000000001E-2</v>
      </c>
      <c r="J215" s="1">
        <f>IF(Signals_US!H215=1,Signals_US!Q215*Mapping!$E$10,IF(Signals_US!H215=-1,-Signals_US!R215*Mapping!$E$10,0))</f>
        <v>0</v>
      </c>
      <c r="K215" s="1">
        <f>IF(Signals_US!F215=1,Signals_US!Q215*Mapping!$E$11,IF(Signals_US!F215=-1,-Signals_US!R215*Mapping!$E$11,0))</f>
        <v>1.666666666666667E-2</v>
      </c>
      <c r="L215" s="1">
        <f>IF(Signals_US!N215=1,Signals_US!Q215*Mapping!$E$12,IF(Signals_US!N215=-1,-Signals_US!R215*Mapping!$E$12,0))</f>
        <v>0</v>
      </c>
      <c r="M215" s="1">
        <f>IF(Signals_US!I215=1,Signals_US!Q215*Mapping!$E$13,IF(Signals_US!I215=-1,-Signals_US!R215*Mapping!$E$13,0))</f>
        <v>0</v>
      </c>
      <c r="N215" s="1">
        <f>0</f>
        <v>0</v>
      </c>
      <c r="O215" s="1">
        <f>0</f>
        <v>0</v>
      </c>
      <c r="P215" s="1">
        <f>IF(Signals_US!E215=1,Signals_US!Q215*Mapping!$E$16,IF(Signals_US!E215=-1,-Signals_US!R215*Mapping!$E$16,0))</f>
        <v>5.000000000000001E-2</v>
      </c>
      <c r="Q215" s="1">
        <f>IF(Signals_US!J215=1,Signals_US!Q215*Mapping!$E$17,IF(Signals_US!J215=-1,-Signals_US!R215*Mapping!$E$17,0))</f>
        <v>5.000000000000001E-2</v>
      </c>
      <c r="R215" s="1">
        <f>IF(Signals_US!K215=1,Signals_US!Q215*Mapping!$E$18,IF(Signals_US!K215=-1,-Signals_US!R215*Mapping!$E$18,0))</f>
        <v>-5.000000000000001E-2</v>
      </c>
      <c r="S215" s="1">
        <f>IF(Signals_US!M215=1,Signals_US!Q215*Mapping!$E$19,IF(Signals_US!M215=-1,-Signals_US!R215*Mapping!$E$19,0))</f>
        <v>0</v>
      </c>
      <c r="T215" s="1">
        <f>IF(Signals_US!L215=1,Signals_US!Q215*Mapping!$E$20,IF(Signals_US!L215=-1,-Signals_US!R215*Mapping!$E$20,0))</f>
        <v>0</v>
      </c>
      <c r="U215" s="1">
        <f t="shared" si="3"/>
        <v>0</v>
      </c>
    </row>
    <row r="216" spans="1:21">
      <c r="A216" s="5">
        <f>Signals_US!B216</f>
        <v>45566</v>
      </c>
      <c r="B216" s="1">
        <f>0</f>
        <v>0</v>
      </c>
      <c r="C216" s="1">
        <f>IF(Signals_US!F216=1,Signals_US!Q216*Mapping!$E$3,IF(Signals_US!F216=-1,-Signals_US!R216*Mapping!$E$3,0))</f>
        <v>1.666666666666667E-2</v>
      </c>
      <c r="D216" s="1">
        <f>IF(Signals_US!C216=1,Signals_US!Q216*Mapping!$E$4,IF(Signals_US!C216=-1,-Signals_US!R216*Mapping!$E$4,0))</f>
        <v>-1.666666666666667E-2</v>
      </c>
      <c r="E216" s="1">
        <f>IF(Signals_US!C216=1,Signals_US!Q216*Mapping!$E$5,IF(Signals_US!C216=-1,-Signals_US!R216*Mapping!$E$5,0))</f>
        <v>-1.666666666666667E-2</v>
      </c>
      <c r="F216" s="1">
        <f>IF(Signals_US!C216=1,Signals_US!Q216*Mapping!$E$6,IF(Signals_US!C216=-1,-Signals_US!R216*Mapping!$E$6,0))</f>
        <v>-1.666666666666667E-2</v>
      </c>
      <c r="G216" s="1">
        <f>IF(Signals_US!F216=1,Signals_US!Q216*Mapping!$E$7,IF(Signals_US!F216=-1,-Signals_US!R216*Mapping!$E$7,0))</f>
        <v>1.666666666666667E-2</v>
      </c>
      <c r="H216" s="1">
        <f>IF(Signals_US!D216=1,Signals_US!Q216*Mapping!$E$8,IF(Signals_US!D216=-1,-Signals_US!R216*Mapping!$E$8,0))</f>
        <v>0</v>
      </c>
      <c r="I216" s="1">
        <f>IF(Signals_US!G216=1,Signals_US!Q216*Mapping!$E$9,IF(Signals_US!G216=-1,-Signals_US!R216*Mapping!$E$9,0))</f>
        <v>0</v>
      </c>
      <c r="J216" s="1">
        <f>IF(Signals_US!H216=1,Signals_US!Q216*Mapping!$E$10,IF(Signals_US!H216=-1,-Signals_US!R216*Mapping!$E$10,0))</f>
        <v>0</v>
      </c>
      <c r="K216" s="1">
        <f>IF(Signals_US!F216=1,Signals_US!Q216*Mapping!$E$11,IF(Signals_US!F216=-1,-Signals_US!R216*Mapping!$E$11,0))</f>
        <v>1.666666666666667E-2</v>
      </c>
      <c r="L216" s="1">
        <f>IF(Signals_US!N216=1,Signals_US!Q216*Mapping!$E$12,IF(Signals_US!N216=-1,-Signals_US!R216*Mapping!$E$12,0))</f>
        <v>0</v>
      </c>
      <c r="M216" s="1">
        <f>IF(Signals_US!I216=1,Signals_US!Q216*Mapping!$E$13,IF(Signals_US!I216=-1,-Signals_US!R216*Mapping!$E$13,0))</f>
        <v>5.000000000000001E-2</v>
      </c>
      <c r="N216" s="1">
        <f>0</f>
        <v>0</v>
      </c>
      <c r="O216" s="1">
        <f>0</f>
        <v>0</v>
      </c>
      <c r="P216" s="1">
        <f>IF(Signals_US!E216=1,Signals_US!Q216*Mapping!$E$16,IF(Signals_US!E216=-1,-Signals_US!R216*Mapping!$E$16,0))</f>
        <v>0</v>
      </c>
      <c r="Q216" s="1">
        <f>IF(Signals_US!J216=1,Signals_US!Q216*Mapping!$E$17,IF(Signals_US!J216=-1,-Signals_US!R216*Mapping!$E$17,0))</f>
        <v>5.000000000000001E-2</v>
      </c>
      <c r="R216" s="1">
        <f>IF(Signals_US!K216=1,Signals_US!Q216*Mapping!$E$18,IF(Signals_US!K216=-1,-Signals_US!R216*Mapping!$E$18,0))</f>
        <v>-5.000000000000001E-2</v>
      </c>
      <c r="S216" s="1">
        <f>IF(Signals_US!M216=1,Signals_US!Q216*Mapping!$E$19,IF(Signals_US!M216=-1,-Signals_US!R216*Mapping!$E$19,0))</f>
        <v>0</v>
      </c>
      <c r="T216" s="1">
        <f>IF(Signals_US!L216=1,Signals_US!Q216*Mapping!$E$20,IF(Signals_US!L216=-1,-Signals_US!R216*Mapping!$E$20,0))</f>
        <v>-5.000000000000001E-2</v>
      </c>
      <c r="U216" s="1">
        <f t="shared" si="3"/>
        <v>0</v>
      </c>
    </row>
    <row r="217" spans="1:21">
      <c r="A217" s="5">
        <f>Signals_US!B217</f>
        <v>45597</v>
      </c>
      <c r="B217" s="1">
        <f>0</f>
        <v>0</v>
      </c>
      <c r="C217" s="1">
        <f>IF(Signals_US!F217=1,Signals_US!Q217*Mapping!$E$3,IF(Signals_US!F217=-1,-Signals_US!R217*Mapping!$E$3,0))</f>
        <v>1.666666666666667E-2</v>
      </c>
      <c r="D217" s="1">
        <f>IF(Signals_US!C217=1,Signals_US!Q217*Mapping!$E$4,IF(Signals_US!C217=-1,-Signals_US!R217*Mapping!$E$4,0))</f>
        <v>-1.666666666666667E-2</v>
      </c>
      <c r="E217" s="1">
        <f>IF(Signals_US!C217=1,Signals_US!Q217*Mapping!$E$5,IF(Signals_US!C217=-1,-Signals_US!R217*Mapping!$E$5,0))</f>
        <v>-1.666666666666667E-2</v>
      </c>
      <c r="F217" s="1">
        <f>IF(Signals_US!C217=1,Signals_US!Q217*Mapping!$E$6,IF(Signals_US!C217=-1,-Signals_US!R217*Mapping!$E$6,0))</f>
        <v>-1.666666666666667E-2</v>
      </c>
      <c r="G217" s="1">
        <f>IF(Signals_US!F217=1,Signals_US!Q217*Mapping!$E$7,IF(Signals_US!F217=-1,-Signals_US!R217*Mapping!$E$7,0))</f>
        <v>1.666666666666667E-2</v>
      </c>
      <c r="H217" s="1">
        <f>IF(Signals_US!D217=1,Signals_US!Q217*Mapping!$E$8,IF(Signals_US!D217=-1,-Signals_US!R217*Mapping!$E$8,0))</f>
        <v>0</v>
      </c>
      <c r="I217" s="1">
        <f>IF(Signals_US!G217=1,Signals_US!Q217*Mapping!$E$9,IF(Signals_US!G217=-1,-Signals_US!R217*Mapping!$E$9,0))</f>
        <v>-5.000000000000001E-2</v>
      </c>
      <c r="J217" s="1">
        <f>IF(Signals_US!H217=1,Signals_US!Q217*Mapping!$E$10,IF(Signals_US!H217=-1,-Signals_US!R217*Mapping!$E$10,0))</f>
        <v>0</v>
      </c>
      <c r="K217" s="1">
        <f>IF(Signals_US!F217=1,Signals_US!Q217*Mapping!$E$11,IF(Signals_US!F217=-1,-Signals_US!R217*Mapping!$E$11,0))</f>
        <v>1.666666666666667E-2</v>
      </c>
      <c r="L217" s="1">
        <f>IF(Signals_US!N217=1,Signals_US!Q217*Mapping!$E$12,IF(Signals_US!N217=-1,-Signals_US!R217*Mapping!$E$12,0))</f>
        <v>0</v>
      </c>
      <c r="M217" s="1">
        <f>IF(Signals_US!I217=1,Signals_US!Q217*Mapping!$E$13,IF(Signals_US!I217=-1,-Signals_US!R217*Mapping!$E$13,0))</f>
        <v>5.000000000000001E-2</v>
      </c>
      <c r="N217" s="1">
        <f>0</f>
        <v>0</v>
      </c>
      <c r="O217" s="1">
        <f>0</f>
        <v>0</v>
      </c>
      <c r="P217" s="1">
        <f>IF(Signals_US!E217=1,Signals_US!Q217*Mapping!$E$16,IF(Signals_US!E217=-1,-Signals_US!R217*Mapping!$E$16,0))</f>
        <v>0</v>
      </c>
      <c r="Q217" s="1">
        <f>IF(Signals_US!J217=1,Signals_US!Q217*Mapping!$E$17,IF(Signals_US!J217=-1,-Signals_US!R217*Mapping!$E$17,0))</f>
        <v>5.000000000000001E-2</v>
      </c>
      <c r="R217" s="1">
        <f>IF(Signals_US!K217=1,Signals_US!Q217*Mapping!$E$18,IF(Signals_US!K217=-1,-Signals_US!R217*Mapping!$E$18,0))</f>
        <v>0</v>
      </c>
      <c r="S217" s="1">
        <f>IF(Signals_US!M217=1,Signals_US!Q217*Mapping!$E$19,IF(Signals_US!M217=-1,-Signals_US!R217*Mapping!$E$19,0))</f>
        <v>0</v>
      </c>
      <c r="T217" s="1">
        <f>IF(Signals_US!L217=1,Signals_US!Q217*Mapping!$E$20,IF(Signals_US!L217=-1,-Signals_US!R217*Mapping!$E$20,0))</f>
        <v>-5.000000000000001E-2</v>
      </c>
      <c r="U217" s="1">
        <f t="shared" si="3"/>
        <v>0</v>
      </c>
    </row>
    <row r="218" spans="1:21">
      <c r="A218" s="5">
        <f>Signals_US!B218</f>
        <v>45627</v>
      </c>
      <c r="B218" s="1">
        <f>0</f>
        <v>0</v>
      </c>
      <c r="C218" s="1">
        <f>IF(Signals_US!F218=1,Signals_US!Q218*Mapping!$E$3,IF(Signals_US!F218=-1,-Signals_US!R218*Mapping!$E$3,0))</f>
        <v>0</v>
      </c>
      <c r="D218" s="1">
        <f>IF(Signals_US!C218=1,Signals_US!Q218*Mapping!$E$4,IF(Signals_US!C218=-1,-Signals_US!R218*Mapping!$E$4,0))</f>
        <v>0</v>
      </c>
      <c r="E218" s="1">
        <f>IF(Signals_US!C218=1,Signals_US!Q218*Mapping!$E$5,IF(Signals_US!C218=-1,-Signals_US!R218*Mapping!$E$5,0))</f>
        <v>0</v>
      </c>
      <c r="F218" s="1">
        <f>IF(Signals_US!C218=1,Signals_US!Q218*Mapping!$E$6,IF(Signals_US!C218=-1,-Signals_US!R218*Mapping!$E$6,0))</f>
        <v>0</v>
      </c>
      <c r="G218" s="1">
        <f>IF(Signals_US!F218=1,Signals_US!Q218*Mapping!$E$7,IF(Signals_US!F218=-1,-Signals_US!R218*Mapping!$E$7,0))</f>
        <v>0</v>
      </c>
      <c r="H218" s="1">
        <f>IF(Signals_US!D218=1,Signals_US!Q218*Mapping!$E$8,IF(Signals_US!D218=-1,-Signals_US!R218*Mapping!$E$8,0))</f>
        <v>-5.000000000000001E-2</v>
      </c>
      <c r="I218" s="1">
        <f>IF(Signals_US!G218=1,Signals_US!Q218*Mapping!$E$9,IF(Signals_US!G218=-1,-Signals_US!R218*Mapping!$E$9,0))</f>
        <v>0</v>
      </c>
      <c r="J218" s="1">
        <f>IF(Signals_US!H218=1,Signals_US!Q218*Mapping!$E$10,IF(Signals_US!H218=-1,-Signals_US!R218*Mapping!$E$10,0))</f>
        <v>0</v>
      </c>
      <c r="K218" s="1">
        <f>IF(Signals_US!F218=1,Signals_US!Q218*Mapping!$E$11,IF(Signals_US!F218=-1,-Signals_US!R218*Mapping!$E$11,0))</f>
        <v>0</v>
      </c>
      <c r="L218" s="1">
        <f>IF(Signals_US!N218=1,Signals_US!Q218*Mapping!$E$12,IF(Signals_US!N218=-1,-Signals_US!R218*Mapping!$E$12,0))</f>
        <v>-5.000000000000001E-2</v>
      </c>
      <c r="M218" s="1">
        <f>IF(Signals_US!I218=1,Signals_US!Q218*Mapping!$E$13,IF(Signals_US!I218=-1,-Signals_US!R218*Mapping!$E$13,0))</f>
        <v>5.000000000000001E-2</v>
      </c>
      <c r="N218" s="1">
        <f>0</f>
        <v>0</v>
      </c>
      <c r="O218" s="1">
        <f>0</f>
        <v>0</v>
      </c>
      <c r="P218" s="1">
        <f>IF(Signals_US!E218=1,Signals_US!Q218*Mapping!$E$16,IF(Signals_US!E218=-1,-Signals_US!R218*Mapping!$E$16,0))</f>
        <v>0</v>
      </c>
      <c r="Q218" s="1">
        <f>IF(Signals_US!J218=1,Signals_US!Q218*Mapping!$E$17,IF(Signals_US!J218=-1,-Signals_US!R218*Mapping!$E$17,0))</f>
        <v>5.000000000000001E-2</v>
      </c>
      <c r="R218" s="1">
        <f>IF(Signals_US!K218=1,Signals_US!Q218*Mapping!$E$18,IF(Signals_US!K218=-1,-Signals_US!R218*Mapping!$E$18,0))</f>
        <v>5.000000000000001E-2</v>
      </c>
      <c r="S218" s="1">
        <f>IF(Signals_US!M218=1,Signals_US!Q218*Mapping!$E$19,IF(Signals_US!M218=-1,-Signals_US!R218*Mapping!$E$19,0))</f>
        <v>0</v>
      </c>
      <c r="T218" s="1">
        <f>IF(Signals_US!L218=1,Signals_US!Q218*Mapping!$E$20,IF(Signals_US!L218=-1,-Signals_US!R218*Mapping!$E$20,0))</f>
        <v>-5.000000000000001E-2</v>
      </c>
      <c r="U218" s="1">
        <f t="shared" si="3"/>
        <v>0</v>
      </c>
    </row>
    <row r="219" spans="1:21">
      <c r="A219" s="5">
        <f>Signals_US!B219</f>
        <v>45658</v>
      </c>
      <c r="B219" s="1">
        <f>0</f>
        <v>0</v>
      </c>
      <c r="C219" s="1">
        <f>IF(Signals_US!F219=1,Signals_US!Q219*Mapping!$E$3,IF(Signals_US!F219=-1,-Signals_US!R219*Mapping!$E$3,0))</f>
        <v>0</v>
      </c>
      <c r="D219" s="1">
        <f>IF(Signals_US!C219=1,Signals_US!Q219*Mapping!$E$4,IF(Signals_US!C219=-1,-Signals_US!R219*Mapping!$E$4,0))</f>
        <v>-1.666666666666667E-2</v>
      </c>
      <c r="E219" s="1">
        <f>IF(Signals_US!C219=1,Signals_US!Q219*Mapping!$E$5,IF(Signals_US!C219=-1,-Signals_US!R219*Mapping!$E$5,0))</f>
        <v>-1.666666666666667E-2</v>
      </c>
      <c r="F219" s="1">
        <f>IF(Signals_US!C219=1,Signals_US!Q219*Mapping!$E$6,IF(Signals_US!C219=-1,-Signals_US!R219*Mapping!$E$6,0))</f>
        <v>-1.666666666666667E-2</v>
      </c>
      <c r="G219" s="1">
        <f>IF(Signals_US!F219=1,Signals_US!Q219*Mapping!$E$7,IF(Signals_US!F219=-1,-Signals_US!R219*Mapping!$E$7,0))</f>
        <v>0</v>
      </c>
      <c r="H219" s="1">
        <f>IF(Signals_US!D219=1,Signals_US!Q219*Mapping!$E$8,IF(Signals_US!D219=-1,-Signals_US!R219*Mapping!$E$8,0))</f>
        <v>-5.000000000000001E-2</v>
      </c>
      <c r="I219" s="1">
        <f>IF(Signals_US!G219=1,Signals_US!Q219*Mapping!$E$9,IF(Signals_US!G219=-1,-Signals_US!R219*Mapping!$E$9,0))</f>
        <v>5.000000000000001E-2</v>
      </c>
      <c r="J219" s="1">
        <f>IF(Signals_US!H219=1,Signals_US!Q219*Mapping!$E$10,IF(Signals_US!H219=-1,-Signals_US!R219*Mapping!$E$10,0))</f>
        <v>-5.000000000000001E-2</v>
      </c>
      <c r="K219" s="1">
        <f>IF(Signals_US!F219=1,Signals_US!Q219*Mapping!$E$11,IF(Signals_US!F219=-1,-Signals_US!R219*Mapping!$E$11,0))</f>
        <v>0</v>
      </c>
      <c r="L219" s="1">
        <f>IF(Signals_US!N219=1,Signals_US!Q219*Mapping!$E$12,IF(Signals_US!N219=-1,-Signals_US!R219*Mapping!$E$12,0))</f>
        <v>0</v>
      </c>
      <c r="M219" s="1">
        <f>IF(Signals_US!I219=1,Signals_US!Q219*Mapping!$E$13,IF(Signals_US!I219=-1,-Signals_US!R219*Mapping!$E$13,0))</f>
        <v>0</v>
      </c>
      <c r="N219" s="1">
        <f>0</f>
        <v>0</v>
      </c>
      <c r="O219" s="1">
        <f>0</f>
        <v>0</v>
      </c>
      <c r="P219" s="1">
        <f>IF(Signals_US!E219=1,Signals_US!Q219*Mapping!$E$16,IF(Signals_US!E219=-1,-Signals_US!R219*Mapping!$E$16,0))</f>
        <v>5.000000000000001E-2</v>
      </c>
      <c r="Q219" s="1">
        <f>IF(Signals_US!J219=1,Signals_US!Q219*Mapping!$E$17,IF(Signals_US!J219=-1,-Signals_US!R219*Mapping!$E$17,0))</f>
        <v>5.000000000000001E-2</v>
      </c>
      <c r="R219" s="1">
        <f>IF(Signals_US!K219=1,Signals_US!Q219*Mapping!$E$18,IF(Signals_US!K219=-1,-Signals_US!R219*Mapping!$E$18,0))</f>
        <v>0</v>
      </c>
      <c r="S219" s="1">
        <f>IF(Signals_US!M219=1,Signals_US!Q219*Mapping!$E$19,IF(Signals_US!M219=-1,-Signals_US!R219*Mapping!$E$19,0))</f>
        <v>0</v>
      </c>
      <c r="T219" s="1">
        <f>IF(Signals_US!L219=1,Signals_US!Q219*Mapping!$E$20,IF(Signals_US!L219=-1,-Signals_US!R219*Mapping!$E$20,0))</f>
        <v>0</v>
      </c>
      <c r="U219" s="1">
        <f t="shared" si="3"/>
        <v>0</v>
      </c>
    </row>
    <row r="220" spans="1:21">
      <c r="A220" s="5">
        <f>Signals_US!B220</f>
        <v>45689</v>
      </c>
      <c r="B220" s="1">
        <f>0</f>
        <v>0</v>
      </c>
      <c r="C220" s="1">
        <f>IF(Signals_US!F220=1,Signals_US!Q220*Mapping!$E$3,IF(Signals_US!F220=-1,-Signals_US!R220*Mapping!$E$3,0))</f>
        <v>0</v>
      </c>
      <c r="D220" s="1">
        <f>IF(Signals_US!C220=1,Signals_US!Q220*Mapping!$E$4,IF(Signals_US!C220=-1,-Signals_US!R220*Mapping!$E$4,0))</f>
        <v>-1.666666666666667E-2</v>
      </c>
      <c r="E220" s="1">
        <f>IF(Signals_US!C220=1,Signals_US!Q220*Mapping!$E$5,IF(Signals_US!C220=-1,-Signals_US!R220*Mapping!$E$5,0))</f>
        <v>-1.666666666666667E-2</v>
      </c>
      <c r="F220" s="1">
        <f>IF(Signals_US!C220=1,Signals_US!Q220*Mapping!$E$6,IF(Signals_US!C220=-1,-Signals_US!R220*Mapping!$E$6,0))</f>
        <v>-1.666666666666667E-2</v>
      </c>
      <c r="G220" s="1">
        <f>IF(Signals_US!F220=1,Signals_US!Q220*Mapping!$E$7,IF(Signals_US!F220=-1,-Signals_US!R220*Mapping!$E$7,0))</f>
        <v>0</v>
      </c>
      <c r="H220" s="1">
        <f>IF(Signals_US!D220=1,Signals_US!Q220*Mapping!$E$8,IF(Signals_US!D220=-1,-Signals_US!R220*Mapping!$E$8,0))</f>
        <v>-5.000000000000001E-2</v>
      </c>
      <c r="I220" s="1">
        <f>IF(Signals_US!G220=1,Signals_US!Q220*Mapping!$E$9,IF(Signals_US!G220=-1,-Signals_US!R220*Mapping!$E$9,0))</f>
        <v>0</v>
      </c>
      <c r="J220" s="1">
        <f>IF(Signals_US!H220=1,Signals_US!Q220*Mapping!$E$10,IF(Signals_US!H220=-1,-Signals_US!R220*Mapping!$E$10,0))</f>
        <v>0</v>
      </c>
      <c r="K220" s="1">
        <f>IF(Signals_US!F220=1,Signals_US!Q220*Mapping!$E$11,IF(Signals_US!F220=-1,-Signals_US!R220*Mapping!$E$11,0))</f>
        <v>0</v>
      </c>
      <c r="L220" s="1">
        <f>IF(Signals_US!N220=1,Signals_US!Q220*Mapping!$E$12,IF(Signals_US!N220=-1,-Signals_US!R220*Mapping!$E$12,0))</f>
        <v>0</v>
      </c>
      <c r="M220" s="1">
        <f>IF(Signals_US!I220=1,Signals_US!Q220*Mapping!$E$13,IF(Signals_US!I220=-1,-Signals_US!R220*Mapping!$E$13,0))</f>
        <v>5.000000000000001E-2</v>
      </c>
      <c r="N220" s="1">
        <f>0</f>
        <v>0</v>
      </c>
      <c r="O220" s="1">
        <f>0</f>
        <v>0</v>
      </c>
      <c r="P220" s="1">
        <f>IF(Signals_US!E220=1,Signals_US!Q220*Mapping!$E$16,IF(Signals_US!E220=-1,-Signals_US!R220*Mapping!$E$16,0))</f>
        <v>0</v>
      </c>
      <c r="Q220" s="1">
        <f>IF(Signals_US!J220=1,Signals_US!Q220*Mapping!$E$17,IF(Signals_US!J220=-1,-Signals_US!R220*Mapping!$E$17,0))</f>
        <v>5.000000000000001E-2</v>
      </c>
      <c r="R220" s="1">
        <f>IF(Signals_US!K220=1,Signals_US!Q220*Mapping!$E$18,IF(Signals_US!K220=-1,-Signals_US!R220*Mapping!$E$18,0))</f>
        <v>5.000000000000001E-2</v>
      </c>
      <c r="S220" s="1">
        <f>IF(Signals_US!M220=1,Signals_US!Q220*Mapping!$E$19,IF(Signals_US!M220=-1,-Signals_US!R220*Mapping!$E$19,0))</f>
        <v>0</v>
      </c>
      <c r="T220" s="1">
        <f>IF(Signals_US!L220=1,Signals_US!Q220*Mapping!$E$20,IF(Signals_US!L220=-1,-Signals_US!R220*Mapping!$E$20,0))</f>
        <v>-5.000000000000001E-2</v>
      </c>
      <c r="U220" s="1">
        <f t="shared" si="3"/>
        <v>0</v>
      </c>
    </row>
    <row r="221" spans="1:21">
      <c r="A221" s="5">
        <f>Signals_US!B221</f>
        <v>45717</v>
      </c>
      <c r="B221" s="1">
        <f>0</f>
        <v>0</v>
      </c>
      <c r="C221" s="1">
        <f>IF(Signals_US!F221=1,Signals_US!Q221*Mapping!$E$3,IF(Signals_US!F221=-1,-Signals_US!R221*Mapping!$E$3,0))</f>
        <v>0</v>
      </c>
      <c r="D221" s="1">
        <f>IF(Signals_US!C221=1,Signals_US!Q221*Mapping!$E$4,IF(Signals_US!C221=-1,-Signals_US!R221*Mapping!$E$4,0))</f>
        <v>-1.666666666666667E-2</v>
      </c>
      <c r="E221" s="1">
        <f>IF(Signals_US!C221=1,Signals_US!Q221*Mapping!$E$5,IF(Signals_US!C221=-1,-Signals_US!R221*Mapping!$E$5,0))</f>
        <v>-1.666666666666667E-2</v>
      </c>
      <c r="F221" s="1">
        <f>IF(Signals_US!C221=1,Signals_US!Q221*Mapping!$E$6,IF(Signals_US!C221=-1,-Signals_US!R221*Mapping!$E$6,0))</f>
        <v>-1.666666666666667E-2</v>
      </c>
      <c r="G221" s="1">
        <f>IF(Signals_US!F221=1,Signals_US!Q221*Mapping!$E$7,IF(Signals_US!F221=-1,-Signals_US!R221*Mapping!$E$7,0))</f>
        <v>0</v>
      </c>
      <c r="H221" s="1">
        <f>IF(Signals_US!D221=1,Signals_US!Q221*Mapping!$E$8,IF(Signals_US!D221=-1,-Signals_US!R221*Mapping!$E$8,0))</f>
        <v>-5.000000000000001E-2</v>
      </c>
      <c r="I221" s="1">
        <f>IF(Signals_US!G221=1,Signals_US!Q221*Mapping!$E$9,IF(Signals_US!G221=-1,-Signals_US!R221*Mapping!$E$9,0))</f>
        <v>0</v>
      </c>
      <c r="J221" s="1">
        <f>IF(Signals_US!H221=1,Signals_US!Q221*Mapping!$E$10,IF(Signals_US!H221=-1,-Signals_US!R221*Mapping!$E$10,0))</f>
        <v>0</v>
      </c>
      <c r="K221" s="1">
        <f>IF(Signals_US!F221=1,Signals_US!Q221*Mapping!$E$11,IF(Signals_US!F221=-1,-Signals_US!R221*Mapping!$E$11,0))</f>
        <v>0</v>
      </c>
      <c r="L221" s="1">
        <f>IF(Signals_US!N221=1,Signals_US!Q221*Mapping!$E$12,IF(Signals_US!N221=-1,-Signals_US!R221*Mapping!$E$12,0))</f>
        <v>0</v>
      </c>
      <c r="M221" s="1">
        <f>IF(Signals_US!I221=1,Signals_US!Q221*Mapping!$E$13,IF(Signals_US!I221=-1,-Signals_US!R221*Mapping!$E$13,0))</f>
        <v>5.000000000000001E-2</v>
      </c>
      <c r="N221" s="1">
        <f>0</f>
        <v>0</v>
      </c>
      <c r="O221" s="1">
        <f>0</f>
        <v>0</v>
      </c>
      <c r="P221" s="1">
        <f>IF(Signals_US!E221=1,Signals_US!Q221*Mapping!$E$16,IF(Signals_US!E221=-1,-Signals_US!R221*Mapping!$E$16,0))</f>
        <v>0</v>
      </c>
      <c r="Q221" s="1">
        <f>IF(Signals_US!J221=1,Signals_US!Q221*Mapping!$E$17,IF(Signals_US!J221=-1,-Signals_US!R221*Mapping!$E$17,0))</f>
        <v>5.000000000000001E-2</v>
      </c>
      <c r="R221" s="1">
        <f>IF(Signals_US!K221=1,Signals_US!Q221*Mapping!$E$18,IF(Signals_US!K221=-1,-Signals_US!R221*Mapping!$E$18,0))</f>
        <v>5.000000000000001E-2</v>
      </c>
      <c r="S221" s="1">
        <f>IF(Signals_US!M221=1,Signals_US!Q221*Mapping!$E$19,IF(Signals_US!M221=-1,-Signals_US!R221*Mapping!$E$19,0))</f>
        <v>0</v>
      </c>
      <c r="T221" s="1">
        <f>IF(Signals_US!L221=1,Signals_US!Q221*Mapping!$E$20,IF(Signals_US!L221=-1,-Signals_US!R221*Mapping!$E$20,0))</f>
        <v>-5.000000000000001E-2</v>
      </c>
      <c r="U221" s="1">
        <f t="shared" si="3"/>
        <v>0</v>
      </c>
    </row>
    <row r="222" spans="1:21">
      <c r="A222" s="5">
        <f>Signals_US!B222</f>
        <v>45748</v>
      </c>
      <c r="B222" s="1">
        <f>0</f>
        <v>0</v>
      </c>
      <c r="C222" s="1">
        <f>IF(Signals_US!F222=1,Signals_US!Q222*Mapping!$E$3,IF(Signals_US!F222=-1,-Signals_US!R222*Mapping!$E$3,0))</f>
        <v>0</v>
      </c>
      <c r="D222" s="1">
        <f>IF(Signals_US!C222=1,Signals_US!Q222*Mapping!$E$4,IF(Signals_US!C222=-1,-Signals_US!R222*Mapping!$E$4,0))</f>
        <v>-1.666666666666667E-2</v>
      </c>
      <c r="E222" s="1">
        <f>IF(Signals_US!C222=1,Signals_US!Q222*Mapping!$E$5,IF(Signals_US!C222=-1,-Signals_US!R222*Mapping!$E$5,0))</f>
        <v>-1.666666666666667E-2</v>
      </c>
      <c r="F222" s="1">
        <f>IF(Signals_US!C222=1,Signals_US!Q222*Mapping!$E$6,IF(Signals_US!C222=-1,-Signals_US!R222*Mapping!$E$6,0))</f>
        <v>-1.666666666666667E-2</v>
      </c>
      <c r="G222" s="1">
        <f>IF(Signals_US!F222=1,Signals_US!Q222*Mapping!$E$7,IF(Signals_US!F222=-1,-Signals_US!R222*Mapping!$E$7,0))</f>
        <v>0</v>
      </c>
      <c r="H222" s="1">
        <f>IF(Signals_US!D222=1,Signals_US!Q222*Mapping!$E$8,IF(Signals_US!D222=-1,-Signals_US!R222*Mapping!$E$8,0))</f>
        <v>-5.000000000000001E-2</v>
      </c>
      <c r="I222" s="1">
        <f>IF(Signals_US!G222=1,Signals_US!Q222*Mapping!$E$9,IF(Signals_US!G222=-1,-Signals_US!R222*Mapping!$E$9,0))</f>
        <v>0</v>
      </c>
      <c r="J222" s="1">
        <f>IF(Signals_US!H222=1,Signals_US!Q222*Mapping!$E$10,IF(Signals_US!H222=-1,-Signals_US!R222*Mapping!$E$10,0))</f>
        <v>5.000000000000001E-2</v>
      </c>
      <c r="K222" s="1">
        <f>IF(Signals_US!F222=1,Signals_US!Q222*Mapping!$E$11,IF(Signals_US!F222=-1,-Signals_US!R222*Mapping!$E$11,0))</f>
        <v>0</v>
      </c>
      <c r="L222" s="1">
        <f>IF(Signals_US!N222=1,Signals_US!Q222*Mapping!$E$12,IF(Signals_US!N222=-1,-Signals_US!R222*Mapping!$E$12,0))</f>
        <v>0</v>
      </c>
      <c r="M222" s="1">
        <f>IF(Signals_US!I222=1,Signals_US!Q222*Mapping!$E$13,IF(Signals_US!I222=-1,-Signals_US!R222*Mapping!$E$13,0))</f>
        <v>0</v>
      </c>
      <c r="N222" s="1">
        <f>0</f>
        <v>0</v>
      </c>
      <c r="O222" s="1">
        <f>0</f>
        <v>0</v>
      </c>
      <c r="P222" s="1">
        <f>IF(Signals_US!E222=1,Signals_US!Q222*Mapping!$E$16,IF(Signals_US!E222=-1,-Signals_US!R222*Mapping!$E$16,0))</f>
        <v>-5.000000000000001E-2</v>
      </c>
      <c r="Q222" s="1">
        <f>IF(Signals_US!J222=1,Signals_US!Q222*Mapping!$E$17,IF(Signals_US!J222=-1,-Signals_US!R222*Mapping!$E$17,0))</f>
        <v>5.000000000000001E-2</v>
      </c>
      <c r="R222" s="1">
        <f>IF(Signals_US!K222=1,Signals_US!Q222*Mapping!$E$18,IF(Signals_US!K222=-1,-Signals_US!R222*Mapping!$E$18,0))</f>
        <v>5.000000000000001E-2</v>
      </c>
      <c r="S222" s="1">
        <f>IF(Signals_US!M222=1,Signals_US!Q222*Mapping!$E$19,IF(Signals_US!M222=-1,-Signals_US!R222*Mapping!$E$19,0))</f>
        <v>0</v>
      </c>
      <c r="T222" s="1">
        <f>IF(Signals_US!L222=1,Signals_US!Q222*Mapping!$E$20,IF(Signals_US!L222=-1,-Signals_US!R222*Mapping!$E$20,0))</f>
        <v>0</v>
      </c>
      <c r="U222" s="1">
        <f t="shared" si="3"/>
        <v>0</v>
      </c>
    </row>
    <row r="223" spans="1:21">
      <c r="A223" s="5">
        <f>Signals_US!B223</f>
        <v>45778</v>
      </c>
      <c r="B223" s="1">
        <f>0</f>
        <v>0</v>
      </c>
      <c r="C223" s="1">
        <f>IF(Signals_US!F223=1,Signals_US!Q223*Mapping!$E$3,IF(Signals_US!F223=-1,-Signals_US!R223*Mapping!$E$3,0))</f>
        <v>0</v>
      </c>
      <c r="D223" s="1">
        <f>IF(Signals_US!C223=1,Signals_US!Q223*Mapping!$E$4,IF(Signals_US!C223=-1,-Signals_US!R223*Mapping!$E$4,0))</f>
        <v>-1.666666666666667E-2</v>
      </c>
      <c r="E223" s="1">
        <f>IF(Signals_US!C223=1,Signals_US!Q223*Mapping!$E$5,IF(Signals_US!C223=-1,-Signals_US!R223*Mapping!$E$5,0))</f>
        <v>-1.666666666666667E-2</v>
      </c>
      <c r="F223" s="1">
        <f>IF(Signals_US!C223=1,Signals_US!Q223*Mapping!$E$6,IF(Signals_US!C223=-1,-Signals_US!R223*Mapping!$E$6,0))</f>
        <v>-1.666666666666667E-2</v>
      </c>
      <c r="G223" s="1">
        <f>IF(Signals_US!F223=1,Signals_US!Q223*Mapping!$E$7,IF(Signals_US!F223=-1,-Signals_US!R223*Mapping!$E$7,0))</f>
        <v>0</v>
      </c>
      <c r="H223" s="1">
        <f>IF(Signals_US!D223=1,Signals_US!Q223*Mapping!$E$8,IF(Signals_US!D223=-1,-Signals_US!R223*Mapping!$E$8,0))</f>
        <v>-5.000000000000001E-2</v>
      </c>
      <c r="I223" s="1">
        <f>IF(Signals_US!G223=1,Signals_US!Q223*Mapping!$E$9,IF(Signals_US!G223=-1,-Signals_US!R223*Mapping!$E$9,0))</f>
        <v>0</v>
      </c>
      <c r="J223" s="1">
        <f>IF(Signals_US!H223=1,Signals_US!Q223*Mapping!$E$10,IF(Signals_US!H223=-1,-Signals_US!R223*Mapping!$E$10,0))</f>
        <v>5.000000000000001E-2</v>
      </c>
      <c r="K223" s="1">
        <f>IF(Signals_US!F223=1,Signals_US!Q223*Mapping!$E$11,IF(Signals_US!F223=-1,-Signals_US!R223*Mapping!$E$11,0))</f>
        <v>0</v>
      </c>
      <c r="L223" s="1">
        <f>IF(Signals_US!N223=1,Signals_US!Q223*Mapping!$E$12,IF(Signals_US!N223=-1,-Signals_US!R223*Mapping!$E$12,0))</f>
        <v>0</v>
      </c>
      <c r="M223" s="1">
        <f>IF(Signals_US!I223=1,Signals_US!Q223*Mapping!$E$13,IF(Signals_US!I223=-1,-Signals_US!R223*Mapping!$E$13,0))</f>
        <v>-5.000000000000001E-2</v>
      </c>
      <c r="N223" s="1">
        <f>0</f>
        <v>0</v>
      </c>
      <c r="O223" s="1">
        <f>0</f>
        <v>0</v>
      </c>
      <c r="P223" s="1">
        <f>IF(Signals_US!E223=1,Signals_US!Q223*Mapping!$E$16,IF(Signals_US!E223=-1,-Signals_US!R223*Mapping!$E$16,0))</f>
        <v>0</v>
      </c>
      <c r="Q223" s="1">
        <f>IF(Signals_US!J223=1,Signals_US!Q223*Mapping!$E$17,IF(Signals_US!J223=-1,-Signals_US!R223*Mapping!$E$17,0))</f>
        <v>5.000000000000001E-2</v>
      </c>
      <c r="R223" s="1">
        <f>IF(Signals_US!K223=1,Signals_US!Q223*Mapping!$E$18,IF(Signals_US!K223=-1,-Signals_US!R223*Mapping!$E$18,0))</f>
        <v>5.000000000000001E-2</v>
      </c>
      <c r="S223" s="1">
        <f>IF(Signals_US!M223=1,Signals_US!Q223*Mapping!$E$19,IF(Signals_US!M223=-1,-Signals_US!R223*Mapping!$E$19,0))</f>
        <v>0</v>
      </c>
      <c r="T223" s="1">
        <f>IF(Signals_US!L223=1,Signals_US!Q223*Mapping!$E$20,IF(Signals_US!L223=-1,-Signals_US!R223*Mapping!$E$20,0))</f>
        <v>0</v>
      </c>
      <c r="U223" s="1">
        <f t="shared" si="3"/>
        <v>0</v>
      </c>
    </row>
    <row r="224" spans="1:21">
      <c r="A224" s="5">
        <f>Signals_US!B224</f>
        <v>45809</v>
      </c>
      <c r="B224" s="1">
        <f>0</f>
        <v>0</v>
      </c>
      <c r="C224" s="1">
        <f>IF(Signals_US!F224=1,Signals_US!Q224*Mapping!$E$3,IF(Signals_US!F224=-1,-Signals_US!R224*Mapping!$E$3,0))</f>
        <v>0</v>
      </c>
      <c r="D224" s="1">
        <f>IF(Signals_US!C224=1,Signals_US!Q224*Mapping!$E$4,IF(Signals_US!C224=-1,-Signals_US!R224*Mapping!$E$4,0))</f>
        <v>0</v>
      </c>
      <c r="E224" s="1">
        <f>IF(Signals_US!C224=1,Signals_US!Q224*Mapping!$E$5,IF(Signals_US!C224=-1,-Signals_US!R224*Mapping!$E$5,0))</f>
        <v>0</v>
      </c>
      <c r="F224" s="1">
        <f>IF(Signals_US!C224=1,Signals_US!Q224*Mapping!$E$6,IF(Signals_US!C224=-1,-Signals_US!R224*Mapping!$E$6,0))</f>
        <v>0</v>
      </c>
      <c r="G224" s="1">
        <f>IF(Signals_US!F224=1,Signals_US!Q224*Mapping!$E$7,IF(Signals_US!F224=-1,-Signals_US!R224*Mapping!$E$7,0))</f>
        <v>0</v>
      </c>
      <c r="H224" s="1">
        <f>IF(Signals_US!D224=1,Signals_US!Q224*Mapping!$E$8,IF(Signals_US!D224=-1,-Signals_US!R224*Mapping!$E$8,0))</f>
        <v>-5.000000000000001E-2</v>
      </c>
      <c r="I224" s="1">
        <f>IF(Signals_US!G224=1,Signals_US!Q224*Mapping!$E$9,IF(Signals_US!G224=-1,-Signals_US!R224*Mapping!$E$9,0))</f>
        <v>0</v>
      </c>
      <c r="J224" s="1">
        <f>IF(Signals_US!H224=1,Signals_US!Q224*Mapping!$E$10,IF(Signals_US!H224=-1,-Signals_US!R224*Mapping!$E$10,0))</f>
        <v>-5.000000000000001E-2</v>
      </c>
      <c r="K224" s="1">
        <f>IF(Signals_US!F224=1,Signals_US!Q224*Mapping!$E$11,IF(Signals_US!F224=-1,-Signals_US!R224*Mapping!$E$11,0))</f>
        <v>0</v>
      </c>
      <c r="L224" s="1">
        <f>IF(Signals_US!N224=1,Signals_US!Q224*Mapping!$E$12,IF(Signals_US!N224=-1,-Signals_US!R224*Mapping!$E$12,0))</f>
        <v>5.000000000000001E-2</v>
      </c>
      <c r="M224" s="1">
        <f>IF(Signals_US!I224=1,Signals_US!Q224*Mapping!$E$13,IF(Signals_US!I224=-1,-Signals_US!R224*Mapping!$E$13,0))</f>
        <v>0</v>
      </c>
      <c r="N224" s="1">
        <f>0</f>
        <v>0</v>
      </c>
      <c r="O224" s="1">
        <f>0</f>
        <v>0</v>
      </c>
      <c r="P224" s="1">
        <f>IF(Signals_US!E224=1,Signals_US!Q224*Mapping!$E$16,IF(Signals_US!E224=-1,-Signals_US!R224*Mapping!$E$16,0))</f>
        <v>-5.000000000000001E-2</v>
      </c>
      <c r="Q224" s="1">
        <f>IF(Signals_US!J224=1,Signals_US!Q224*Mapping!$E$17,IF(Signals_US!J224=-1,-Signals_US!R224*Mapping!$E$17,0))</f>
        <v>5.000000000000001E-2</v>
      </c>
      <c r="R224" s="1">
        <f>IF(Signals_US!K224=1,Signals_US!Q224*Mapping!$E$18,IF(Signals_US!K224=-1,-Signals_US!R224*Mapping!$E$18,0))</f>
        <v>5.000000000000001E-2</v>
      </c>
      <c r="S224" s="1">
        <f>IF(Signals_US!M224=1,Signals_US!Q224*Mapping!$E$19,IF(Signals_US!M224=-1,-Signals_US!R224*Mapping!$E$19,0))</f>
        <v>0</v>
      </c>
      <c r="T224" s="1">
        <f>IF(Signals_US!L224=1,Signals_US!Q224*Mapping!$E$20,IF(Signals_US!L224=-1,-Signals_US!R224*Mapping!$E$20,0))</f>
        <v>0</v>
      </c>
      <c r="U224" s="1">
        <f t="shared" si="3"/>
        <v>0</v>
      </c>
    </row>
    <row r="225" spans="1:21">
      <c r="A225" s="5">
        <f>Signals_US!B225</f>
        <v>45839</v>
      </c>
      <c r="B225" s="1">
        <f>0</f>
        <v>0</v>
      </c>
      <c r="C225" s="1">
        <f>IF(Signals_US!F225=1,Signals_US!Q225*Mapping!$E$3,IF(Signals_US!F225=-1,-Signals_US!R225*Mapping!$E$3,0))</f>
        <v>1.666666666666667E-2</v>
      </c>
      <c r="D225" s="1">
        <f>IF(Signals_US!C225=1,Signals_US!Q225*Mapping!$E$4,IF(Signals_US!C225=-1,-Signals_US!R225*Mapping!$E$4,0))</f>
        <v>0</v>
      </c>
      <c r="E225" s="1">
        <f>IF(Signals_US!C225=1,Signals_US!Q225*Mapping!$E$5,IF(Signals_US!C225=-1,-Signals_US!R225*Mapping!$E$5,0))</f>
        <v>0</v>
      </c>
      <c r="F225" s="1">
        <f>IF(Signals_US!C225=1,Signals_US!Q225*Mapping!$E$6,IF(Signals_US!C225=-1,-Signals_US!R225*Mapping!$E$6,0))</f>
        <v>0</v>
      </c>
      <c r="G225" s="1">
        <f>IF(Signals_US!F225=1,Signals_US!Q225*Mapping!$E$7,IF(Signals_US!F225=-1,-Signals_US!R225*Mapping!$E$7,0))</f>
        <v>1.666666666666667E-2</v>
      </c>
      <c r="H225" s="1">
        <f>IF(Signals_US!D225=1,Signals_US!Q225*Mapping!$E$8,IF(Signals_US!D225=-1,-Signals_US!R225*Mapping!$E$8,0))</f>
        <v>-5.000000000000001E-2</v>
      </c>
      <c r="I225" s="1">
        <f>IF(Signals_US!G225=1,Signals_US!Q225*Mapping!$E$9,IF(Signals_US!G225=-1,-Signals_US!R225*Mapping!$E$9,0))</f>
        <v>0</v>
      </c>
      <c r="J225" s="1">
        <f>IF(Signals_US!H225=1,Signals_US!Q225*Mapping!$E$10,IF(Signals_US!H225=-1,-Signals_US!R225*Mapping!$E$10,0))</f>
        <v>0</v>
      </c>
      <c r="K225" s="1">
        <f>IF(Signals_US!F225=1,Signals_US!Q225*Mapping!$E$11,IF(Signals_US!F225=-1,-Signals_US!R225*Mapping!$E$11,0))</f>
        <v>1.666666666666667E-2</v>
      </c>
      <c r="L225" s="1">
        <f>IF(Signals_US!N225=1,Signals_US!Q225*Mapping!$E$12,IF(Signals_US!N225=-1,-Signals_US!R225*Mapping!$E$12,0))</f>
        <v>5.000000000000001E-2</v>
      </c>
      <c r="M225" s="1">
        <f>IF(Signals_US!I225=1,Signals_US!Q225*Mapping!$E$13,IF(Signals_US!I225=-1,-Signals_US!R225*Mapping!$E$13,0))</f>
        <v>-5.000000000000001E-2</v>
      </c>
      <c r="N225" s="1">
        <f>0</f>
        <v>0</v>
      </c>
      <c r="O225" s="1">
        <f>0</f>
        <v>0</v>
      </c>
      <c r="P225" s="1">
        <f>IF(Signals_US!E225=1,Signals_US!Q225*Mapping!$E$16,IF(Signals_US!E225=-1,-Signals_US!R225*Mapping!$E$16,0))</f>
        <v>0</v>
      </c>
      <c r="Q225" s="1">
        <f>IF(Signals_US!J225=1,Signals_US!Q225*Mapping!$E$17,IF(Signals_US!J225=-1,-Signals_US!R225*Mapping!$E$17,0))</f>
        <v>-5.000000000000001E-2</v>
      </c>
      <c r="R225" s="1">
        <f>IF(Signals_US!K225=1,Signals_US!Q225*Mapping!$E$18,IF(Signals_US!K225=-1,-Signals_US!R225*Mapping!$E$18,0))</f>
        <v>5.000000000000001E-2</v>
      </c>
      <c r="S225" s="1">
        <f>IF(Signals_US!M225=1,Signals_US!Q225*Mapping!$E$19,IF(Signals_US!M225=-1,-Signals_US!R225*Mapping!$E$19,0))</f>
        <v>0</v>
      </c>
      <c r="T225" s="1">
        <f>IF(Signals_US!L225=1,Signals_US!Q225*Mapping!$E$20,IF(Signals_US!L225=-1,-Signals_US!R225*Mapping!$E$20,0))</f>
        <v>0</v>
      </c>
      <c r="U225" s="1">
        <f t="shared" si="3"/>
        <v>0</v>
      </c>
    </row>
    <row r="226" spans="1:21">
      <c r="A226" s="5">
        <f>Signals_US!B226</f>
        <v>45870</v>
      </c>
      <c r="B226" s="1">
        <f>0</f>
        <v>0</v>
      </c>
      <c r="C226" s="1">
        <f>IF(Signals_US!F226=1,Signals_US!Q226*Mapping!$E$3,IF(Signals_US!F226=-1,-Signals_US!R226*Mapping!$E$3,0))</f>
        <v>1.666666666666667E-2</v>
      </c>
      <c r="D226" s="1">
        <f>IF(Signals_US!C226=1,Signals_US!Q226*Mapping!$E$4,IF(Signals_US!C226=-1,-Signals_US!R226*Mapping!$E$4,0))</f>
        <v>0</v>
      </c>
      <c r="E226" s="1">
        <f>IF(Signals_US!C226=1,Signals_US!Q226*Mapping!$E$5,IF(Signals_US!C226=-1,-Signals_US!R226*Mapping!$E$5,0))</f>
        <v>0</v>
      </c>
      <c r="F226" s="1">
        <f>IF(Signals_US!C226=1,Signals_US!Q226*Mapping!$E$6,IF(Signals_US!C226=-1,-Signals_US!R226*Mapping!$E$6,0))</f>
        <v>0</v>
      </c>
      <c r="G226" s="1">
        <f>IF(Signals_US!F226=1,Signals_US!Q226*Mapping!$E$7,IF(Signals_US!F226=-1,-Signals_US!R226*Mapping!$E$7,0))</f>
        <v>1.666666666666667E-2</v>
      </c>
      <c r="H226" s="1">
        <f>IF(Signals_US!D226=1,Signals_US!Q226*Mapping!$E$8,IF(Signals_US!D226=-1,-Signals_US!R226*Mapping!$E$8,0))</f>
        <v>0</v>
      </c>
      <c r="I226" s="1">
        <f>IF(Signals_US!G226=1,Signals_US!Q226*Mapping!$E$9,IF(Signals_US!G226=-1,-Signals_US!R226*Mapping!$E$9,0))</f>
        <v>0</v>
      </c>
      <c r="J226" s="1">
        <f>IF(Signals_US!H226=1,Signals_US!Q226*Mapping!$E$10,IF(Signals_US!H226=-1,-Signals_US!R226*Mapping!$E$10,0))</f>
        <v>0</v>
      </c>
      <c r="K226" s="1">
        <f>IF(Signals_US!F226=1,Signals_US!Q226*Mapping!$E$11,IF(Signals_US!F226=-1,-Signals_US!R226*Mapping!$E$11,0))</f>
        <v>1.666666666666667E-2</v>
      </c>
      <c r="L226" s="1">
        <f>IF(Signals_US!N226=1,Signals_US!Q226*Mapping!$E$12,IF(Signals_US!N226=-1,-Signals_US!R226*Mapping!$E$12,0))</f>
        <v>0</v>
      </c>
      <c r="M226" s="1">
        <f>IF(Signals_US!I226=1,Signals_US!Q226*Mapping!$E$13,IF(Signals_US!I226=-1,-Signals_US!R226*Mapping!$E$13,0))</f>
        <v>-5.000000000000001E-2</v>
      </c>
      <c r="N226" s="1">
        <f>0</f>
        <v>0</v>
      </c>
      <c r="O226" s="1">
        <f>0</f>
        <v>0</v>
      </c>
      <c r="P226" s="1">
        <f>IF(Signals_US!E226=1,Signals_US!Q226*Mapping!$E$16,IF(Signals_US!E226=-1,-Signals_US!R226*Mapping!$E$16,0))</f>
        <v>-5.000000000000001E-2</v>
      </c>
      <c r="Q226" s="1">
        <f>IF(Signals_US!J226=1,Signals_US!Q226*Mapping!$E$17,IF(Signals_US!J226=-1,-Signals_US!R226*Mapping!$E$17,0))</f>
        <v>5.000000000000001E-2</v>
      </c>
      <c r="R226" s="1">
        <f>IF(Signals_US!K226=1,Signals_US!Q226*Mapping!$E$18,IF(Signals_US!K226=-1,-Signals_US!R226*Mapping!$E$18,0))</f>
        <v>5.000000000000001E-2</v>
      </c>
      <c r="S226" s="1">
        <f>IF(Signals_US!M226=1,Signals_US!Q226*Mapping!$E$19,IF(Signals_US!M226=-1,-Signals_US!R226*Mapping!$E$19,0))</f>
        <v>0</v>
      </c>
      <c r="T226" s="1">
        <f>IF(Signals_US!L226=1,Signals_US!Q226*Mapping!$E$20,IF(Signals_US!L226=-1,-Signals_US!R226*Mapping!$E$20,0))</f>
        <v>-5.000000000000001E-2</v>
      </c>
      <c r="U226" s="1">
        <f t="shared" si="3"/>
        <v>0</v>
      </c>
    </row>
    <row r="227" spans="1:21">
      <c r="A227" s="5">
        <f>Signals_US!B227</f>
        <v>45901</v>
      </c>
      <c r="B227" s="1">
        <f>0</f>
        <v>0</v>
      </c>
      <c r="C227" s="1">
        <f>IF(Signals_US!F227=1,Signals_US!Q227*Mapping!$E$3,IF(Signals_US!F227=-1,-Signals_US!R227*Mapping!$E$3,0))</f>
        <v>1.666666666666667E-2</v>
      </c>
      <c r="D227" s="1">
        <f>IF(Signals_US!C227=1,Signals_US!Q227*Mapping!$E$4,IF(Signals_US!C227=-1,-Signals_US!R227*Mapping!$E$4,0))</f>
        <v>-1.666666666666667E-2</v>
      </c>
      <c r="E227" s="1">
        <f>IF(Signals_US!C227=1,Signals_US!Q227*Mapping!$E$5,IF(Signals_US!C227=-1,-Signals_US!R227*Mapping!$E$5,0))</f>
        <v>-1.666666666666667E-2</v>
      </c>
      <c r="F227" s="1">
        <f>IF(Signals_US!C227=1,Signals_US!Q227*Mapping!$E$6,IF(Signals_US!C227=-1,-Signals_US!R227*Mapping!$E$6,0))</f>
        <v>-1.666666666666667E-2</v>
      </c>
      <c r="G227" s="1">
        <f>IF(Signals_US!F227=1,Signals_US!Q227*Mapping!$E$7,IF(Signals_US!F227=-1,-Signals_US!R227*Mapping!$E$7,0))</f>
        <v>1.666666666666667E-2</v>
      </c>
      <c r="H227" s="1">
        <f>IF(Signals_US!D227=1,Signals_US!Q227*Mapping!$E$8,IF(Signals_US!D227=-1,-Signals_US!R227*Mapping!$E$8,0))</f>
        <v>-5.000000000000001E-2</v>
      </c>
      <c r="I227" s="1">
        <f>IF(Signals_US!G227=1,Signals_US!Q227*Mapping!$E$9,IF(Signals_US!G227=-1,-Signals_US!R227*Mapping!$E$9,0))</f>
        <v>0</v>
      </c>
      <c r="J227" s="1">
        <f>IF(Signals_US!H227=1,Signals_US!Q227*Mapping!$E$10,IF(Signals_US!H227=-1,-Signals_US!R227*Mapping!$E$10,0))</f>
        <v>0</v>
      </c>
      <c r="K227" s="1">
        <f>IF(Signals_US!F227=1,Signals_US!Q227*Mapping!$E$11,IF(Signals_US!F227=-1,-Signals_US!R227*Mapping!$E$11,0))</f>
        <v>1.666666666666667E-2</v>
      </c>
      <c r="L227" s="1">
        <f>IF(Signals_US!N227=1,Signals_US!Q227*Mapping!$E$12,IF(Signals_US!N227=-1,-Signals_US!R227*Mapping!$E$12,0))</f>
        <v>5.000000000000001E-2</v>
      </c>
      <c r="M227" s="1">
        <f>IF(Signals_US!I227=1,Signals_US!Q227*Mapping!$E$13,IF(Signals_US!I227=-1,-Signals_US!R227*Mapping!$E$13,0))</f>
        <v>-5.000000000000001E-2</v>
      </c>
      <c r="N227" s="1">
        <f>0</f>
        <v>0</v>
      </c>
      <c r="O227" s="1">
        <f>0</f>
        <v>0</v>
      </c>
      <c r="P227" s="1">
        <f>IF(Signals_US!E227=1,Signals_US!Q227*Mapping!$E$16,IF(Signals_US!E227=-1,-Signals_US!R227*Mapping!$E$16,0))</f>
        <v>0</v>
      </c>
      <c r="Q227" s="1">
        <f>IF(Signals_US!J227=1,Signals_US!Q227*Mapping!$E$17,IF(Signals_US!J227=-1,-Signals_US!R227*Mapping!$E$17,0))</f>
        <v>5.000000000000001E-2</v>
      </c>
      <c r="R227" s="1">
        <f>IF(Signals_US!K227=1,Signals_US!Q227*Mapping!$E$18,IF(Signals_US!K227=-1,-Signals_US!R227*Mapping!$E$18,0))</f>
        <v>0</v>
      </c>
      <c r="S227" s="1">
        <f>IF(Signals_US!M227=1,Signals_US!Q227*Mapping!$E$19,IF(Signals_US!M227=-1,-Signals_US!R227*Mapping!$E$19,0))</f>
        <v>0</v>
      </c>
      <c r="T227" s="1">
        <f>IF(Signals_US!L227=1,Signals_US!Q227*Mapping!$E$20,IF(Signals_US!L227=-1,-Signals_US!R227*Mapping!$E$20,0))</f>
        <v>0</v>
      </c>
      <c r="U227" s="1">
        <f t="shared" si="3"/>
        <v>0</v>
      </c>
    </row>
    <row r="228" spans="1:21">
      <c r="A228" s="5">
        <f>Signals_US!B228</f>
        <v>45931</v>
      </c>
      <c r="B228" s="1">
        <f>0</f>
        <v>0</v>
      </c>
      <c r="C228" s="1">
        <f>IF(Signals_US!F228=1,Signals_US!Q228*Mapping!$E$3,IF(Signals_US!F228=-1,-Signals_US!R228*Mapping!$E$3,0))</f>
        <v>1.666666666666667E-2</v>
      </c>
      <c r="D228" s="1">
        <f>IF(Signals_US!C228=1,Signals_US!Q228*Mapping!$E$4,IF(Signals_US!C228=-1,-Signals_US!R228*Mapping!$E$4,0))</f>
        <v>0</v>
      </c>
      <c r="E228" s="1">
        <f>IF(Signals_US!C228=1,Signals_US!Q228*Mapping!$E$5,IF(Signals_US!C228=-1,-Signals_US!R228*Mapping!$E$5,0))</f>
        <v>0</v>
      </c>
      <c r="F228" s="1">
        <f>IF(Signals_US!C228=1,Signals_US!Q228*Mapping!$E$6,IF(Signals_US!C228=-1,-Signals_US!R228*Mapping!$E$6,0))</f>
        <v>0</v>
      </c>
      <c r="G228" s="1">
        <f>IF(Signals_US!F228=1,Signals_US!Q228*Mapping!$E$7,IF(Signals_US!F228=-1,-Signals_US!R228*Mapping!$E$7,0))</f>
        <v>1.666666666666667E-2</v>
      </c>
      <c r="H228" s="1">
        <f>IF(Signals_US!D228=1,Signals_US!Q228*Mapping!$E$8,IF(Signals_US!D228=-1,-Signals_US!R228*Mapping!$E$8,0))</f>
        <v>5.000000000000001E-2</v>
      </c>
      <c r="I228" s="1">
        <f>IF(Signals_US!G228=1,Signals_US!Q228*Mapping!$E$9,IF(Signals_US!G228=-1,-Signals_US!R228*Mapping!$E$9,0))</f>
        <v>-5.000000000000001E-2</v>
      </c>
      <c r="J228" s="1">
        <f>IF(Signals_US!H228=1,Signals_US!Q228*Mapping!$E$10,IF(Signals_US!H228=-1,-Signals_US!R228*Mapping!$E$10,0))</f>
        <v>0</v>
      </c>
      <c r="K228" s="1">
        <f>IF(Signals_US!F228=1,Signals_US!Q228*Mapping!$E$11,IF(Signals_US!F228=-1,-Signals_US!R228*Mapping!$E$11,0))</f>
        <v>1.666666666666667E-2</v>
      </c>
      <c r="L228" s="1">
        <f>IF(Signals_US!N228=1,Signals_US!Q228*Mapping!$E$12,IF(Signals_US!N228=-1,-Signals_US!R228*Mapping!$E$12,0))</f>
        <v>0</v>
      </c>
      <c r="M228" s="1">
        <f>IF(Signals_US!I228=1,Signals_US!Q228*Mapping!$E$13,IF(Signals_US!I228=-1,-Signals_US!R228*Mapping!$E$13,0))</f>
        <v>-5.000000000000001E-2</v>
      </c>
      <c r="N228" s="1">
        <f>0</f>
        <v>0</v>
      </c>
      <c r="O228" s="1">
        <f>0</f>
        <v>0</v>
      </c>
      <c r="P228" s="1">
        <f>IF(Signals_US!E228=1,Signals_US!Q228*Mapping!$E$16,IF(Signals_US!E228=-1,-Signals_US!R228*Mapping!$E$16,0))</f>
        <v>0</v>
      </c>
      <c r="Q228" s="1">
        <f>IF(Signals_US!J228=1,Signals_US!Q228*Mapping!$E$17,IF(Signals_US!J228=-1,-Signals_US!R228*Mapping!$E$17,0))</f>
        <v>5.000000000000001E-2</v>
      </c>
      <c r="R228" s="1">
        <f>IF(Signals_US!K228=1,Signals_US!Q228*Mapping!$E$18,IF(Signals_US!K228=-1,-Signals_US!R228*Mapping!$E$18,0))</f>
        <v>0</v>
      </c>
      <c r="S228" s="1">
        <f>IF(Signals_US!M228=1,Signals_US!Q228*Mapping!$E$19,IF(Signals_US!M228=-1,-Signals_US!R228*Mapping!$E$19,0))</f>
        <v>0</v>
      </c>
      <c r="T228" s="1">
        <f>IF(Signals_US!L228=1,Signals_US!Q228*Mapping!$E$20,IF(Signals_US!L228=-1,-Signals_US!R228*Mapping!$E$20,0))</f>
        <v>-5.000000000000001E-2</v>
      </c>
      <c r="U228" s="1">
        <f t="shared" si="3"/>
        <v>0</v>
      </c>
    </row>
    <row r="229" spans="1:21">
      <c r="A229" s="5">
        <f>Signals_US!B229</f>
        <v>45962</v>
      </c>
      <c r="B229" s="1">
        <f>0</f>
        <v>0</v>
      </c>
      <c r="C229" s="1">
        <f>IF(Signals_US!F229=1,Signals_US!Q229*Mapping!$E$3,IF(Signals_US!F229=-1,-Signals_US!R229*Mapping!$E$3,0))</f>
        <v>1.666666666666667E-2</v>
      </c>
      <c r="D229" s="1">
        <f>IF(Signals_US!C229=1,Signals_US!Q229*Mapping!$E$4,IF(Signals_US!C229=-1,-Signals_US!R229*Mapping!$E$4,0))</f>
        <v>0</v>
      </c>
      <c r="E229" s="1">
        <f>IF(Signals_US!C229=1,Signals_US!Q229*Mapping!$E$5,IF(Signals_US!C229=-1,-Signals_US!R229*Mapping!$E$5,0))</f>
        <v>0</v>
      </c>
      <c r="F229" s="1">
        <f>IF(Signals_US!C229=1,Signals_US!Q229*Mapping!$E$6,IF(Signals_US!C229=-1,-Signals_US!R229*Mapping!$E$6,0))</f>
        <v>0</v>
      </c>
      <c r="G229" s="1">
        <f>IF(Signals_US!F229=1,Signals_US!Q229*Mapping!$E$7,IF(Signals_US!F229=-1,-Signals_US!R229*Mapping!$E$7,0))</f>
        <v>1.666666666666667E-2</v>
      </c>
      <c r="H229" s="1">
        <f>IF(Signals_US!D229=1,Signals_US!Q229*Mapping!$E$8,IF(Signals_US!D229=-1,-Signals_US!R229*Mapping!$E$8,0))</f>
        <v>0</v>
      </c>
      <c r="I229" s="1">
        <f>IF(Signals_US!G229=1,Signals_US!Q229*Mapping!$E$9,IF(Signals_US!G229=-1,-Signals_US!R229*Mapping!$E$9,0))</f>
        <v>0</v>
      </c>
      <c r="J229" s="1">
        <f>IF(Signals_US!H229=1,Signals_US!Q229*Mapping!$E$10,IF(Signals_US!H229=-1,-Signals_US!R229*Mapping!$E$10,0))</f>
        <v>-5.000000000000001E-2</v>
      </c>
      <c r="K229" s="1">
        <f>IF(Signals_US!F229=1,Signals_US!Q229*Mapping!$E$11,IF(Signals_US!F229=-1,-Signals_US!R229*Mapping!$E$11,0))</f>
        <v>1.666666666666667E-2</v>
      </c>
      <c r="L229" s="1">
        <f>IF(Signals_US!N229=1,Signals_US!Q229*Mapping!$E$12,IF(Signals_US!N229=-1,-Signals_US!R229*Mapping!$E$12,0))</f>
        <v>0</v>
      </c>
      <c r="M229" s="1">
        <f>IF(Signals_US!I229=1,Signals_US!Q229*Mapping!$E$13,IF(Signals_US!I229=-1,-Signals_US!R229*Mapping!$E$13,0))</f>
        <v>-5.000000000000001E-2</v>
      </c>
      <c r="N229" s="1">
        <f>0</f>
        <v>0</v>
      </c>
      <c r="O229" s="1">
        <f>0</f>
        <v>0</v>
      </c>
      <c r="P229" s="1">
        <f>IF(Signals_US!E229=1,Signals_US!Q229*Mapping!$E$16,IF(Signals_US!E229=-1,-Signals_US!R229*Mapping!$E$16,0))</f>
        <v>5.000000000000001E-2</v>
      </c>
      <c r="Q229" s="1">
        <f>IF(Signals_US!J229=1,Signals_US!Q229*Mapping!$E$17,IF(Signals_US!J229=-1,-Signals_US!R229*Mapping!$E$17,0))</f>
        <v>5.000000000000001E-2</v>
      </c>
      <c r="R229" s="1">
        <f>IF(Signals_US!K229=1,Signals_US!Q229*Mapping!$E$18,IF(Signals_US!K229=-1,-Signals_US!R229*Mapping!$E$18,0))</f>
        <v>-5.000000000000001E-2</v>
      </c>
      <c r="S229" s="1">
        <f>IF(Signals_US!M229=1,Signals_US!Q229*Mapping!$E$19,IF(Signals_US!M229=-1,-Signals_US!R229*Mapping!$E$19,0))</f>
        <v>0</v>
      </c>
      <c r="T229" s="1">
        <f>IF(Signals_US!L229=1,Signals_US!Q229*Mapping!$E$20,IF(Signals_US!L229=-1,-Signals_US!R229*Mapping!$E$20,0))</f>
        <v>0</v>
      </c>
      <c r="U229" s="1">
        <f t="shared" si="3"/>
        <v>0</v>
      </c>
    </row>
    <row r="230" spans="1:21">
      <c r="A230" s="5">
        <f>Signals_US!B230</f>
        <v>45992</v>
      </c>
      <c r="B230" s="1">
        <f>0</f>
        <v>0</v>
      </c>
      <c r="C230" s="1">
        <f>IF(Signals_US!F230=1,Signals_US!Q230*Mapping!$E$3,IF(Signals_US!F230=-1,-Signals_US!R230*Mapping!$E$3,0))</f>
        <v>1.666666666666667E-2</v>
      </c>
      <c r="D230" s="1">
        <f>IF(Signals_US!C230=1,Signals_US!Q230*Mapping!$E$4,IF(Signals_US!C230=-1,-Signals_US!R230*Mapping!$E$4,0))</f>
        <v>-1.666666666666667E-2</v>
      </c>
      <c r="E230" s="1">
        <f>IF(Signals_US!C230=1,Signals_US!Q230*Mapping!$E$5,IF(Signals_US!C230=-1,-Signals_US!R230*Mapping!$E$5,0))</f>
        <v>-1.666666666666667E-2</v>
      </c>
      <c r="F230" s="1">
        <f>IF(Signals_US!C230=1,Signals_US!Q230*Mapping!$E$6,IF(Signals_US!C230=-1,-Signals_US!R230*Mapping!$E$6,0))</f>
        <v>-1.666666666666667E-2</v>
      </c>
      <c r="G230" s="1">
        <f>IF(Signals_US!F230=1,Signals_US!Q230*Mapping!$E$7,IF(Signals_US!F230=-1,-Signals_US!R230*Mapping!$E$7,0))</f>
        <v>1.666666666666667E-2</v>
      </c>
      <c r="H230" s="1">
        <f>IF(Signals_US!D230=1,Signals_US!Q230*Mapping!$E$8,IF(Signals_US!D230=-1,-Signals_US!R230*Mapping!$E$8,0))</f>
        <v>-5.000000000000001E-2</v>
      </c>
      <c r="I230" s="1">
        <f>IF(Signals_US!G230=1,Signals_US!Q230*Mapping!$E$9,IF(Signals_US!G230=-1,-Signals_US!R230*Mapping!$E$9,0))</f>
        <v>0</v>
      </c>
      <c r="J230" s="1">
        <f>IF(Signals_US!H230=1,Signals_US!Q230*Mapping!$E$10,IF(Signals_US!H230=-1,-Signals_US!R230*Mapping!$E$10,0))</f>
        <v>-5.000000000000001E-2</v>
      </c>
      <c r="K230" s="1">
        <f>IF(Signals_US!F230=1,Signals_US!Q230*Mapping!$E$11,IF(Signals_US!F230=-1,-Signals_US!R230*Mapping!$E$11,0))</f>
        <v>1.666666666666667E-2</v>
      </c>
      <c r="L230" s="1">
        <f>IF(Signals_US!N230=1,Signals_US!Q230*Mapping!$E$12,IF(Signals_US!N230=-1,-Signals_US!R230*Mapping!$E$12,0))</f>
        <v>0</v>
      </c>
      <c r="M230" s="1">
        <f>IF(Signals_US!I230=1,Signals_US!Q230*Mapping!$E$13,IF(Signals_US!I230=-1,-Signals_US!R230*Mapping!$E$13,0))</f>
        <v>0</v>
      </c>
      <c r="N230" s="1">
        <f>0</f>
        <v>0</v>
      </c>
      <c r="O230" s="1">
        <f>0</f>
        <v>0</v>
      </c>
      <c r="P230" s="1">
        <f>IF(Signals_US!E230=1,Signals_US!Q230*Mapping!$E$16,IF(Signals_US!E230=-1,-Signals_US!R230*Mapping!$E$16,0))</f>
        <v>5.000000000000001E-2</v>
      </c>
      <c r="Q230" s="1">
        <f>IF(Signals_US!J230=1,Signals_US!Q230*Mapping!$E$17,IF(Signals_US!J230=-1,-Signals_US!R230*Mapping!$E$17,0))</f>
        <v>5.000000000000001E-2</v>
      </c>
      <c r="R230" s="1">
        <f>IF(Signals_US!K230=1,Signals_US!Q230*Mapping!$E$18,IF(Signals_US!K230=-1,-Signals_US!R230*Mapping!$E$18,0))</f>
        <v>0</v>
      </c>
      <c r="S230" s="1">
        <f>IF(Signals_US!M230=1,Signals_US!Q230*Mapping!$E$19,IF(Signals_US!M230=-1,-Signals_US!R230*Mapping!$E$19,0))</f>
        <v>0</v>
      </c>
      <c r="T230" s="1">
        <f>IF(Signals_US!L230=1,Signals_US!Q230*Mapping!$E$20,IF(Signals_US!L230=-1,-Signals_US!R230*Mapping!$E$20,0))</f>
        <v>0</v>
      </c>
      <c r="U230" s="1">
        <f t="shared" si="3"/>
        <v>0</v>
      </c>
    </row>
    <row r="231" spans="1:21">
      <c r="A231" s="5">
        <f>Signals_US!B231</f>
        <v>46023</v>
      </c>
      <c r="B231" s="1">
        <f>0</f>
        <v>0</v>
      </c>
      <c r="C231" s="1">
        <f>IF(Signals_US!F231=1,Signals_US!Q231*Mapping!$E$3,IF(Signals_US!F231=-1,-Signals_US!R231*Mapping!$E$3,0))</f>
        <v>1.666666666666667E-2</v>
      </c>
      <c r="D231" s="1">
        <f>IF(Signals_US!C231=1,Signals_US!Q231*Mapping!$E$4,IF(Signals_US!C231=-1,-Signals_US!R231*Mapping!$E$4,0))</f>
        <v>-1.666666666666667E-2</v>
      </c>
      <c r="E231" s="1">
        <f>IF(Signals_US!C231=1,Signals_US!Q231*Mapping!$E$5,IF(Signals_US!C231=-1,-Signals_US!R231*Mapping!$E$5,0))</f>
        <v>-1.666666666666667E-2</v>
      </c>
      <c r="F231" s="1">
        <f>IF(Signals_US!C231=1,Signals_US!Q231*Mapping!$E$6,IF(Signals_US!C231=-1,-Signals_US!R231*Mapping!$E$6,0))</f>
        <v>-1.666666666666667E-2</v>
      </c>
      <c r="G231" s="1">
        <f>IF(Signals_US!F231=1,Signals_US!Q231*Mapping!$E$7,IF(Signals_US!F231=-1,-Signals_US!R231*Mapping!$E$7,0))</f>
        <v>1.666666666666667E-2</v>
      </c>
      <c r="H231" s="1">
        <f>IF(Signals_US!D231=1,Signals_US!Q231*Mapping!$E$8,IF(Signals_US!D231=-1,-Signals_US!R231*Mapping!$E$8,0))</f>
        <v>0</v>
      </c>
      <c r="I231" s="1">
        <f>IF(Signals_US!G231=1,Signals_US!Q231*Mapping!$E$9,IF(Signals_US!G231=-1,-Signals_US!R231*Mapping!$E$9,0))</f>
        <v>0</v>
      </c>
      <c r="J231" s="1">
        <f>IF(Signals_US!H231=1,Signals_US!Q231*Mapping!$E$10,IF(Signals_US!H231=-1,-Signals_US!R231*Mapping!$E$10,0))</f>
        <v>-5.000000000000001E-2</v>
      </c>
      <c r="K231" s="1">
        <f>IF(Signals_US!F231=1,Signals_US!Q231*Mapping!$E$11,IF(Signals_US!F231=-1,-Signals_US!R231*Mapping!$E$11,0))</f>
        <v>1.666666666666667E-2</v>
      </c>
      <c r="L231" s="1">
        <f>IF(Signals_US!N231=1,Signals_US!Q231*Mapping!$E$12,IF(Signals_US!N231=-1,-Signals_US!R231*Mapping!$E$12,0))</f>
        <v>0</v>
      </c>
      <c r="M231" s="1">
        <f>IF(Signals_US!I231=1,Signals_US!Q231*Mapping!$E$13,IF(Signals_US!I231=-1,-Signals_US!R231*Mapping!$E$13,0))</f>
        <v>-5.000000000000001E-2</v>
      </c>
      <c r="N231" s="1">
        <f>0</f>
        <v>0</v>
      </c>
      <c r="O231" s="1">
        <f>0</f>
        <v>0</v>
      </c>
      <c r="P231" s="1">
        <f>IF(Signals_US!E231=1,Signals_US!Q231*Mapping!$E$16,IF(Signals_US!E231=-1,-Signals_US!R231*Mapping!$E$16,0))</f>
        <v>5.000000000000001E-2</v>
      </c>
      <c r="Q231" s="1">
        <f>IF(Signals_US!J231=1,Signals_US!Q231*Mapping!$E$17,IF(Signals_US!J231=-1,-Signals_US!R231*Mapping!$E$17,0))</f>
        <v>5.000000000000001E-2</v>
      </c>
      <c r="R231" s="1">
        <f>IF(Signals_US!K231=1,Signals_US!Q231*Mapping!$E$18,IF(Signals_US!K231=-1,-Signals_US!R231*Mapping!$E$18,0))</f>
        <v>0</v>
      </c>
      <c r="S231" s="1">
        <f>IF(Signals_US!M231=1,Signals_US!Q231*Mapping!$E$19,IF(Signals_US!M231=-1,-Signals_US!R231*Mapping!$E$19,0))</f>
        <v>0</v>
      </c>
      <c r="T231" s="1">
        <f>IF(Signals_US!L231=1,Signals_US!Q231*Mapping!$E$20,IF(Signals_US!L231=-1,-Signals_US!R231*Mapping!$E$20,0))</f>
        <v>0</v>
      </c>
      <c r="U231" s="1">
        <f t="shared" si="3"/>
        <v>0</v>
      </c>
    </row>
    <row r="232" spans="1:21">
      <c r="A232" s="5">
        <f>Signals_US!B232</f>
        <v>46054</v>
      </c>
      <c r="B232" s="1">
        <f>0</f>
        <v>0</v>
      </c>
      <c r="C232" s="1">
        <f>IF(Signals_US!F232=1,Signals_US!Q232*Mapping!$E$3,IF(Signals_US!F232=-1,-Signals_US!R232*Mapping!$E$3,0))</f>
        <v>1.666666666666667E-2</v>
      </c>
      <c r="D232" s="1">
        <f>IF(Signals_US!C232=1,Signals_US!Q232*Mapping!$E$4,IF(Signals_US!C232=-1,-Signals_US!R232*Mapping!$E$4,0))</f>
        <v>-1.666666666666667E-2</v>
      </c>
      <c r="E232" s="1">
        <f>IF(Signals_US!C232=1,Signals_US!Q232*Mapping!$E$5,IF(Signals_US!C232=-1,-Signals_US!R232*Mapping!$E$5,0))</f>
        <v>-1.666666666666667E-2</v>
      </c>
      <c r="F232" s="1">
        <f>IF(Signals_US!C232=1,Signals_US!Q232*Mapping!$E$6,IF(Signals_US!C232=-1,-Signals_US!R232*Mapping!$E$6,0))</f>
        <v>-1.666666666666667E-2</v>
      </c>
      <c r="G232" s="1">
        <f>IF(Signals_US!F232=1,Signals_US!Q232*Mapping!$E$7,IF(Signals_US!F232=-1,-Signals_US!R232*Mapping!$E$7,0))</f>
        <v>1.666666666666667E-2</v>
      </c>
      <c r="H232" s="1">
        <f>IF(Signals_US!D232=1,Signals_US!Q232*Mapping!$E$8,IF(Signals_US!D232=-1,-Signals_US!R232*Mapping!$E$8,0))</f>
        <v>0</v>
      </c>
      <c r="I232" s="1">
        <f>IF(Signals_US!G232=1,Signals_US!Q232*Mapping!$E$9,IF(Signals_US!G232=-1,-Signals_US!R232*Mapping!$E$9,0))</f>
        <v>0</v>
      </c>
      <c r="J232" s="1">
        <f>IF(Signals_US!H232=1,Signals_US!Q232*Mapping!$E$10,IF(Signals_US!H232=-1,-Signals_US!R232*Mapping!$E$10,0))</f>
        <v>0</v>
      </c>
      <c r="K232" s="1">
        <f>IF(Signals_US!F232=1,Signals_US!Q232*Mapping!$E$11,IF(Signals_US!F232=-1,-Signals_US!R232*Mapping!$E$11,0))</f>
        <v>1.666666666666667E-2</v>
      </c>
      <c r="L232" s="1">
        <f>IF(Signals_US!N232=1,Signals_US!Q232*Mapping!$E$12,IF(Signals_US!N232=-1,-Signals_US!R232*Mapping!$E$12,0))</f>
        <v>5.000000000000001E-2</v>
      </c>
      <c r="M232" s="1">
        <f>IF(Signals_US!I232=1,Signals_US!Q232*Mapping!$E$13,IF(Signals_US!I232=-1,-Signals_US!R232*Mapping!$E$13,0))</f>
        <v>-5.000000000000001E-2</v>
      </c>
      <c r="N232" s="1">
        <f>0</f>
        <v>0</v>
      </c>
      <c r="O232" s="1">
        <f>0</f>
        <v>0</v>
      </c>
      <c r="P232" s="1">
        <f>IF(Signals_US!E232=1,Signals_US!Q232*Mapping!$E$16,IF(Signals_US!E232=-1,-Signals_US!R232*Mapping!$E$16,0))</f>
        <v>0</v>
      </c>
      <c r="Q232" s="1">
        <f>IF(Signals_US!J232=1,Signals_US!Q232*Mapping!$E$17,IF(Signals_US!J232=-1,-Signals_US!R232*Mapping!$E$17,0))</f>
        <v>5.000000000000001E-2</v>
      </c>
      <c r="R232" s="1">
        <f>IF(Signals_US!K232=1,Signals_US!Q232*Mapping!$E$18,IF(Signals_US!K232=-1,-Signals_US!R232*Mapping!$E$18,0))</f>
        <v>0</v>
      </c>
      <c r="S232" s="1">
        <f>IF(Signals_US!M232=1,Signals_US!Q232*Mapping!$E$19,IF(Signals_US!M232=-1,-Signals_US!R232*Mapping!$E$19,0))</f>
        <v>0</v>
      </c>
      <c r="T232" s="1">
        <f>IF(Signals_US!L232=1,Signals_US!Q232*Mapping!$E$20,IF(Signals_US!L232=-1,-Signals_US!R232*Mapping!$E$20,0))</f>
        <v>-5.000000000000001E-2</v>
      </c>
      <c r="U232" s="1">
        <f t="shared" si="3"/>
        <v>0</v>
      </c>
    </row>
    <row r="233" spans="1:21">
      <c r="A233" s="5">
        <f>Signals_US!B233</f>
        <v>46082</v>
      </c>
      <c r="B233" s="1">
        <f>0</f>
        <v>0</v>
      </c>
      <c r="C233" s="1">
        <f>IF(Signals_US!F233=1,Signals_US!Q233*Mapping!$E$3,IF(Signals_US!F233=-1,-Signals_US!R233*Mapping!$E$3,0))</f>
        <v>1.666666666666667E-2</v>
      </c>
      <c r="D233" s="1">
        <f>IF(Signals_US!C233=1,Signals_US!Q233*Mapping!$E$4,IF(Signals_US!C233=-1,-Signals_US!R233*Mapping!$E$4,0))</f>
        <v>-1.666666666666667E-2</v>
      </c>
      <c r="E233" s="1">
        <f>IF(Signals_US!C233=1,Signals_US!Q233*Mapping!$E$5,IF(Signals_US!C233=-1,-Signals_US!R233*Mapping!$E$5,0))</f>
        <v>-1.666666666666667E-2</v>
      </c>
      <c r="F233" s="1">
        <f>IF(Signals_US!C233=1,Signals_US!Q233*Mapping!$E$6,IF(Signals_US!C233=-1,-Signals_US!R233*Mapping!$E$6,0))</f>
        <v>-1.666666666666667E-2</v>
      </c>
      <c r="G233" s="1">
        <f>IF(Signals_US!F233=1,Signals_US!Q233*Mapping!$E$7,IF(Signals_US!F233=-1,-Signals_US!R233*Mapping!$E$7,0))</f>
        <v>1.666666666666667E-2</v>
      </c>
      <c r="H233" s="1">
        <f>IF(Signals_US!D233=1,Signals_US!Q233*Mapping!$E$8,IF(Signals_US!D233=-1,-Signals_US!R233*Mapping!$E$8,0))</f>
        <v>-5.000000000000001E-2</v>
      </c>
      <c r="I233" s="1">
        <f>IF(Signals_US!G233=1,Signals_US!Q233*Mapping!$E$9,IF(Signals_US!G233=-1,-Signals_US!R233*Mapping!$E$9,0))</f>
        <v>0</v>
      </c>
      <c r="J233" s="1">
        <f>IF(Signals_US!H233=1,Signals_US!Q233*Mapping!$E$10,IF(Signals_US!H233=-1,-Signals_US!R233*Mapping!$E$10,0))</f>
        <v>0</v>
      </c>
      <c r="K233" s="1">
        <f>IF(Signals_US!F233=1,Signals_US!Q233*Mapping!$E$11,IF(Signals_US!F233=-1,-Signals_US!R233*Mapping!$E$11,0))</f>
        <v>1.666666666666667E-2</v>
      </c>
      <c r="L233" s="1">
        <f>IF(Signals_US!N233=1,Signals_US!Q233*Mapping!$E$12,IF(Signals_US!N233=-1,-Signals_US!R233*Mapping!$E$12,0))</f>
        <v>0</v>
      </c>
      <c r="M233" s="1">
        <f>IF(Signals_US!I233=1,Signals_US!Q233*Mapping!$E$13,IF(Signals_US!I233=-1,-Signals_US!R233*Mapping!$E$13,0))</f>
        <v>0</v>
      </c>
      <c r="N233" s="1">
        <f>0</f>
        <v>0</v>
      </c>
      <c r="O233" s="1">
        <f>0</f>
        <v>0</v>
      </c>
      <c r="P233" s="1">
        <f>IF(Signals_US!E233=1,Signals_US!Q233*Mapping!$E$16,IF(Signals_US!E233=-1,-Signals_US!R233*Mapping!$E$16,0))</f>
        <v>5.000000000000001E-2</v>
      </c>
      <c r="Q233" s="1">
        <f>IF(Signals_US!J233=1,Signals_US!Q233*Mapping!$E$17,IF(Signals_US!J233=-1,-Signals_US!R233*Mapping!$E$17,0))</f>
        <v>5.000000000000001E-2</v>
      </c>
      <c r="R233" s="1">
        <f>IF(Signals_US!K233=1,Signals_US!Q233*Mapping!$E$18,IF(Signals_US!K233=-1,-Signals_US!R233*Mapping!$E$18,0))</f>
        <v>0</v>
      </c>
      <c r="S233" s="1">
        <f>IF(Signals_US!M233=1,Signals_US!Q233*Mapping!$E$19,IF(Signals_US!M233=-1,-Signals_US!R233*Mapping!$E$19,0))</f>
        <v>0</v>
      </c>
      <c r="T233" s="1">
        <f>IF(Signals_US!L233=1,Signals_US!Q233*Mapping!$E$20,IF(Signals_US!L233=-1,-Signals_US!R233*Mapping!$E$20,0))</f>
        <v>-5.000000000000001E-2</v>
      </c>
      <c r="U233" s="1">
        <f t="shared" si="3"/>
        <v>0</v>
      </c>
    </row>
    <row r="234" spans="1:21">
      <c r="A234" s="5">
        <f>Signals_US!B234</f>
        <v>46113</v>
      </c>
      <c r="B234" s="1">
        <f>0</f>
        <v>0</v>
      </c>
      <c r="C234" s="1">
        <f>IF(Signals_US!F234=1,Signals_US!Q234*Mapping!$E$3,IF(Signals_US!F234=-1,-Signals_US!R234*Mapping!$E$3,0))</f>
        <v>1.666666666666667E-2</v>
      </c>
      <c r="D234" s="1">
        <f>IF(Signals_US!C234=1,Signals_US!Q234*Mapping!$E$4,IF(Signals_US!C234=-1,-Signals_US!R234*Mapping!$E$4,0))</f>
        <v>-1.666666666666667E-2</v>
      </c>
      <c r="E234" s="1">
        <f>IF(Signals_US!C234=1,Signals_US!Q234*Mapping!$E$5,IF(Signals_US!C234=-1,-Signals_US!R234*Mapping!$E$5,0))</f>
        <v>-1.666666666666667E-2</v>
      </c>
      <c r="F234" s="1">
        <f>IF(Signals_US!C234=1,Signals_US!Q234*Mapping!$E$6,IF(Signals_US!C234=-1,-Signals_US!R234*Mapping!$E$6,0))</f>
        <v>-1.666666666666667E-2</v>
      </c>
      <c r="G234" s="1">
        <f>IF(Signals_US!F234=1,Signals_US!Q234*Mapping!$E$7,IF(Signals_US!F234=-1,-Signals_US!R234*Mapping!$E$7,0))</f>
        <v>1.666666666666667E-2</v>
      </c>
      <c r="H234" s="1">
        <f>IF(Signals_US!D234=1,Signals_US!Q234*Mapping!$E$8,IF(Signals_US!D234=-1,-Signals_US!R234*Mapping!$E$8,0))</f>
        <v>0</v>
      </c>
      <c r="I234" s="1">
        <f>IF(Signals_US!G234=1,Signals_US!Q234*Mapping!$E$9,IF(Signals_US!G234=-1,-Signals_US!R234*Mapping!$E$9,0))</f>
        <v>0</v>
      </c>
      <c r="J234" s="1">
        <f>IF(Signals_US!H234=1,Signals_US!Q234*Mapping!$E$10,IF(Signals_US!H234=-1,-Signals_US!R234*Mapping!$E$10,0))</f>
        <v>0</v>
      </c>
      <c r="K234" s="1">
        <f>IF(Signals_US!F234=1,Signals_US!Q234*Mapping!$E$11,IF(Signals_US!F234=-1,-Signals_US!R234*Mapping!$E$11,0))</f>
        <v>1.666666666666667E-2</v>
      </c>
      <c r="L234" s="1">
        <f>IF(Signals_US!N234=1,Signals_US!Q234*Mapping!$E$12,IF(Signals_US!N234=-1,-Signals_US!R234*Mapping!$E$12,0))</f>
        <v>0</v>
      </c>
      <c r="M234" s="1">
        <f>IF(Signals_US!I234=1,Signals_US!Q234*Mapping!$E$13,IF(Signals_US!I234=-1,-Signals_US!R234*Mapping!$E$13,0))</f>
        <v>0</v>
      </c>
      <c r="N234" s="1">
        <f>0</f>
        <v>0</v>
      </c>
      <c r="O234" s="1">
        <f>0</f>
        <v>0</v>
      </c>
      <c r="P234" s="1">
        <f>IF(Signals_US!E234=1,Signals_US!Q234*Mapping!$E$16,IF(Signals_US!E234=-1,-Signals_US!R234*Mapping!$E$16,0))</f>
        <v>5.000000000000001E-2</v>
      </c>
      <c r="Q234" s="1">
        <f>IF(Signals_US!J234=1,Signals_US!Q234*Mapping!$E$17,IF(Signals_US!J234=-1,-Signals_US!R234*Mapping!$E$17,0))</f>
        <v>5.000000000000001E-2</v>
      </c>
      <c r="R234" s="1">
        <f>IF(Signals_US!K234=1,Signals_US!Q234*Mapping!$E$18,IF(Signals_US!K234=-1,-Signals_US!R234*Mapping!$E$18,0))</f>
        <v>-5.000000000000001E-2</v>
      </c>
      <c r="S234" s="1">
        <f>IF(Signals_US!M234=1,Signals_US!Q234*Mapping!$E$19,IF(Signals_US!M234=-1,-Signals_US!R234*Mapping!$E$19,0))</f>
        <v>0</v>
      </c>
      <c r="T234" s="1">
        <f>IF(Signals_US!L234=1,Signals_US!Q234*Mapping!$E$20,IF(Signals_US!L234=-1,-Signals_US!R234*Mapping!$E$20,0))</f>
        <v>-5.000000000000001E-2</v>
      </c>
      <c r="U234" s="1">
        <f t="shared" si="3"/>
        <v>0</v>
      </c>
    </row>
    <row r="235" spans="1:21">
      <c r="A235" s="5">
        <f>Signals_US!B235</f>
        <v>46143</v>
      </c>
      <c r="B235" s="1">
        <f>0</f>
        <v>0</v>
      </c>
      <c r="C235" s="1">
        <f>IF(Signals_US!F235=1,Signals_US!Q235*Mapping!$E$3,IF(Signals_US!F235=-1,-Signals_US!R235*Mapping!$E$3,0))</f>
        <v>1.666666666666667E-2</v>
      </c>
      <c r="D235" s="1">
        <f>IF(Signals_US!C235=1,Signals_US!Q235*Mapping!$E$4,IF(Signals_US!C235=-1,-Signals_US!R235*Mapping!$E$4,0))</f>
        <v>-1.666666666666667E-2</v>
      </c>
      <c r="E235" s="1">
        <f>IF(Signals_US!C235=1,Signals_US!Q235*Mapping!$E$5,IF(Signals_US!C235=-1,-Signals_US!R235*Mapping!$E$5,0))</f>
        <v>-1.666666666666667E-2</v>
      </c>
      <c r="F235" s="1">
        <f>IF(Signals_US!C235=1,Signals_US!Q235*Mapping!$E$6,IF(Signals_US!C235=-1,-Signals_US!R235*Mapping!$E$6,0))</f>
        <v>-1.666666666666667E-2</v>
      </c>
      <c r="G235" s="1">
        <f>IF(Signals_US!F235=1,Signals_US!Q235*Mapping!$E$7,IF(Signals_US!F235=-1,-Signals_US!R235*Mapping!$E$7,0))</f>
        <v>1.666666666666667E-2</v>
      </c>
      <c r="H235" s="1">
        <f>IF(Signals_US!D235=1,Signals_US!Q235*Mapping!$E$8,IF(Signals_US!D235=-1,-Signals_US!R235*Mapping!$E$8,0))</f>
        <v>-5.000000000000001E-2</v>
      </c>
      <c r="I235" s="1">
        <f>IF(Signals_US!G235=1,Signals_US!Q235*Mapping!$E$9,IF(Signals_US!G235=-1,-Signals_US!R235*Mapping!$E$9,0))</f>
        <v>0</v>
      </c>
      <c r="J235" s="1">
        <f>IF(Signals_US!H235=1,Signals_US!Q235*Mapping!$E$10,IF(Signals_US!H235=-1,-Signals_US!R235*Mapping!$E$10,0))</f>
        <v>-5.000000000000001E-2</v>
      </c>
      <c r="K235" s="1">
        <f>IF(Signals_US!F235=1,Signals_US!Q235*Mapping!$E$11,IF(Signals_US!F235=-1,-Signals_US!R235*Mapping!$E$11,0))</f>
        <v>1.666666666666667E-2</v>
      </c>
      <c r="L235" s="1">
        <f>IF(Signals_US!N235=1,Signals_US!Q235*Mapping!$E$12,IF(Signals_US!N235=-1,-Signals_US!R235*Mapping!$E$12,0))</f>
        <v>0</v>
      </c>
      <c r="M235" s="1">
        <f>IF(Signals_US!I235=1,Signals_US!Q235*Mapping!$E$13,IF(Signals_US!I235=-1,-Signals_US!R235*Mapping!$E$13,0))</f>
        <v>5.000000000000001E-2</v>
      </c>
      <c r="N235" s="1">
        <f>0</f>
        <v>0</v>
      </c>
      <c r="O235" s="1">
        <f>0</f>
        <v>0</v>
      </c>
      <c r="P235" s="1">
        <f>IF(Signals_US!E235=1,Signals_US!Q235*Mapping!$E$16,IF(Signals_US!E235=-1,-Signals_US!R235*Mapping!$E$16,0))</f>
        <v>0</v>
      </c>
      <c r="Q235" s="1">
        <f>IF(Signals_US!J235=1,Signals_US!Q235*Mapping!$E$17,IF(Signals_US!J235=-1,-Signals_US!R235*Mapping!$E$17,0))</f>
        <v>5.000000000000001E-2</v>
      </c>
      <c r="R235" s="1">
        <f>IF(Signals_US!K235=1,Signals_US!Q235*Mapping!$E$18,IF(Signals_US!K235=-1,-Signals_US!R235*Mapping!$E$18,0))</f>
        <v>0</v>
      </c>
      <c r="S235" s="1">
        <f>IF(Signals_US!M235=1,Signals_US!Q235*Mapping!$E$19,IF(Signals_US!M235=-1,-Signals_US!R235*Mapping!$E$19,0))</f>
        <v>0</v>
      </c>
      <c r="T235" s="1">
        <f>IF(Signals_US!L235=1,Signals_US!Q235*Mapping!$E$20,IF(Signals_US!L235=-1,-Signals_US!R235*Mapping!$E$20,0))</f>
        <v>0</v>
      </c>
      <c r="U235" s="1">
        <f t="shared" si="3"/>
        <v>0</v>
      </c>
    </row>
    <row r="236" spans="1:21">
      <c r="A236" s="5">
        <f>Signals_US!B236</f>
        <v>46174</v>
      </c>
      <c r="B236" s="1">
        <f>0</f>
        <v>0</v>
      </c>
      <c r="C236" s="1">
        <f>IF(Signals_US!F236=1,Signals_US!Q236*Mapping!$E$3,IF(Signals_US!F236=-1,-Signals_US!R236*Mapping!$E$3,0))</f>
        <v>1.666666666666667E-2</v>
      </c>
      <c r="D236" s="1">
        <f>IF(Signals_US!C236=1,Signals_US!Q236*Mapping!$E$4,IF(Signals_US!C236=-1,-Signals_US!R236*Mapping!$E$4,0))</f>
        <v>0</v>
      </c>
      <c r="E236" s="1">
        <f>IF(Signals_US!C236=1,Signals_US!Q236*Mapping!$E$5,IF(Signals_US!C236=-1,-Signals_US!R236*Mapping!$E$5,0))</f>
        <v>0</v>
      </c>
      <c r="F236" s="1">
        <f>IF(Signals_US!C236=1,Signals_US!Q236*Mapping!$E$6,IF(Signals_US!C236=-1,-Signals_US!R236*Mapping!$E$6,0))</f>
        <v>0</v>
      </c>
      <c r="G236" s="1">
        <f>IF(Signals_US!F236=1,Signals_US!Q236*Mapping!$E$7,IF(Signals_US!F236=-1,-Signals_US!R236*Mapping!$E$7,0))</f>
        <v>1.666666666666667E-2</v>
      </c>
      <c r="H236" s="1">
        <f>IF(Signals_US!D236=1,Signals_US!Q236*Mapping!$E$8,IF(Signals_US!D236=-1,-Signals_US!R236*Mapping!$E$8,0))</f>
        <v>-5.000000000000001E-2</v>
      </c>
      <c r="I236" s="1">
        <f>IF(Signals_US!G236=1,Signals_US!Q236*Mapping!$E$9,IF(Signals_US!G236=-1,-Signals_US!R236*Mapping!$E$9,0))</f>
        <v>0</v>
      </c>
      <c r="J236" s="1">
        <f>IF(Signals_US!H236=1,Signals_US!Q236*Mapping!$E$10,IF(Signals_US!H236=-1,-Signals_US!R236*Mapping!$E$10,0))</f>
        <v>0</v>
      </c>
      <c r="K236" s="1">
        <f>IF(Signals_US!F236=1,Signals_US!Q236*Mapping!$E$11,IF(Signals_US!F236=-1,-Signals_US!R236*Mapping!$E$11,0))</f>
        <v>1.666666666666667E-2</v>
      </c>
      <c r="L236" s="1">
        <f>IF(Signals_US!N236=1,Signals_US!Q236*Mapping!$E$12,IF(Signals_US!N236=-1,-Signals_US!R236*Mapping!$E$12,0))</f>
        <v>5.000000000000001E-2</v>
      </c>
      <c r="M236" s="1">
        <f>IF(Signals_US!I236=1,Signals_US!Q236*Mapping!$E$13,IF(Signals_US!I236=-1,-Signals_US!R236*Mapping!$E$13,0))</f>
        <v>0</v>
      </c>
      <c r="N236" s="1">
        <f>0</f>
        <v>0</v>
      </c>
      <c r="O236" s="1">
        <f>0</f>
        <v>0</v>
      </c>
      <c r="P236" s="1">
        <f>IF(Signals_US!E236=1,Signals_US!Q236*Mapping!$E$16,IF(Signals_US!E236=-1,-Signals_US!R236*Mapping!$E$16,0))</f>
        <v>0</v>
      </c>
      <c r="Q236" s="1">
        <f>IF(Signals_US!J236=1,Signals_US!Q236*Mapping!$E$17,IF(Signals_US!J236=-1,-Signals_US!R236*Mapping!$E$17,0))</f>
        <v>5.000000000000001E-2</v>
      </c>
      <c r="R236" s="1">
        <f>IF(Signals_US!K236=1,Signals_US!Q236*Mapping!$E$18,IF(Signals_US!K236=-1,-Signals_US!R236*Mapping!$E$18,0))</f>
        <v>-5.000000000000001E-2</v>
      </c>
      <c r="S236" s="1">
        <f>IF(Signals_US!M236=1,Signals_US!Q236*Mapping!$E$19,IF(Signals_US!M236=-1,-Signals_US!R236*Mapping!$E$19,0))</f>
        <v>0</v>
      </c>
      <c r="T236" s="1">
        <f>IF(Signals_US!L236=1,Signals_US!Q236*Mapping!$E$20,IF(Signals_US!L236=-1,-Signals_US!R236*Mapping!$E$20,0))</f>
        <v>-5.000000000000001E-2</v>
      </c>
      <c r="U236" s="1">
        <f t="shared" si="3"/>
        <v>0</v>
      </c>
    </row>
    <row r="237" spans="1:21">
      <c r="A237" s="5">
        <f>Signals_US!B237</f>
        <v>46204</v>
      </c>
      <c r="B237" s="1">
        <f>0</f>
        <v>0</v>
      </c>
      <c r="C237" s="1">
        <f>IF(Signals_US!F237=1,Signals_US!Q237*Mapping!$E$3,IF(Signals_US!F237=-1,-Signals_US!R237*Mapping!$E$3,0))</f>
        <v>1.666666666666667E-2</v>
      </c>
      <c r="D237" s="1">
        <f>IF(Signals_US!C237=1,Signals_US!Q237*Mapping!$E$4,IF(Signals_US!C237=-1,-Signals_US!R237*Mapping!$E$4,0))</f>
        <v>0</v>
      </c>
      <c r="E237" s="1">
        <f>IF(Signals_US!C237=1,Signals_US!Q237*Mapping!$E$5,IF(Signals_US!C237=-1,-Signals_US!R237*Mapping!$E$5,0))</f>
        <v>0</v>
      </c>
      <c r="F237" s="1">
        <f>IF(Signals_US!C237=1,Signals_US!Q237*Mapping!$E$6,IF(Signals_US!C237=-1,-Signals_US!R237*Mapping!$E$6,0))</f>
        <v>0</v>
      </c>
      <c r="G237" s="1">
        <f>IF(Signals_US!F237=1,Signals_US!Q237*Mapping!$E$7,IF(Signals_US!F237=-1,-Signals_US!R237*Mapping!$E$7,0))</f>
        <v>1.666666666666667E-2</v>
      </c>
      <c r="H237" s="1">
        <f>IF(Signals_US!D237=1,Signals_US!Q237*Mapping!$E$8,IF(Signals_US!D237=-1,-Signals_US!R237*Mapping!$E$8,0))</f>
        <v>-5.000000000000001E-2</v>
      </c>
      <c r="I237" s="1">
        <f>IF(Signals_US!G237=1,Signals_US!Q237*Mapping!$E$9,IF(Signals_US!G237=-1,-Signals_US!R237*Mapping!$E$9,0))</f>
        <v>0</v>
      </c>
      <c r="J237" s="1">
        <f>IF(Signals_US!H237=1,Signals_US!Q237*Mapping!$E$10,IF(Signals_US!H237=-1,-Signals_US!R237*Mapping!$E$10,0))</f>
        <v>-5.000000000000001E-2</v>
      </c>
      <c r="K237" s="1">
        <f>IF(Signals_US!F237=1,Signals_US!Q237*Mapping!$E$11,IF(Signals_US!F237=-1,-Signals_US!R237*Mapping!$E$11,0))</f>
        <v>1.666666666666667E-2</v>
      </c>
      <c r="L237" s="1">
        <f>IF(Signals_US!N237=1,Signals_US!Q237*Mapping!$E$12,IF(Signals_US!N237=-1,-Signals_US!R237*Mapping!$E$12,0))</f>
        <v>5.000000000000001E-2</v>
      </c>
      <c r="M237" s="1">
        <f>IF(Signals_US!I237=1,Signals_US!Q237*Mapping!$E$13,IF(Signals_US!I237=-1,-Signals_US!R237*Mapping!$E$13,0))</f>
        <v>0</v>
      </c>
      <c r="N237" s="1">
        <f>0</f>
        <v>0</v>
      </c>
      <c r="O237" s="1">
        <f>0</f>
        <v>0</v>
      </c>
      <c r="P237" s="1">
        <f>IF(Signals_US!E237=1,Signals_US!Q237*Mapping!$E$16,IF(Signals_US!E237=-1,-Signals_US!R237*Mapping!$E$16,0))</f>
        <v>0</v>
      </c>
      <c r="Q237" s="1">
        <f>IF(Signals_US!J237=1,Signals_US!Q237*Mapping!$E$17,IF(Signals_US!J237=-1,-Signals_US!R237*Mapping!$E$17,0))</f>
        <v>5.000000000000001E-2</v>
      </c>
      <c r="R237" s="1">
        <f>IF(Signals_US!K237=1,Signals_US!Q237*Mapping!$E$18,IF(Signals_US!K237=-1,-Signals_US!R237*Mapping!$E$18,0))</f>
        <v>-5.000000000000001E-2</v>
      </c>
      <c r="S237" s="1">
        <f>IF(Signals_US!M237=1,Signals_US!Q237*Mapping!$E$19,IF(Signals_US!M237=-1,-Signals_US!R237*Mapping!$E$19,0))</f>
        <v>0</v>
      </c>
      <c r="T237" s="1">
        <f>IF(Signals_US!L237=1,Signals_US!Q237*Mapping!$E$20,IF(Signals_US!L237=-1,-Signals_US!R237*Mapping!$E$20,0))</f>
        <v>0</v>
      </c>
      <c r="U237" s="1">
        <f t="shared" si="3"/>
        <v>0</v>
      </c>
    </row>
    <row r="238" spans="1:21">
      <c r="A238" s="5">
        <f>Signals_US!B238</f>
        <v>46235</v>
      </c>
      <c r="B238" s="1">
        <f>0</f>
        <v>0</v>
      </c>
      <c r="C238" s="1">
        <f>IF(Signals_US!F238=1,Signals_US!Q238*Mapping!$E$3,IF(Signals_US!F238=-1,-Signals_US!R238*Mapping!$E$3,0))</f>
        <v>1.666666666666667E-2</v>
      </c>
      <c r="D238" s="1">
        <f>IF(Signals_US!C238=1,Signals_US!Q238*Mapping!$E$4,IF(Signals_US!C238=-1,-Signals_US!R238*Mapping!$E$4,0))</f>
        <v>0</v>
      </c>
      <c r="E238" s="1">
        <f>IF(Signals_US!C238=1,Signals_US!Q238*Mapping!$E$5,IF(Signals_US!C238=-1,-Signals_US!R238*Mapping!$E$5,0))</f>
        <v>0</v>
      </c>
      <c r="F238" s="1">
        <f>IF(Signals_US!C238=1,Signals_US!Q238*Mapping!$E$6,IF(Signals_US!C238=-1,-Signals_US!R238*Mapping!$E$6,0))</f>
        <v>0</v>
      </c>
      <c r="G238" s="1">
        <f>IF(Signals_US!F238=1,Signals_US!Q238*Mapping!$E$7,IF(Signals_US!F238=-1,-Signals_US!R238*Mapping!$E$7,0))</f>
        <v>1.666666666666667E-2</v>
      </c>
      <c r="H238" s="1">
        <f>IF(Signals_US!D238=1,Signals_US!Q238*Mapping!$E$8,IF(Signals_US!D238=-1,-Signals_US!R238*Mapping!$E$8,0))</f>
        <v>0</v>
      </c>
      <c r="I238" s="1">
        <f>IF(Signals_US!G238=1,Signals_US!Q238*Mapping!$E$9,IF(Signals_US!G238=-1,-Signals_US!R238*Mapping!$E$9,0))</f>
        <v>0</v>
      </c>
      <c r="J238" s="1">
        <f>IF(Signals_US!H238=1,Signals_US!Q238*Mapping!$E$10,IF(Signals_US!H238=-1,-Signals_US!R238*Mapping!$E$10,0))</f>
        <v>0</v>
      </c>
      <c r="K238" s="1">
        <f>IF(Signals_US!F238=1,Signals_US!Q238*Mapping!$E$11,IF(Signals_US!F238=-1,-Signals_US!R238*Mapping!$E$11,0))</f>
        <v>1.666666666666667E-2</v>
      </c>
      <c r="L238" s="1">
        <f>IF(Signals_US!N238=1,Signals_US!Q238*Mapping!$E$12,IF(Signals_US!N238=-1,-Signals_US!R238*Mapping!$E$12,0))</f>
        <v>5.000000000000001E-2</v>
      </c>
      <c r="M238" s="1">
        <f>IF(Signals_US!I238=1,Signals_US!Q238*Mapping!$E$13,IF(Signals_US!I238=-1,-Signals_US!R238*Mapping!$E$13,0))</f>
        <v>-5.000000000000001E-2</v>
      </c>
      <c r="N238" s="1">
        <f>0</f>
        <v>0</v>
      </c>
      <c r="O238" s="1">
        <f>0</f>
        <v>0</v>
      </c>
      <c r="P238" s="1">
        <f>IF(Signals_US!E238=1,Signals_US!Q238*Mapping!$E$16,IF(Signals_US!E238=-1,-Signals_US!R238*Mapping!$E$16,0))</f>
        <v>0</v>
      </c>
      <c r="Q238" s="1">
        <f>IF(Signals_US!J238=1,Signals_US!Q238*Mapping!$E$17,IF(Signals_US!J238=-1,-Signals_US!R238*Mapping!$E$17,0))</f>
        <v>5.000000000000001E-2</v>
      </c>
      <c r="R238" s="1">
        <f>IF(Signals_US!K238=1,Signals_US!Q238*Mapping!$E$18,IF(Signals_US!K238=-1,-Signals_US!R238*Mapping!$E$18,0))</f>
        <v>-5.000000000000001E-2</v>
      </c>
      <c r="S238" s="1">
        <f>IF(Signals_US!M238=1,Signals_US!Q238*Mapping!$E$19,IF(Signals_US!M238=-1,-Signals_US!R238*Mapping!$E$19,0))</f>
        <v>0</v>
      </c>
      <c r="T238" s="1">
        <f>IF(Signals_US!L238=1,Signals_US!Q238*Mapping!$E$20,IF(Signals_US!L238=-1,-Signals_US!R238*Mapping!$E$20,0))</f>
        <v>-5.000000000000001E-2</v>
      </c>
      <c r="U238" s="1">
        <f t="shared" si="3"/>
        <v>0</v>
      </c>
    </row>
    <row r="239" spans="1:21">
      <c r="A239" s="5">
        <f>Signals_US!B239</f>
        <v>46266</v>
      </c>
      <c r="B239" s="1">
        <f>0</f>
        <v>0</v>
      </c>
      <c r="C239" s="1">
        <f>IF(Signals_US!F239=1,Signals_US!Q239*Mapping!$E$3,IF(Signals_US!F239=-1,-Signals_US!R239*Mapping!$E$3,0))</f>
        <v>1.666666666666667E-2</v>
      </c>
      <c r="D239" s="1">
        <f>IF(Signals_US!C239=1,Signals_US!Q239*Mapping!$E$4,IF(Signals_US!C239=-1,-Signals_US!R239*Mapping!$E$4,0))</f>
        <v>0</v>
      </c>
      <c r="E239" s="1">
        <f>IF(Signals_US!C239=1,Signals_US!Q239*Mapping!$E$5,IF(Signals_US!C239=-1,-Signals_US!R239*Mapping!$E$5,0))</f>
        <v>0</v>
      </c>
      <c r="F239" s="1">
        <f>IF(Signals_US!C239=1,Signals_US!Q239*Mapping!$E$6,IF(Signals_US!C239=-1,-Signals_US!R239*Mapping!$E$6,0))</f>
        <v>0</v>
      </c>
      <c r="G239" s="1">
        <f>IF(Signals_US!F239=1,Signals_US!Q239*Mapping!$E$7,IF(Signals_US!F239=-1,-Signals_US!R239*Mapping!$E$7,0))</f>
        <v>1.666666666666667E-2</v>
      </c>
      <c r="H239" s="1">
        <f>IF(Signals_US!D239=1,Signals_US!Q239*Mapping!$E$8,IF(Signals_US!D239=-1,-Signals_US!R239*Mapping!$E$8,0))</f>
        <v>-5.000000000000001E-2</v>
      </c>
      <c r="I239" s="1">
        <f>IF(Signals_US!G239=1,Signals_US!Q239*Mapping!$E$9,IF(Signals_US!G239=-1,-Signals_US!R239*Mapping!$E$9,0))</f>
        <v>0</v>
      </c>
      <c r="J239" s="1">
        <f>IF(Signals_US!H239=1,Signals_US!Q239*Mapping!$E$10,IF(Signals_US!H239=-1,-Signals_US!R239*Mapping!$E$10,0))</f>
        <v>0</v>
      </c>
      <c r="K239" s="1">
        <f>IF(Signals_US!F239=1,Signals_US!Q239*Mapping!$E$11,IF(Signals_US!F239=-1,-Signals_US!R239*Mapping!$E$11,0))</f>
        <v>1.666666666666667E-2</v>
      </c>
      <c r="L239" s="1">
        <f>IF(Signals_US!N239=1,Signals_US!Q239*Mapping!$E$12,IF(Signals_US!N239=-1,-Signals_US!R239*Mapping!$E$12,0))</f>
        <v>0</v>
      </c>
      <c r="M239" s="1">
        <f>IF(Signals_US!I239=1,Signals_US!Q239*Mapping!$E$13,IF(Signals_US!I239=-1,-Signals_US!R239*Mapping!$E$13,0))</f>
        <v>0</v>
      </c>
      <c r="N239" s="1">
        <f>0</f>
        <v>0</v>
      </c>
      <c r="O239" s="1">
        <f>0</f>
        <v>0</v>
      </c>
      <c r="P239" s="1">
        <f>IF(Signals_US!E239=1,Signals_US!Q239*Mapping!$E$16,IF(Signals_US!E239=-1,-Signals_US!R239*Mapping!$E$16,0))</f>
        <v>5.000000000000001E-2</v>
      </c>
      <c r="Q239" s="1">
        <f>IF(Signals_US!J239=1,Signals_US!Q239*Mapping!$E$17,IF(Signals_US!J239=-1,-Signals_US!R239*Mapping!$E$17,0))</f>
        <v>5.000000000000001E-2</v>
      </c>
      <c r="R239" s="1">
        <f>IF(Signals_US!K239=1,Signals_US!Q239*Mapping!$E$18,IF(Signals_US!K239=-1,-Signals_US!R239*Mapping!$E$18,0))</f>
        <v>-5.000000000000001E-2</v>
      </c>
      <c r="S239" s="1">
        <f>IF(Signals_US!M239=1,Signals_US!Q239*Mapping!$E$19,IF(Signals_US!M239=-1,-Signals_US!R239*Mapping!$E$19,0))</f>
        <v>0</v>
      </c>
      <c r="T239" s="1">
        <f>IF(Signals_US!L239=1,Signals_US!Q239*Mapping!$E$20,IF(Signals_US!L239=-1,-Signals_US!R239*Mapping!$E$20,0))</f>
        <v>-5.000000000000001E-2</v>
      </c>
      <c r="U239" s="1">
        <f t="shared" si="3"/>
        <v>0</v>
      </c>
    </row>
    <row r="240" spans="1:21">
      <c r="A240" s="5">
        <f>Signals_US!B240</f>
        <v>46296</v>
      </c>
      <c r="B240" s="1">
        <f>0</f>
        <v>0</v>
      </c>
      <c r="C240" s="1">
        <f>IF(Signals_US!F240=1,Signals_US!Q240*Mapping!$E$3,IF(Signals_US!F240=-1,-Signals_US!R240*Mapping!$E$3,0))</f>
        <v>1.666666666666667E-2</v>
      </c>
      <c r="D240" s="1">
        <f>IF(Signals_US!C240=1,Signals_US!Q240*Mapping!$E$4,IF(Signals_US!C240=-1,-Signals_US!R240*Mapping!$E$4,0))</f>
        <v>1.666666666666667E-2</v>
      </c>
      <c r="E240" s="1">
        <f>IF(Signals_US!C240=1,Signals_US!Q240*Mapping!$E$5,IF(Signals_US!C240=-1,-Signals_US!R240*Mapping!$E$5,0))</f>
        <v>1.666666666666667E-2</v>
      </c>
      <c r="F240" s="1">
        <f>IF(Signals_US!C240=1,Signals_US!Q240*Mapping!$E$6,IF(Signals_US!C240=-1,-Signals_US!R240*Mapping!$E$6,0))</f>
        <v>1.666666666666667E-2</v>
      </c>
      <c r="G240" s="1">
        <f>IF(Signals_US!F240=1,Signals_US!Q240*Mapping!$E$7,IF(Signals_US!F240=-1,-Signals_US!R240*Mapping!$E$7,0))</f>
        <v>1.666666666666667E-2</v>
      </c>
      <c r="H240" s="1">
        <f>IF(Signals_US!D240=1,Signals_US!Q240*Mapping!$E$8,IF(Signals_US!D240=-1,-Signals_US!R240*Mapping!$E$8,0))</f>
        <v>-5.000000000000001E-2</v>
      </c>
      <c r="I240" s="1">
        <f>IF(Signals_US!G240=1,Signals_US!Q240*Mapping!$E$9,IF(Signals_US!G240=-1,-Signals_US!R240*Mapping!$E$9,0))</f>
        <v>0</v>
      </c>
      <c r="J240" s="1">
        <f>IF(Signals_US!H240=1,Signals_US!Q240*Mapping!$E$10,IF(Signals_US!H240=-1,-Signals_US!R240*Mapping!$E$10,0))</f>
        <v>0</v>
      </c>
      <c r="K240" s="1">
        <f>IF(Signals_US!F240=1,Signals_US!Q240*Mapping!$E$11,IF(Signals_US!F240=-1,-Signals_US!R240*Mapping!$E$11,0))</f>
        <v>1.666666666666667E-2</v>
      </c>
      <c r="L240" s="1">
        <f>IF(Signals_US!N240=1,Signals_US!Q240*Mapping!$E$12,IF(Signals_US!N240=-1,-Signals_US!R240*Mapping!$E$12,0))</f>
        <v>0</v>
      </c>
      <c r="M240" s="1">
        <f>IF(Signals_US!I240=1,Signals_US!Q240*Mapping!$E$13,IF(Signals_US!I240=-1,-Signals_US!R240*Mapping!$E$13,0))</f>
        <v>0</v>
      </c>
      <c r="N240" s="1">
        <f>0</f>
        <v>0</v>
      </c>
      <c r="O240" s="1">
        <f>0</f>
        <v>0</v>
      </c>
      <c r="P240" s="1">
        <f>IF(Signals_US!E240=1,Signals_US!Q240*Mapping!$E$16,IF(Signals_US!E240=-1,-Signals_US!R240*Mapping!$E$16,0))</f>
        <v>0</v>
      </c>
      <c r="Q240" s="1">
        <f>IF(Signals_US!J240=1,Signals_US!Q240*Mapping!$E$17,IF(Signals_US!J240=-1,-Signals_US!R240*Mapping!$E$17,0))</f>
        <v>5.000000000000001E-2</v>
      </c>
      <c r="R240" s="1">
        <f>IF(Signals_US!K240=1,Signals_US!Q240*Mapping!$E$18,IF(Signals_US!K240=-1,-Signals_US!R240*Mapping!$E$18,0))</f>
        <v>-5.000000000000001E-2</v>
      </c>
      <c r="S240" s="1">
        <f>IF(Signals_US!M240=1,Signals_US!Q240*Mapping!$E$19,IF(Signals_US!M240=-1,-Signals_US!R240*Mapping!$E$19,0))</f>
        <v>0</v>
      </c>
      <c r="T240" s="1">
        <f>IF(Signals_US!L240=1,Signals_US!Q240*Mapping!$E$20,IF(Signals_US!L240=-1,-Signals_US!R240*Mapping!$E$20,0))</f>
        <v>-5.000000000000001E-2</v>
      </c>
      <c r="U240" s="1">
        <f t="shared" si="3"/>
        <v>0</v>
      </c>
    </row>
  </sheetData>
  <conditionalFormatting sqref="B2:T240">
    <cfRule type="cellIs" dxfId="3" priority="1" stopIfTrue="1" operator="greaterThan">
      <formula>0</formula>
    </cfRule>
    <cfRule type="cellIs" dxfId="2" priority="2" stopIfTrue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362D-C927-4AD9-84C9-2B7CC2917F65}">
  <dimension ref="A1:U240"/>
  <sheetViews>
    <sheetView workbookViewId="0"/>
  </sheetViews>
  <sheetFormatPr defaultRowHeight="14.5"/>
  <cols>
    <col min="1" max="1" width="16.6328125" customWidth="1"/>
    <col min="2" max="20" width="17.6328125" customWidth="1"/>
    <col min="21" max="21" width="12.6328125" customWidth="1"/>
  </cols>
  <sheetData>
    <row r="1" spans="1:21" ht="64" customHeight="1">
      <c r="A1" s="4" t="s">
        <v>50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12</v>
      </c>
      <c r="G1" s="4" t="s">
        <v>14</v>
      </c>
      <c r="H1" s="4" t="s">
        <v>15</v>
      </c>
      <c r="I1" s="4" t="s">
        <v>17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24</v>
      </c>
      <c r="O1" s="4" t="s">
        <v>26</v>
      </c>
      <c r="P1" s="4" t="s">
        <v>27</v>
      </c>
      <c r="Q1" s="4" t="s">
        <v>28</v>
      </c>
      <c r="R1" s="4" t="s">
        <v>30</v>
      </c>
      <c r="S1" s="4" t="s">
        <v>32</v>
      </c>
      <c r="T1" s="4" t="s">
        <v>34</v>
      </c>
      <c r="U1" s="4" t="s">
        <v>51</v>
      </c>
    </row>
    <row r="2" spans="1:21">
      <c r="A2" s="5">
        <f>Signals_EU!B2</f>
        <v>39052</v>
      </c>
      <c r="B2" s="1">
        <f>IF(Signals_EU!O2=1,Signals_EU!R2*Mapping!$C$2,IF(Signals_EU!O2=-1,-Signals_EU!S2*Mapping!$C$2,0))</f>
        <v>0</v>
      </c>
      <c r="C2" s="1">
        <f>IF(Signals_EU!F2=1,Signals_EU!R2*Mapping!$C$3,IF(Signals_EU!F2=-1,-Signals_EU!S2*Mapping!$C$3,0))</f>
        <v>0</v>
      </c>
      <c r="D2" s="1">
        <f>IF(Signals_EU!C2=1,Signals_EU!R2*Mapping!$C$4,IF(Signals_EU!C2=-1,-Signals_EU!S2*Mapping!$C$4,0))</f>
        <v>0</v>
      </c>
      <c r="E2" s="1">
        <f>IF(Signals_EU!C2=1,Signals_EU!R2*Mapping!$C$5,IF(Signals_EU!C2=-1,-Signals_EU!S2*Mapping!$C$5,0))</f>
        <v>0</v>
      </c>
      <c r="F2" s="1">
        <f>IF(Signals_EU!H2=1,Signals_EU!R2*Mapping!$C$6,IF(Signals_EU!H2=-1,-Signals_EU!S2*Mapping!$C$6,0))</f>
        <v>0</v>
      </c>
      <c r="G2" s="1">
        <f>IF(Signals_EU!F2=1,Signals_EU!R2*Mapping!$C$7,IF(Signals_EU!F2=-1,-Signals_EU!S2*Mapping!$C$7,0))</f>
        <v>0</v>
      </c>
      <c r="H2" s="1">
        <f>IF(Signals_EU!D2=1,Signals_EU!R2*Mapping!$C$8,IF(Signals_EU!D2=-1,-Signals_EU!S2*Mapping!$C$8,0))</f>
        <v>0</v>
      </c>
      <c r="I2" s="1">
        <f>IF(Signals_EU!G2=1,Signals_EU!R2*Mapping!$C$9,IF(Signals_EU!G2=-1,-Signals_EU!S2*Mapping!$C$9,0))</f>
        <v>0</v>
      </c>
      <c r="J2" s="1">
        <f>IF(Signals_EU!H2=1,Signals_EU!R2*Mapping!$C$10,IF(Signals_EU!H2=-1,-Signals_EU!S2*Mapping!$C$10,0))</f>
        <v>0</v>
      </c>
      <c r="K2" s="1">
        <f>IF(Signals_EU!F2=1,Signals_EU!R2*Mapping!$C$11,IF(Signals_EU!F2=-1,-Signals_EU!S2*Mapping!$C$11,0))</f>
        <v>0</v>
      </c>
      <c r="L2" s="1">
        <f>IF(Signals_EU!N2=1,Signals_EU!R2*Mapping!$C$12,IF(Signals_EU!N2=-1,-Signals_EU!S2*Mapping!$C$12,0))</f>
        <v>0</v>
      </c>
      <c r="M2" s="1">
        <f>IF(Signals_EU!I2=1,Signals_EU!R2*Mapping!$C$13,IF(Signals_EU!I2=-1,-Signals_EU!S2*Mapping!$C$13,0))</f>
        <v>0</v>
      </c>
      <c r="N2" s="1">
        <f>IF(Signals_EU!E2=1,Signals_EU!R2*Mapping!$C$14,IF(Signals_EU!E2=-1,-Signals_EU!S2*Mapping!$C$14,0))</f>
        <v>0</v>
      </c>
      <c r="O2" s="1">
        <f>0</f>
        <v>0</v>
      </c>
      <c r="P2" s="1">
        <f>0</f>
        <v>0</v>
      </c>
      <c r="Q2" s="1">
        <f>IF(Signals_EU!J2=1,Signals_EU!R2*Mapping!$C$17,IF(Signals_EU!J2=-1,-Signals_EU!S2*Mapping!$C$17,0))</f>
        <v>0</v>
      </c>
      <c r="R2" s="1">
        <f>IF(Signals_EU!K2=1,Signals_EU!R2*Mapping!$C$18,IF(Signals_EU!K2=-1,-Signals_EU!S2*Mapping!$C$18,0))</f>
        <v>0</v>
      </c>
      <c r="S2" s="1">
        <f>IF(Signals_EU!M2=1,Signals_EU!R2*Mapping!$C$19,IF(Signals_EU!M2=-1,-Signals_EU!S2*Mapping!$C$19,0))</f>
        <v>0</v>
      </c>
      <c r="T2" s="1">
        <f>IF(Signals_EU!L2=1,Signals_EU!R2*Mapping!$C$20,IF(Signals_EU!L2=-1,-Signals_EU!S2*Mapping!$C$20,0))</f>
        <v>0</v>
      </c>
      <c r="U2" s="1">
        <f>ROUND(SUM(B2:T2),12)</f>
        <v>0</v>
      </c>
    </row>
    <row r="3" spans="1:21">
      <c r="A3" s="5">
        <f>Signals_EU!B3</f>
        <v>39083</v>
      </c>
      <c r="B3" s="1">
        <f>IF(Signals_EU!O3=1,Signals_EU!R3*Mapping!$C$2,IF(Signals_EU!O3=-1,-Signals_EU!S3*Mapping!$C$2,0))</f>
        <v>0</v>
      </c>
      <c r="C3" s="1">
        <f>IF(Signals_EU!F3=1,Signals_EU!R3*Mapping!$C$3,IF(Signals_EU!F3=-1,-Signals_EU!S3*Mapping!$C$3,0))</f>
        <v>0</v>
      </c>
      <c r="D3" s="1">
        <f>IF(Signals_EU!C3=1,Signals_EU!R3*Mapping!$C$4,IF(Signals_EU!C3=-1,-Signals_EU!S3*Mapping!$C$4,0))</f>
        <v>0</v>
      </c>
      <c r="E3" s="1">
        <f>IF(Signals_EU!C3=1,Signals_EU!R3*Mapping!$C$5,IF(Signals_EU!C3=-1,-Signals_EU!S3*Mapping!$C$5,0))</f>
        <v>0</v>
      </c>
      <c r="F3" s="1">
        <f>IF(Signals_EU!H3=1,Signals_EU!R3*Mapping!$C$6,IF(Signals_EU!H3=-1,-Signals_EU!S3*Mapping!$C$6,0))</f>
        <v>0</v>
      </c>
      <c r="G3" s="1">
        <f>IF(Signals_EU!F3=1,Signals_EU!R3*Mapping!$C$7,IF(Signals_EU!F3=-1,-Signals_EU!S3*Mapping!$C$7,0))</f>
        <v>0</v>
      </c>
      <c r="H3" s="1">
        <f>IF(Signals_EU!D3=1,Signals_EU!R3*Mapping!$C$8,IF(Signals_EU!D3=-1,-Signals_EU!S3*Mapping!$C$8,0))</f>
        <v>0</v>
      </c>
      <c r="I3" s="1">
        <f>IF(Signals_EU!G3=1,Signals_EU!R3*Mapping!$C$9,IF(Signals_EU!G3=-1,-Signals_EU!S3*Mapping!$C$9,0))</f>
        <v>0</v>
      </c>
      <c r="J3" s="1">
        <f>IF(Signals_EU!H3=1,Signals_EU!R3*Mapping!$C$10,IF(Signals_EU!H3=-1,-Signals_EU!S3*Mapping!$C$10,0))</f>
        <v>0</v>
      </c>
      <c r="K3" s="1">
        <f>IF(Signals_EU!F3=1,Signals_EU!R3*Mapping!$C$11,IF(Signals_EU!F3=-1,-Signals_EU!S3*Mapping!$C$11,0))</f>
        <v>0</v>
      </c>
      <c r="L3" s="1">
        <f>IF(Signals_EU!N3=1,Signals_EU!R3*Mapping!$C$12,IF(Signals_EU!N3=-1,-Signals_EU!S3*Mapping!$C$12,0))</f>
        <v>0</v>
      </c>
      <c r="M3" s="1">
        <f>IF(Signals_EU!I3=1,Signals_EU!R3*Mapping!$C$13,IF(Signals_EU!I3=-1,-Signals_EU!S3*Mapping!$C$13,0))</f>
        <v>0</v>
      </c>
      <c r="N3" s="1">
        <f>IF(Signals_EU!E3=1,Signals_EU!R3*Mapping!$C$14,IF(Signals_EU!E3=-1,-Signals_EU!S3*Mapping!$C$14,0))</f>
        <v>0</v>
      </c>
      <c r="O3" s="1">
        <f>0</f>
        <v>0</v>
      </c>
      <c r="P3" s="1">
        <f>0</f>
        <v>0</v>
      </c>
      <c r="Q3" s="1">
        <f>IF(Signals_EU!J3=1,Signals_EU!R3*Mapping!$C$17,IF(Signals_EU!J3=-1,-Signals_EU!S3*Mapping!$C$17,0))</f>
        <v>0</v>
      </c>
      <c r="R3" s="1">
        <f>IF(Signals_EU!K3=1,Signals_EU!R3*Mapping!$C$18,IF(Signals_EU!K3=-1,-Signals_EU!S3*Mapping!$C$18,0))</f>
        <v>0</v>
      </c>
      <c r="S3" s="1">
        <f>IF(Signals_EU!M3=1,Signals_EU!R3*Mapping!$C$19,IF(Signals_EU!M3=-1,-Signals_EU!S3*Mapping!$C$19,0))</f>
        <v>0</v>
      </c>
      <c r="T3" s="1">
        <f>IF(Signals_EU!L3=1,Signals_EU!R3*Mapping!$C$20,IF(Signals_EU!L3=-1,-Signals_EU!S3*Mapping!$C$20,0))</f>
        <v>0</v>
      </c>
      <c r="U3" s="1">
        <f t="shared" ref="U3:U66" si="0">ROUND(SUM(B3:T3),12)</f>
        <v>0</v>
      </c>
    </row>
    <row r="4" spans="1:21">
      <c r="A4" s="5">
        <f>Signals_EU!B4</f>
        <v>39114</v>
      </c>
      <c r="B4" s="1">
        <f>IF(Signals_EU!O4=1,Signals_EU!R4*Mapping!$C$2,IF(Signals_EU!O4=-1,-Signals_EU!S4*Mapping!$C$2,0))</f>
        <v>0</v>
      </c>
      <c r="C4" s="1">
        <f>IF(Signals_EU!F4=1,Signals_EU!R4*Mapping!$C$3,IF(Signals_EU!F4=-1,-Signals_EU!S4*Mapping!$C$3,0))</f>
        <v>0</v>
      </c>
      <c r="D4" s="1">
        <f>IF(Signals_EU!C4=1,Signals_EU!R4*Mapping!$C$4,IF(Signals_EU!C4=-1,-Signals_EU!S4*Mapping!$C$4,0))</f>
        <v>0</v>
      </c>
      <c r="E4" s="1">
        <f>IF(Signals_EU!C4=1,Signals_EU!R4*Mapping!$C$5,IF(Signals_EU!C4=-1,-Signals_EU!S4*Mapping!$C$5,0))</f>
        <v>0</v>
      </c>
      <c r="F4" s="1">
        <f>IF(Signals_EU!H4=1,Signals_EU!R4*Mapping!$C$6,IF(Signals_EU!H4=-1,-Signals_EU!S4*Mapping!$C$6,0))</f>
        <v>0</v>
      </c>
      <c r="G4" s="1">
        <f>IF(Signals_EU!F4=1,Signals_EU!R4*Mapping!$C$7,IF(Signals_EU!F4=-1,-Signals_EU!S4*Mapping!$C$7,0))</f>
        <v>0</v>
      </c>
      <c r="H4" s="1">
        <f>IF(Signals_EU!D4=1,Signals_EU!R4*Mapping!$C$8,IF(Signals_EU!D4=-1,-Signals_EU!S4*Mapping!$C$8,0))</f>
        <v>0</v>
      </c>
      <c r="I4" s="1">
        <f>IF(Signals_EU!G4=1,Signals_EU!R4*Mapping!$C$9,IF(Signals_EU!G4=-1,-Signals_EU!S4*Mapping!$C$9,0))</f>
        <v>0</v>
      </c>
      <c r="J4" s="1">
        <f>IF(Signals_EU!H4=1,Signals_EU!R4*Mapping!$C$10,IF(Signals_EU!H4=-1,-Signals_EU!S4*Mapping!$C$10,0))</f>
        <v>0</v>
      </c>
      <c r="K4" s="1">
        <f>IF(Signals_EU!F4=1,Signals_EU!R4*Mapping!$C$11,IF(Signals_EU!F4=-1,-Signals_EU!S4*Mapping!$C$11,0))</f>
        <v>0</v>
      </c>
      <c r="L4" s="1">
        <f>IF(Signals_EU!N4=1,Signals_EU!R4*Mapping!$C$12,IF(Signals_EU!N4=-1,-Signals_EU!S4*Mapping!$C$12,0))</f>
        <v>0</v>
      </c>
      <c r="M4" s="1">
        <f>IF(Signals_EU!I4=1,Signals_EU!R4*Mapping!$C$13,IF(Signals_EU!I4=-1,-Signals_EU!S4*Mapping!$C$13,0))</f>
        <v>0</v>
      </c>
      <c r="N4" s="1">
        <f>IF(Signals_EU!E4=1,Signals_EU!R4*Mapping!$C$14,IF(Signals_EU!E4=-1,-Signals_EU!S4*Mapping!$C$14,0))</f>
        <v>0</v>
      </c>
      <c r="O4" s="1">
        <f>0</f>
        <v>0</v>
      </c>
      <c r="P4" s="1">
        <f>0</f>
        <v>0</v>
      </c>
      <c r="Q4" s="1">
        <f>IF(Signals_EU!J4=1,Signals_EU!R4*Mapping!$C$17,IF(Signals_EU!J4=-1,-Signals_EU!S4*Mapping!$C$17,0))</f>
        <v>0</v>
      </c>
      <c r="R4" s="1">
        <f>IF(Signals_EU!K4=1,Signals_EU!R4*Mapping!$C$18,IF(Signals_EU!K4=-1,-Signals_EU!S4*Mapping!$C$18,0))</f>
        <v>0</v>
      </c>
      <c r="S4" s="1">
        <f>IF(Signals_EU!M4=1,Signals_EU!R4*Mapping!$C$19,IF(Signals_EU!M4=-1,-Signals_EU!S4*Mapping!$C$19,0))</f>
        <v>0</v>
      </c>
      <c r="T4" s="1">
        <f>IF(Signals_EU!L4=1,Signals_EU!R4*Mapping!$C$20,IF(Signals_EU!L4=-1,-Signals_EU!S4*Mapping!$C$20,0))</f>
        <v>0</v>
      </c>
      <c r="U4" s="1">
        <f t="shared" si="0"/>
        <v>0</v>
      </c>
    </row>
    <row r="5" spans="1:21">
      <c r="A5" s="5">
        <f>Signals_EU!B5</f>
        <v>39142</v>
      </c>
      <c r="B5" s="1">
        <f>IF(Signals_EU!O5=1,Signals_EU!R5*Mapping!$C$2,IF(Signals_EU!O5=-1,-Signals_EU!S5*Mapping!$C$2,0))</f>
        <v>0</v>
      </c>
      <c r="C5" s="1">
        <f>IF(Signals_EU!F5=1,Signals_EU!R5*Mapping!$C$3,IF(Signals_EU!F5=-1,-Signals_EU!S5*Mapping!$C$3,0))</f>
        <v>0</v>
      </c>
      <c r="D5" s="1">
        <f>IF(Signals_EU!C5=1,Signals_EU!R5*Mapping!$C$4,IF(Signals_EU!C5=-1,-Signals_EU!S5*Mapping!$C$4,0))</f>
        <v>0</v>
      </c>
      <c r="E5" s="1">
        <f>IF(Signals_EU!C5=1,Signals_EU!R5*Mapping!$C$5,IF(Signals_EU!C5=-1,-Signals_EU!S5*Mapping!$C$5,0))</f>
        <v>0</v>
      </c>
      <c r="F5" s="1">
        <f>IF(Signals_EU!H5=1,Signals_EU!R5*Mapping!$C$6,IF(Signals_EU!H5=-1,-Signals_EU!S5*Mapping!$C$6,0))</f>
        <v>0</v>
      </c>
      <c r="G5" s="1">
        <f>IF(Signals_EU!F5=1,Signals_EU!R5*Mapping!$C$7,IF(Signals_EU!F5=-1,-Signals_EU!S5*Mapping!$C$7,0))</f>
        <v>0</v>
      </c>
      <c r="H5" s="1">
        <f>IF(Signals_EU!D5=1,Signals_EU!R5*Mapping!$C$8,IF(Signals_EU!D5=-1,-Signals_EU!S5*Mapping!$C$8,0))</f>
        <v>0</v>
      </c>
      <c r="I5" s="1">
        <f>IF(Signals_EU!G5=1,Signals_EU!R5*Mapping!$C$9,IF(Signals_EU!G5=-1,-Signals_EU!S5*Mapping!$C$9,0))</f>
        <v>0</v>
      </c>
      <c r="J5" s="1">
        <f>IF(Signals_EU!H5=1,Signals_EU!R5*Mapping!$C$10,IF(Signals_EU!H5=-1,-Signals_EU!S5*Mapping!$C$10,0))</f>
        <v>0</v>
      </c>
      <c r="K5" s="1">
        <f>IF(Signals_EU!F5=1,Signals_EU!R5*Mapping!$C$11,IF(Signals_EU!F5=-1,-Signals_EU!S5*Mapping!$C$11,0))</f>
        <v>0</v>
      </c>
      <c r="L5" s="1">
        <f>IF(Signals_EU!N5=1,Signals_EU!R5*Mapping!$C$12,IF(Signals_EU!N5=-1,-Signals_EU!S5*Mapping!$C$12,0))</f>
        <v>0</v>
      </c>
      <c r="M5" s="1">
        <f>IF(Signals_EU!I5=1,Signals_EU!R5*Mapping!$C$13,IF(Signals_EU!I5=-1,-Signals_EU!S5*Mapping!$C$13,0))</f>
        <v>0</v>
      </c>
      <c r="N5" s="1">
        <f>IF(Signals_EU!E5=1,Signals_EU!R5*Mapping!$C$14,IF(Signals_EU!E5=-1,-Signals_EU!S5*Mapping!$C$14,0))</f>
        <v>0</v>
      </c>
      <c r="O5" s="1">
        <f>0</f>
        <v>0</v>
      </c>
      <c r="P5" s="1">
        <f>0</f>
        <v>0</v>
      </c>
      <c r="Q5" s="1">
        <f>IF(Signals_EU!J5=1,Signals_EU!R5*Mapping!$C$17,IF(Signals_EU!J5=-1,-Signals_EU!S5*Mapping!$C$17,0))</f>
        <v>0</v>
      </c>
      <c r="R5" s="1">
        <f>IF(Signals_EU!K5=1,Signals_EU!R5*Mapping!$C$18,IF(Signals_EU!K5=-1,-Signals_EU!S5*Mapping!$C$18,0))</f>
        <v>0</v>
      </c>
      <c r="S5" s="1">
        <f>IF(Signals_EU!M5=1,Signals_EU!R5*Mapping!$C$19,IF(Signals_EU!M5=-1,-Signals_EU!S5*Mapping!$C$19,0))</f>
        <v>0</v>
      </c>
      <c r="T5" s="1">
        <f>IF(Signals_EU!L5=1,Signals_EU!R5*Mapping!$C$20,IF(Signals_EU!L5=-1,-Signals_EU!S5*Mapping!$C$20,0))</f>
        <v>0</v>
      </c>
      <c r="U5" s="1">
        <f t="shared" si="0"/>
        <v>0</v>
      </c>
    </row>
    <row r="6" spans="1:21">
      <c r="A6" s="5">
        <f>Signals_EU!B6</f>
        <v>39173</v>
      </c>
      <c r="B6" s="1">
        <f>IF(Signals_EU!O6=1,Signals_EU!R6*Mapping!$C$2,IF(Signals_EU!O6=-1,-Signals_EU!S6*Mapping!$C$2,0))</f>
        <v>0</v>
      </c>
      <c r="C6" s="1">
        <f>IF(Signals_EU!F6=1,Signals_EU!R6*Mapping!$C$3,IF(Signals_EU!F6=-1,-Signals_EU!S6*Mapping!$C$3,0))</f>
        <v>0</v>
      </c>
      <c r="D6" s="1">
        <f>IF(Signals_EU!C6=1,Signals_EU!R6*Mapping!$C$4,IF(Signals_EU!C6=-1,-Signals_EU!S6*Mapping!$C$4,0))</f>
        <v>0</v>
      </c>
      <c r="E6" s="1">
        <f>IF(Signals_EU!C6=1,Signals_EU!R6*Mapping!$C$5,IF(Signals_EU!C6=-1,-Signals_EU!S6*Mapping!$C$5,0))</f>
        <v>0</v>
      </c>
      <c r="F6" s="1">
        <f>IF(Signals_EU!H6=1,Signals_EU!R6*Mapping!$C$6,IF(Signals_EU!H6=-1,-Signals_EU!S6*Mapping!$C$6,0))</f>
        <v>0</v>
      </c>
      <c r="G6" s="1">
        <f>IF(Signals_EU!F6=1,Signals_EU!R6*Mapping!$C$7,IF(Signals_EU!F6=-1,-Signals_EU!S6*Mapping!$C$7,0))</f>
        <v>0</v>
      </c>
      <c r="H6" s="1">
        <f>IF(Signals_EU!D6=1,Signals_EU!R6*Mapping!$C$8,IF(Signals_EU!D6=-1,-Signals_EU!S6*Mapping!$C$8,0))</f>
        <v>0</v>
      </c>
      <c r="I6" s="1">
        <f>IF(Signals_EU!G6=1,Signals_EU!R6*Mapping!$C$9,IF(Signals_EU!G6=-1,-Signals_EU!S6*Mapping!$C$9,0))</f>
        <v>0</v>
      </c>
      <c r="J6" s="1">
        <f>IF(Signals_EU!H6=1,Signals_EU!R6*Mapping!$C$10,IF(Signals_EU!H6=-1,-Signals_EU!S6*Mapping!$C$10,0))</f>
        <v>0</v>
      </c>
      <c r="K6" s="1">
        <f>IF(Signals_EU!F6=1,Signals_EU!R6*Mapping!$C$11,IF(Signals_EU!F6=-1,-Signals_EU!S6*Mapping!$C$11,0))</f>
        <v>0</v>
      </c>
      <c r="L6" s="1">
        <f>IF(Signals_EU!N6=1,Signals_EU!R6*Mapping!$C$12,IF(Signals_EU!N6=-1,-Signals_EU!S6*Mapping!$C$12,0))</f>
        <v>0</v>
      </c>
      <c r="M6" s="1">
        <f>IF(Signals_EU!I6=1,Signals_EU!R6*Mapping!$C$13,IF(Signals_EU!I6=-1,-Signals_EU!S6*Mapping!$C$13,0))</f>
        <v>0</v>
      </c>
      <c r="N6" s="1">
        <f>IF(Signals_EU!E6=1,Signals_EU!R6*Mapping!$C$14,IF(Signals_EU!E6=-1,-Signals_EU!S6*Mapping!$C$14,0))</f>
        <v>0</v>
      </c>
      <c r="O6" s="1">
        <f>0</f>
        <v>0</v>
      </c>
      <c r="P6" s="1">
        <f>0</f>
        <v>0</v>
      </c>
      <c r="Q6" s="1">
        <f>IF(Signals_EU!J6=1,Signals_EU!R6*Mapping!$C$17,IF(Signals_EU!J6=-1,-Signals_EU!S6*Mapping!$C$17,0))</f>
        <v>0</v>
      </c>
      <c r="R6" s="1">
        <f>IF(Signals_EU!K6=1,Signals_EU!R6*Mapping!$C$18,IF(Signals_EU!K6=-1,-Signals_EU!S6*Mapping!$C$18,0))</f>
        <v>0</v>
      </c>
      <c r="S6" s="1">
        <f>IF(Signals_EU!M6=1,Signals_EU!R6*Mapping!$C$19,IF(Signals_EU!M6=-1,-Signals_EU!S6*Mapping!$C$19,0))</f>
        <v>0</v>
      </c>
      <c r="T6" s="1">
        <f>IF(Signals_EU!L6=1,Signals_EU!R6*Mapping!$C$20,IF(Signals_EU!L6=-1,-Signals_EU!S6*Mapping!$C$20,0))</f>
        <v>0</v>
      </c>
      <c r="U6" s="1">
        <f t="shared" si="0"/>
        <v>0</v>
      </c>
    </row>
    <row r="7" spans="1:21">
      <c r="A7" s="5">
        <f>Signals_EU!B7</f>
        <v>39203</v>
      </c>
      <c r="B7" s="1">
        <f>IF(Signals_EU!O7=1,Signals_EU!R7*Mapping!$C$2,IF(Signals_EU!O7=-1,-Signals_EU!S7*Mapping!$C$2,0))</f>
        <v>0</v>
      </c>
      <c r="C7" s="1">
        <f>IF(Signals_EU!F7=1,Signals_EU!R7*Mapping!$C$3,IF(Signals_EU!F7=-1,-Signals_EU!S7*Mapping!$C$3,0))</f>
        <v>0</v>
      </c>
      <c r="D7" s="1">
        <f>IF(Signals_EU!C7=1,Signals_EU!R7*Mapping!$C$4,IF(Signals_EU!C7=-1,-Signals_EU!S7*Mapping!$C$4,0))</f>
        <v>0</v>
      </c>
      <c r="E7" s="1">
        <f>IF(Signals_EU!C7=1,Signals_EU!R7*Mapping!$C$5,IF(Signals_EU!C7=-1,-Signals_EU!S7*Mapping!$C$5,0))</f>
        <v>0</v>
      </c>
      <c r="F7" s="1">
        <f>IF(Signals_EU!H7=1,Signals_EU!R7*Mapping!$C$6,IF(Signals_EU!H7=-1,-Signals_EU!S7*Mapping!$C$6,0))</f>
        <v>0</v>
      </c>
      <c r="G7" s="1">
        <f>IF(Signals_EU!F7=1,Signals_EU!R7*Mapping!$C$7,IF(Signals_EU!F7=-1,-Signals_EU!S7*Mapping!$C$7,0))</f>
        <v>0</v>
      </c>
      <c r="H7" s="1">
        <f>IF(Signals_EU!D7=1,Signals_EU!R7*Mapping!$C$8,IF(Signals_EU!D7=-1,-Signals_EU!S7*Mapping!$C$8,0))</f>
        <v>0</v>
      </c>
      <c r="I7" s="1">
        <f>IF(Signals_EU!G7=1,Signals_EU!R7*Mapping!$C$9,IF(Signals_EU!G7=-1,-Signals_EU!S7*Mapping!$C$9,0))</f>
        <v>0</v>
      </c>
      <c r="J7" s="1">
        <f>IF(Signals_EU!H7=1,Signals_EU!R7*Mapping!$C$10,IF(Signals_EU!H7=-1,-Signals_EU!S7*Mapping!$C$10,0))</f>
        <v>0</v>
      </c>
      <c r="K7" s="1">
        <f>IF(Signals_EU!F7=1,Signals_EU!R7*Mapping!$C$11,IF(Signals_EU!F7=-1,-Signals_EU!S7*Mapping!$C$11,0))</f>
        <v>0</v>
      </c>
      <c r="L7" s="1">
        <f>IF(Signals_EU!N7=1,Signals_EU!R7*Mapping!$C$12,IF(Signals_EU!N7=-1,-Signals_EU!S7*Mapping!$C$12,0))</f>
        <v>0</v>
      </c>
      <c r="M7" s="1">
        <f>IF(Signals_EU!I7=1,Signals_EU!R7*Mapping!$C$13,IF(Signals_EU!I7=-1,-Signals_EU!S7*Mapping!$C$13,0))</f>
        <v>0</v>
      </c>
      <c r="N7" s="1">
        <f>IF(Signals_EU!E7=1,Signals_EU!R7*Mapping!$C$14,IF(Signals_EU!E7=-1,-Signals_EU!S7*Mapping!$C$14,0))</f>
        <v>0</v>
      </c>
      <c r="O7" s="1">
        <f>0</f>
        <v>0</v>
      </c>
      <c r="P7" s="1">
        <f>0</f>
        <v>0</v>
      </c>
      <c r="Q7" s="1">
        <f>IF(Signals_EU!J7=1,Signals_EU!R7*Mapping!$C$17,IF(Signals_EU!J7=-1,-Signals_EU!S7*Mapping!$C$17,0))</f>
        <v>0</v>
      </c>
      <c r="R7" s="1">
        <f>IF(Signals_EU!K7=1,Signals_EU!R7*Mapping!$C$18,IF(Signals_EU!K7=-1,-Signals_EU!S7*Mapping!$C$18,0))</f>
        <v>0</v>
      </c>
      <c r="S7" s="1">
        <f>IF(Signals_EU!M7=1,Signals_EU!R7*Mapping!$C$19,IF(Signals_EU!M7=-1,-Signals_EU!S7*Mapping!$C$19,0))</f>
        <v>0</v>
      </c>
      <c r="T7" s="1">
        <f>IF(Signals_EU!L7=1,Signals_EU!R7*Mapping!$C$20,IF(Signals_EU!L7=-1,-Signals_EU!S7*Mapping!$C$20,0))</f>
        <v>0</v>
      </c>
      <c r="U7" s="1">
        <f t="shared" si="0"/>
        <v>0</v>
      </c>
    </row>
    <row r="8" spans="1:21">
      <c r="A8" s="5">
        <f>Signals_EU!B8</f>
        <v>39234</v>
      </c>
      <c r="B8" s="1">
        <f>IF(Signals_EU!O8=1,Signals_EU!R8*Mapping!$C$2,IF(Signals_EU!O8=-1,-Signals_EU!S8*Mapping!$C$2,0))</f>
        <v>0</v>
      </c>
      <c r="C8" s="1">
        <f>IF(Signals_EU!F8=1,Signals_EU!R8*Mapping!$C$3,IF(Signals_EU!F8=-1,-Signals_EU!S8*Mapping!$C$3,0))</f>
        <v>0</v>
      </c>
      <c r="D8" s="1">
        <f>IF(Signals_EU!C8=1,Signals_EU!R8*Mapping!$C$4,IF(Signals_EU!C8=-1,-Signals_EU!S8*Mapping!$C$4,0))</f>
        <v>0</v>
      </c>
      <c r="E8" s="1">
        <f>IF(Signals_EU!C8=1,Signals_EU!R8*Mapping!$C$5,IF(Signals_EU!C8=-1,-Signals_EU!S8*Mapping!$C$5,0))</f>
        <v>0</v>
      </c>
      <c r="F8" s="1">
        <f>IF(Signals_EU!H8=1,Signals_EU!R8*Mapping!$C$6,IF(Signals_EU!H8=-1,-Signals_EU!S8*Mapping!$C$6,0))</f>
        <v>0</v>
      </c>
      <c r="G8" s="1">
        <f>IF(Signals_EU!F8=1,Signals_EU!R8*Mapping!$C$7,IF(Signals_EU!F8=-1,-Signals_EU!S8*Mapping!$C$7,0))</f>
        <v>0</v>
      </c>
      <c r="H8" s="1">
        <f>IF(Signals_EU!D8=1,Signals_EU!R8*Mapping!$C$8,IF(Signals_EU!D8=-1,-Signals_EU!S8*Mapping!$C$8,0))</f>
        <v>0</v>
      </c>
      <c r="I8" s="1">
        <f>IF(Signals_EU!G8=1,Signals_EU!R8*Mapping!$C$9,IF(Signals_EU!G8=-1,-Signals_EU!S8*Mapping!$C$9,0))</f>
        <v>0</v>
      </c>
      <c r="J8" s="1">
        <f>IF(Signals_EU!H8=1,Signals_EU!R8*Mapping!$C$10,IF(Signals_EU!H8=-1,-Signals_EU!S8*Mapping!$C$10,0))</f>
        <v>0</v>
      </c>
      <c r="K8" s="1">
        <f>IF(Signals_EU!F8=1,Signals_EU!R8*Mapping!$C$11,IF(Signals_EU!F8=-1,-Signals_EU!S8*Mapping!$C$11,0))</f>
        <v>0</v>
      </c>
      <c r="L8" s="1">
        <f>IF(Signals_EU!N8=1,Signals_EU!R8*Mapping!$C$12,IF(Signals_EU!N8=-1,-Signals_EU!S8*Mapping!$C$12,0))</f>
        <v>0</v>
      </c>
      <c r="M8" s="1">
        <f>IF(Signals_EU!I8=1,Signals_EU!R8*Mapping!$C$13,IF(Signals_EU!I8=-1,-Signals_EU!S8*Mapping!$C$13,0))</f>
        <v>0</v>
      </c>
      <c r="N8" s="1">
        <f>IF(Signals_EU!E8=1,Signals_EU!R8*Mapping!$C$14,IF(Signals_EU!E8=-1,-Signals_EU!S8*Mapping!$C$14,0))</f>
        <v>0</v>
      </c>
      <c r="O8" s="1">
        <f>0</f>
        <v>0</v>
      </c>
      <c r="P8" s="1">
        <f>0</f>
        <v>0</v>
      </c>
      <c r="Q8" s="1">
        <f>IF(Signals_EU!J8=1,Signals_EU!R8*Mapping!$C$17,IF(Signals_EU!J8=-1,-Signals_EU!S8*Mapping!$C$17,0))</f>
        <v>0</v>
      </c>
      <c r="R8" s="1">
        <f>IF(Signals_EU!K8=1,Signals_EU!R8*Mapping!$C$18,IF(Signals_EU!K8=-1,-Signals_EU!S8*Mapping!$C$18,0))</f>
        <v>0</v>
      </c>
      <c r="S8" s="1">
        <f>IF(Signals_EU!M8=1,Signals_EU!R8*Mapping!$C$19,IF(Signals_EU!M8=-1,-Signals_EU!S8*Mapping!$C$19,0))</f>
        <v>0</v>
      </c>
      <c r="T8" s="1">
        <f>IF(Signals_EU!L8=1,Signals_EU!R8*Mapping!$C$20,IF(Signals_EU!L8=-1,-Signals_EU!S8*Mapping!$C$20,0))</f>
        <v>0</v>
      </c>
      <c r="U8" s="1">
        <f t="shared" si="0"/>
        <v>0</v>
      </c>
    </row>
    <row r="9" spans="1:21">
      <c r="A9" s="5">
        <f>Signals_EU!B9</f>
        <v>39264</v>
      </c>
      <c r="B9" s="1">
        <f>IF(Signals_EU!O9=1,Signals_EU!R9*Mapping!$C$2,IF(Signals_EU!O9=-1,-Signals_EU!S9*Mapping!$C$2,0))</f>
        <v>0</v>
      </c>
      <c r="C9" s="1">
        <f>IF(Signals_EU!F9=1,Signals_EU!R9*Mapping!$C$3,IF(Signals_EU!F9=-1,-Signals_EU!S9*Mapping!$C$3,0))</f>
        <v>0</v>
      </c>
      <c r="D9" s="1">
        <f>IF(Signals_EU!C9=1,Signals_EU!R9*Mapping!$C$4,IF(Signals_EU!C9=-1,-Signals_EU!S9*Mapping!$C$4,0))</f>
        <v>0</v>
      </c>
      <c r="E9" s="1">
        <f>IF(Signals_EU!C9=1,Signals_EU!R9*Mapping!$C$5,IF(Signals_EU!C9=-1,-Signals_EU!S9*Mapping!$C$5,0))</f>
        <v>0</v>
      </c>
      <c r="F9" s="1">
        <f>IF(Signals_EU!H9=1,Signals_EU!R9*Mapping!$C$6,IF(Signals_EU!H9=-1,-Signals_EU!S9*Mapping!$C$6,0))</f>
        <v>0</v>
      </c>
      <c r="G9" s="1">
        <f>IF(Signals_EU!F9=1,Signals_EU!R9*Mapping!$C$7,IF(Signals_EU!F9=-1,-Signals_EU!S9*Mapping!$C$7,0))</f>
        <v>0</v>
      </c>
      <c r="H9" s="1">
        <f>IF(Signals_EU!D9=1,Signals_EU!R9*Mapping!$C$8,IF(Signals_EU!D9=-1,-Signals_EU!S9*Mapping!$C$8,0))</f>
        <v>0</v>
      </c>
      <c r="I9" s="1">
        <f>IF(Signals_EU!G9=1,Signals_EU!R9*Mapping!$C$9,IF(Signals_EU!G9=-1,-Signals_EU!S9*Mapping!$C$9,0))</f>
        <v>0</v>
      </c>
      <c r="J9" s="1">
        <f>IF(Signals_EU!H9=1,Signals_EU!R9*Mapping!$C$10,IF(Signals_EU!H9=-1,-Signals_EU!S9*Mapping!$C$10,0))</f>
        <v>0</v>
      </c>
      <c r="K9" s="1">
        <f>IF(Signals_EU!F9=1,Signals_EU!R9*Mapping!$C$11,IF(Signals_EU!F9=-1,-Signals_EU!S9*Mapping!$C$11,0))</f>
        <v>0</v>
      </c>
      <c r="L9" s="1">
        <f>IF(Signals_EU!N9=1,Signals_EU!R9*Mapping!$C$12,IF(Signals_EU!N9=-1,-Signals_EU!S9*Mapping!$C$12,0))</f>
        <v>0</v>
      </c>
      <c r="M9" s="1">
        <f>IF(Signals_EU!I9=1,Signals_EU!R9*Mapping!$C$13,IF(Signals_EU!I9=-1,-Signals_EU!S9*Mapping!$C$13,0))</f>
        <v>0</v>
      </c>
      <c r="N9" s="1">
        <f>IF(Signals_EU!E9=1,Signals_EU!R9*Mapping!$C$14,IF(Signals_EU!E9=-1,-Signals_EU!S9*Mapping!$C$14,0))</f>
        <v>0</v>
      </c>
      <c r="O9" s="1">
        <f>0</f>
        <v>0</v>
      </c>
      <c r="P9" s="1">
        <f>0</f>
        <v>0</v>
      </c>
      <c r="Q9" s="1">
        <f>IF(Signals_EU!J9=1,Signals_EU!R9*Mapping!$C$17,IF(Signals_EU!J9=-1,-Signals_EU!S9*Mapping!$C$17,0))</f>
        <v>0</v>
      </c>
      <c r="R9" s="1">
        <f>IF(Signals_EU!K9=1,Signals_EU!R9*Mapping!$C$18,IF(Signals_EU!K9=-1,-Signals_EU!S9*Mapping!$C$18,0))</f>
        <v>0</v>
      </c>
      <c r="S9" s="1">
        <f>IF(Signals_EU!M9=1,Signals_EU!R9*Mapping!$C$19,IF(Signals_EU!M9=-1,-Signals_EU!S9*Mapping!$C$19,0))</f>
        <v>0</v>
      </c>
      <c r="T9" s="1">
        <f>IF(Signals_EU!L9=1,Signals_EU!R9*Mapping!$C$20,IF(Signals_EU!L9=-1,-Signals_EU!S9*Mapping!$C$20,0))</f>
        <v>0</v>
      </c>
      <c r="U9" s="1">
        <f t="shared" si="0"/>
        <v>0</v>
      </c>
    </row>
    <row r="10" spans="1:21">
      <c r="A10" s="5">
        <f>Signals_EU!B10</f>
        <v>39295</v>
      </c>
      <c r="B10" s="1">
        <f>IF(Signals_EU!O10=1,Signals_EU!R10*Mapping!$C$2,IF(Signals_EU!O10=-1,-Signals_EU!S10*Mapping!$C$2,0))</f>
        <v>0</v>
      </c>
      <c r="C10" s="1">
        <f>IF(Signals_EU!F10=1,Signals_EU!R10*Mapping!$C$3,IF(Signals_EU!F10=-1,-Signals_EU!S10*Mapping!$C$3,0))</f>
        <v>0</v>
      </c>
      <c r="D10" s="1">
        <f>IF(Signals_EU!C10=1,Signals_EU!R10*Mapping!$C$4,IF(Signals_EU!C10=-1,-Signals_EU!S10*Mapping!$C$4,0))</f>
        <v>0</v>
      </c>
      <c r="E10" s="1">
        <f>IF(Signals_EU!C10=1,Signals_EU!R10*Mapping!$C$5,IF(Signals_EU!C10=-1,-Signals_EU!S10*Mapping!$C$5,0))</f>
        <v>0</v>
      </c>
      <c r="F10" s="1">
        <f>IF(Signals_EU!H10=1,Signals_EU!R10*Mapping!$C$6,IF(Signals_EU!H10=-1,-Signals_EU!S10*Mapping!$C$6,0))</f>
        <v>0</v>
      </c>
      <c r="G10" s="1">
        <f>IF(Signals_EU!F10=1,Signals_EU!R10*Mapping!$C$7,IF(Signals_EU!F10=-1,-Signals_EU!S10*Mapping!$C$7,0))</f>
        <v>0</v>
      </c>
      <c r="H10" s="1">
        <f>IF(Signals_EU!D10=1,Signals_EU!R10*Mapping!$C$8,IF(Signals_EU!D10=-1,-Signals_EU!S10*Mapping!$C$8,0))</f>
        <v>0</v>
      </c>
      <c r="I10" s="1">
        <f>IF(Signals_EU!G10=1,Signals_EU!R10*Mapping!$C$9,IF(Signals_EU!G10=-1,-Signals_EU!S10*Mapping!$C$9,0))</f>
        <v>0</v>
      </c>
      <c r="J10" s="1">
        <f>IF(Signals_EU!H10=1,Signals_EU!R10*Mapping!$C$10,IF(Signals_EU!H10=-1,-Signals_EU!S10*Mapping!$C$10,0))</f>
        <v>0</v>
      </c>
      <c r="K10" s="1">
        <f>IF(Signals_EU!F10=1,Signals_EU!R10*Mapping!$C$11,IF(Signals_EU!F10=-1,-Signals_EU!S10*Mapping!$C$11,0))</f>
        <v>0</v>
      </c>
      <c r="L10" s="1">
        <f>IF(Signals_EU!N10=1,Signals_EU!R10*Mapping!$C$12,IF(Signals_EU!N10=-1,-Signals_EU!S10*Mapping!$C$12,0))</f>
        <v>0</v>
      </c>
      <c r="M10" s="1">
        <f>IF(Signals_EU!I10=1,Signals_EU!R10*Mapping!$C$13,IF(Signals_EU!I10=-1,-Signals_EU!S10*Mapping!$C$13,0))</f>
        <v>0</v>
      </c>
      <c r="N10" s="1">
        <f>IF(Signals_EU!E10=1,Signals_EU!R10*Mapping!$C$14,IF(Signals_EU!E10=-1,-Signals_EU!S10*Mapping!$C$14,0))</f>
        <v>0</v>
      </c>
      <c r="O10" s="1">
        <f>0</f>
        <v>0</v>
      </c>
      <c r="P10" s="1">
        <f>0</f>
        <v>0</v>
      </c>
      <c r="Q10" s="1">
        <f>IF(Signals_EU!J10=1,Signals_EU!R10*Mapping!$C$17,IF(Signals_EU!J10=-1,-Signals_EU!S10*Mapping!$C$17,0))</f>
        <v>0</v>
      </c>
      <c r="R10" s="1">
        <f>IF(Signals_EU!K10=1,Signals_EU!R10*Mapping!$C$18,IF(Signals_EU!K10=-1,-Signals_EU!S10*Mapping!$C$18,0))</f>
        <v>0</v>
      </c>
      <c r="S10" s="1">
        <f>IF(Signals_EU!M10=1,Signals_EU!R10*Mapping!$C$19,IF(Signals_EU!M10=-1,-Signals_EU!S10*Mapping!$C$19,0))</f>
        <v>0</v>
      </c>
      <c r="T10" s="1">
        <f>IF(Signals_EU!L10=1,Signals_EU!R10*Mapping!$C$20,IF(Signals_EU!L10=-1,-Signals_EU!S10*Mapping!$C$20,0))</f>
        <v>0</v>
      </c>
      <c r="U10" s="1">
        <f t="shared" si="0"/>
        <v>0</v>
      </c>
    </row>
    <row r="11" spans="1:21">
      <c r="A11" s="5">
        <f>Signals_EU!B11</f>
        <v>39326</v>
      </c>
      <c r="B11" s="1">
        <f>IF(Signals_EU!O11=1,Signals_EU!R11*Mapping!$C$2,IF(Signals_EU!O11=-1,-Signals_EU!S11*Mapping!$C$2,0))</f>
        <v>0</v>
      </c>
      <c r="C11" s="1">
        <f>IF(Signals_EU!F11=1,Signals_EU!R11*Mapping!$C$3,IF(Signals_EU!F11=-1,-Signals_EU!S11*Mapping!$C$3,0))</f>
        <v>0</v>
      </c>
      <c r="D11" s="1">
        <f>IF(Signals_EU!C11=1,Signals_EU!R11*Mapping!$C$4,IF(Signals_EU!C11=-1,-Signals_EU!S11*Mapping!$C$4,0))</f>
        <v>0</v>
      </c>
      <c r="E11" s="1">
        <f>IF(Signals_EU!C11=1,Signals_EU!R11*Mapping!$C$5,IF(Signals_EU!C11=-1,-Signals_EU!S11*Mapping!$C$5,0))</f>
        <v>0</v>
      </c>
      <c r="F11" s="1">
        <f>IF(Signals_EU!H11=1,Signals_EU!R11*Mapping!$C$6,IF(Signals_EU!H11=-1,-Signals_EU!S11*Mapping!$C$6,0))</f>
        <v>0</v>
      </c>
      <c r="G11" s="1">
        <f>IF(Signals_EU!F11=1,Signals_EU!R11*Mapping!$C$7,IF(Signals_EU!F11=-1,-Signals_EU!S11*Mapping!$C$7,0))</f>
        <v>0</v>
      </c>
      <c r="H11" s="1">
        <f>IF(Signals_EU!D11=1,Signals_EU!R11*Mapping!$C$8,IF(Signals_EU!D11=-1,-Signals_EU!S11*Mapping!$C$8,0))</f>
        <v>0</v>
      </c>
      <c r="I11" s="1">
        <f>IF(Signals_EU!G11=1,Signals_EU!R11*Mapping!$C$9,IF(Signals_EU!G11=-1,-Signals_EU!S11*Mapping!$C$9,0))</f>
        <v>0</v>
      </c>
      <c r="J11" s="1">
        <f>IF(Signals_EU!H11=1,Signals_EU!R11*Mapping!$C$10,IF(Signals_EU!H11=-1,-Signals_EU!S11*Mapping!$C$10,0))</f>
        <v>0</v>
      </c>
      <c r="K11" s="1">
        <f>IF(Signals_EU!F11=1,Signals_EU!R11*Mapping!$C$11,IF(Signals_EU!F11=-1,-Signals_EU!S11*Mapping!$C$11,0))</f>
        <v>0</v>
      </c>
      <c r="L11" s="1">
        <f>IF(Signals_EU!N11=1,Signals_EU!R11*Mapping!$C$12,IF(Signals_EU!N11=-1,-Signals_EU!S11*Mapping!$C$12,0))</f>
        <v>0</v>
      </c>
      <c r="M11" s="1">
        <f>IF(Signals_EU!I11=1,Signals_EU!R11*Mapping!$C$13,IF(Signals_EU!I11=-1,-Signals_EU!S11*Mapping!$C$13,0))</f>
        <v>0</v>
      </c>
      <c r="N11" s="1">
        <f>IF(Signals_EU!E11=1,Signals_EU!R11*Mapping!$C$14,IF(Signals_EU!E11=-1,-Signals_EU!S11*Mapping!$C$14,0))</f>
        <v>0</v>
      </c>
      <c r="O11" s="1">
        <f>0</f>
        <v>0</v>
      </c>
      <c r="P11" s="1">
        <f>0</f>
        <v>0</v>
      </c>
      <c r="Q11" s="1">
        <f>IF(Signals_EU!J11=1,Signals_EU!R11*Mapping!$C$17,IF(Signals_EU!J11=-1,-Signals_EU!S11*Mapping!$C$17,0))</f>
        <v>0</v>
      </c>
      <c r="R11" s="1">
        <f>IF(Signals_EU!K11=1,Signals_EU!R11*Mapping!$C$18,IF(Signals_EU!K11=-1,-Signals_EU!S11*Mapping!$C$18,0))</f>
        <v>0</v>
      </c>
      <c r="S11" s="1">
        <f>IF(Signals_EU!M11=1,Signals_EU!R11*Mapping!$C$19,IF(Signals_EU!M11=-1,-Signals_EU!S11*Mapping!$C$19,0))</f>
        <v>0</v>
      </c>
      <c r="T11" s="1">
        <f>IF(Signals_EU!L11=1,Signals_EU!R11*Mapping!$C$20,IF(Signals_EU!L11=-1,-Signals_EU!S11*Mapping!$C$20,0))</f>
        <v>0</v>
      </c>
      <c r="U11" s="1">
        <f t="shared" si="0"/>
        <v>0</v>
      </c>
    </row>
    <row r="12" spans="1:21">
      <c r="A12" s="5">
        <f>Signals_EU!B12</f>
        <v>39356</v>
      </c>
      <c r="B12" s="1">
        <f>IF(Signals_EU!O12=1,Signals_EU!R12*Mapping!$C$2,IF(Signals_EU!O12=-1,-Signals_EU!S12*Mapping!$C$2,0))</f>
        <v>0</v>
      </c>
      <c r="C12" s="1">
        <f>IF(Signals_EU!F12=1,Signals_EU!R12*Mapping!$C$3,IF(Signals_EU!F12=-1,-Signals_EU!S12*Mapping!$C$3,0))</f>
        <v>0</v>
      </c>
      <c r="D12" s="1">
        <f>IF(Signals_EU!C12=1,Signals_EU!R12*Mapping!$C$4,IF(Signals_EU!C12=-1,-Signals_EU!S12*Mapping!$C$4,0))</f>
        <v>0</v>
      </c>
      <c r="E12" s="1">
        <f>IF(Signals_EU!C12=1,Signals_EU!R12*Mapping!$C$5,IF(Signals_EU!C12=-1,-Signals_EU!S12*Mapping!$C$5,0))</f>
        <v>0</v>
      </c>
      <c r="F12" s="1">
        <f>IF(Signals_EU!H12=1,Signals_EU!R12*Mapping!$C$6,IF(Signals_EU!H12=-1,-Signals_EU!S12*Mapping!$C$6,0))</f>
        <v>0</v>
      </c>
      <c r="G12" s="1">
        <f>IF(Signals_EU!F12=1,Signals_EU!R12*Mapping!$C$7,IF(Signals_EU!F12=-1,-Signals_EU!S12*Mapping!$C$7,0))</f>
        <v>0</v>
      </c>
      <c r="H12" s="1">
        <f>IF(Signals_EU!D12=1,Signals_EU!R12*Mapping!$C$8,IF(Signals_EU!D12=-1,-Signals_EU!S12*Mapping!$C$8,0))</f>
        <v>0</v>
      </c>
      <c r="I12" s="1">
        <f>IF(Signals_EU!G12=1,Signals_EU!R12*Mapping!$C$9,IF(Signals_EU!G12=-1,-Signals_EU!S12*Mapping!$C$9,0))</f>
        <v>0</v>
      </c>
      <c r="J12" s="1">
        <f>IF(Signals_EU!H12=1,Signals_EU!R12*Mapping!$C$10,IF(Signals_EU!H12=-1,-Signals_EU!S12*Mapping!$C$10,0))</f>
        <v>0</v>
      </c>
      <c r="K12" s="1">
        <f>IF(Signals_EU!F12=1,Signals_EU!R12*Mapping!$C$11,IF(Signals_EU!F12=-1,-Signals_EU!S12*Mapping!$C$11,0))</f>
        <v>0</v>
      </c>
      <c r="L12" s="1">
        <f>IF(Signals_EU!N12=1,Signals_EU!R12*Mapping!$C$12,IF(Signals_EU!N12=-1,-Signals_EU!S12*Mapping!$C$12,0))</f>
        <v>0</v>
      </c>
      <c r="M12" s="1">
        <f>IF(Signals_EU!I12=1,Signals_EU!R12*Mapping!$C$13,IF(Signals_EU!I12=-1,-Signals_EU!S12*Mapping!$C$13,0))</f>
        <v>0</v>
      </c>
      <c r="N12" s="1">
        <f>IF(Signals_EU!E12=1,Signals_EU!R12*Mapping!$C$14,IF(Signals_EU!E12=-1,-Signals_EU!S12*Mapping!$C$14,0))</f>
        <v>0</v>
      </c>
      <c r="O12" s="1">
        <f>0</f>
        <v>0</v>
      </c>
      <c r="P12" s="1">
        <f>0</f>
        <v>0</v>
      </c>
      <c r="Q12" s="1">
        <f>IF(Signals_EU!J12=1,Signals_EU!R12*Mapping!$C$17,IF(Signals_EU!J12=-1,-Signals_EU!S12*Mapping!$C$17,0))</f>
        <v>0</v>
      </c>
      <c r="R12" s="1">
        <f>IF(Signals_EU!K12=1,Signals_EU!R12*Mapping!$C$18,IF(Signals_EU!K12=-1,-Signals_EU!S12*Mapping!$C$18,0))</f>
        <v>0</v>
      </c>
      <c r="S12" s="1">
        <f>IF(Signals_EU!M12=1,Signals_EU!R12*Mapping!$C$19,IF(Signals_EU!M12=-1,-Signals_EU!S12*Mapping!$C$19,0))</f>
        <v>0</v>
      </c>
      <c r="T12" s="1">
        <f>IF(Signals_EU!L12=1,Signals_EU!R12*Mapping!$C$20,IF(Signals_EU!L12=-1,-Signals_EU!S12*Mapping!$C$20,0))</f>
        <v>0</v>
      </c>
      <c r="U12" s="1">
        <f t="shared" si="0"/>
        <v>0</v>
      </c>
    </row>
    <row r="13" spans="1:21">
      <c r="A13" s="5">
        <f>Signals_EU!B13</f>
        <v>39387</v>
      </c>
      <c r="B13" s="1">
        <f>IF(Signals_EU!O13=1,Signals_EU!R13*Mapping!$C$2,IF(Signals_EU!O13=-1,-Signals_EU!S13*Mapping!$C$2,0))</f>
        <v>5.000000000000001E-2</v>
      </c>
      <c r="C13" s="1">
        <f>IF(Signals_EU!F13=1,Signals_EU!R13*Mapping!$C$3,IF(Signals_EU!F13=-1,-Signals_EU!S13*Mapping!$C$3,0))</f>
        <v>-3.0000000000000006E-2</v>
      </c>
      <c r="D13" s="1">
        <f>IF(Signals_EU!C13=1,Signals_EU!R13*Mapping!$C$4,IF(Signals_EU!C13=-1,-Signals_EU!S13*Mapping!$C$4,0))</f>
        <v>2.5000000000000005E-2</v>
      </c>
      <c r="E13" s="1">
        <f>IF(Signals_EU!C13=1,Signals_EU!R13*Mapping!$C$5,IF(Signals_EU!C13=-1,-Signals_EU!S13*Mapping!$C$5,0))</f>
        <v>2.5000000000000005E-2</v>
      </c>
      <c r="F13" s="1">
        <f>IF(Signals_EU!H13=1,Signals_EU!R13*Mapping!$C$6,IF(Signals_EU!H13=-1,-Signals_EU!S13*Mapping!$C$6,0))</f>
        <v>0</v>
      </c>
      <c r="G13" s="1">
        <f>IF(Signals_EU!F13=1,Signals_EU!R13*Mapping!$C$7,IF(Signals_EU!F13=-1,-Signals_EU!S13*Mapping!$C$7,0))</f>
        <v>-1.0000000000000002E-2</v>
      </c>
      <c r="H13" s="1">
        <f>IF(Signals_EU!D13=1,Signals_EU!R13*Mapping!$C$8,IF(Signals_EU!D13=-1,-Signals_EU!S13*Mapping!$C$8,0))</f>
        <v>0</v>
      </c>
      <c r="I13" s="1">
        <f>IF(Signals_EU!G13=1,Signals_EU!R13*Mapping!$C$9,IF(Signals_EU!G13=-1,-Signals_EU!S13*Mapping!$C$9,0))</f>
        <v>-5.000000000000001E-2</v>
      </c>
      <c r="J13" s="1">
        <f>IF(Signals_EU!H13=1,Signals_EU!R13*Mapping!$C$10,IF(Signals_EU!H13=-1,-Signals_EU!S13*Mapping!$C$10,0))</f>
        <v>0</v>
      </c>
      <c r="K13" s="1">
        <f>IF(Signals_EU!F13=1,Signals_EU!R13*Mapping!$C$11,IF(Signals_EU!F13=-1,-Signals_EU!S13*Mapping!$C$11,0))</f>
        <v>-1.0000000000000002E-2</v>
      </c>
      <c r="L13" s="1">
        <f>IF(Signals_EU!N13=1,Signals_EU!R13*Mapping!$C$12,IF(Signals_EU!N13=-1,-Signals_EU!S13*Mapping!$C$12,0))</f>
        <v>0</v>
      </c>
      <c r="M13" s="1">
        <f>IF(Signals_EU!I13=1,Signals_EU!R13*Mapping!$C$13,IF(Signals_EU!I13=-1,-Signals_EU!S13*Mapping!$C$13,0))</f>
        <v>0</v>
      </c>
      <c r="N13" s="1">
        <f>IF(Signals_EU!E13=1,Signals_EU!R13*Mapping!$C$14,IF(Signals_EU!E13=-1,-Signals_EU!S13*Mapping!$C$14,0))</f>
        <v>0</v>
      </c>
      <c r="O13" s="1">
        <f>0</f>
        <v>0</v>
      </c>
      <c r="P13" s="1">
        <f>0</f>
        <v>0</v>
      </c>
      <c r="Q13" s="1">
        <f>IF(Signals_EU!J13=1,Signals_EU!R13*Mapping!$C$17,IF(Signals_EU!J13=-1,-Signals_EU!S13*Mapping!$C$17,0))</f>
        <v>0</v>
      </c>
      <c r="R13" s="1">
        <f>IF(Signals_EU!K13=1,Signals_EU!R13*Mapping!$C$18,IF(Signals_EU!K13=-1,-Signals_EU!S13*Mapping!$C$18,0))</f>
        <v>5.000000000000001E-2</v>
      </c>
      <c r="S13" s="1">
        <f>IF(Signals_EU!M13=1,Signals_EU!R13*Mapping!$C$19,IF(Signals_EU!M13=-1,-Signals_EU!S13*Mapping!$C$19,0))</f>
        <v>-5.000000000000001E-2</v>
      </c>
      <c r="T13" s="1">
        <f>IF(Signals_EU!L13=1,Signals_EU!R13*Mapping!$C$20,IF(Signals_EU!L13=-1,-Signals_EU!S13*Mapping!$C$20,0))</f>
        <v>0</v>
      </c>
      <c r="U13" s="1">
        <f t="shared" si="0"/>
        <v>0</v>
      </c>
    </row>
    <row r="14" spans="1:21">
      <c r="A14" s="5">
        <f>Signals_EU!B14</f>
        <v>39417</v>
      </c>
      <c r="B14" s="1">
        <f>IF(Signals_EU!O14=1,Signals_EU!R14*Mapping!$C$2,IF(Signals_EU!O14=-1,-Signals_EU!S14*Mapping!$C$2,0))</f>
        <v>5.000000000000001E-2</v>
      </c>
      <c r="C14" s="1">
        <f>IF(Signals_EU!F14=1,Signals_EU!R14*Mapping!$C$3,IF(Signals_EU!F14=-1,-Signals_EU!S14*Mapping!$C$3,0))</f>
        <v>-3.0000000000000006E-2</v>
      </c>
      <c r="D14" s="1">
        <f>IF(Signals_EU!C14=1,Signals_EU!R14*Mapping!$C$4,IF(Signals_EU!C14=-1,-Signals_EU!S14*Mapping!$C$4,0))</f>
        <v>0</v>
      </c>
      <c r="E14" s="1">
        <f>IF(Signals_EU!C14=1,Signals_EU!R14*Mapping!$C$5,IF(Signals_EU!C14=-1,-Signals_EU!S14*Mapping!$C$5,0))</f>
        <v>0</v>
      </c>
      <c r="F14" s="1">
        <f>IF(Signals_EU!H14=1,Signals_EU!R14*Mapping!$C$6,IF(Signals_EU!H14=-1,-Signals_EU!S14*Mapping!$C$6,0))</f>
        <v>0</v>
      </c>
      <c r="G14" s="1">
        <f>IF(Signals_EU!F14=1,Signals_EU!R14*Mapping!$C$7,IF(Signals_EU!F14=-1,-Signals_EU!S14*Mapping!$C$7,0))</f>
        <v>-1.0000000000000002E-2</v>
      </c>
      <c r="H14" s="1">
        <f>IF(Signals_EU!D14=1,Signals_EU!R14*Mapping!$C$8,IF(Signals_EU!D14=-1,-Signals_EU!S14*Mapping!$C$8,0))</f>
        <v>0</v>
      </c>
      <c r="I14" s="1">
        <f>IF(Signals_EU!G14=1,Signals_EU!R14*Mapping!$C$9,IF(Signals_EU!G14=-1,-Signals_EU!S14*Mapping!$C$9,0))</f>
        <v>-5.000000000000001E-2</v>
      </c>
      <c r="J14" s="1">
        <f>IF(Signals_EU!H14=1,Signals_EU!R14*Mapping!$C$10,IF(Signals_EU!H14=-1,-Signals_EU!S14*Mapping!$C$10,0))</f>
        <v>0</v>
      </c>
      <c r="K14" s="1">
        <f>IF(Signals_EU!F14=1,Signals_EU!R14*Mapping!$C$11,IF(Signals_EU!F14=-1,-Signals_EU!S14*Mapping!$C$11,0))</f>
        <v>-1.0000000000000002E-2</v>
      </c>
      <c r="L14" s="1">
        <f>IF(Signals_EU!N14=1,Signals_EU!R14*Mapping!$C$12,IF(Signals_EU!N14=-1,-Signals_EU!S14*Mapping!$C$12,0))</f>
        <v>0</v>
      </c>
      <c r="M14" s="1">
        <f>IF(Signals_EU!I14=1,Signals_EU!R14*Mapping!$C$13,IF(Signals_EU!I14=-1,-Signals_EU!S14*Mapping!$C$13,0))</f>
        <v>5.000000000000001E-2</v>
      </c>
      <c r="N14" s="1">
        <f>IF(Signals_EU!E14=1,Signals_EU!R14*Mapping!$C$14,IF(Signals_EU!E14=-1,-Signals_EU!S14*Mapping!$C$14,0))</f>
        <v>0</v>
      </c>
      <c r="O14" s="1">
        <f>0</f>
        <v>0</v>
      </c>
      <c r="P14" s="1">
        <f>0</f>
        <v>0</v>
      </c>
      <c r="Q14" s="1">
        <f>IF(Signals_EU!J14=1,Signals_EU!R14*Mapping!$C$17,IF(Signals_EU!J14=-1,-Signals_EU!S14*Mapping!$C$17,0))</f>
        <v>-5.000000000000001E-2</v>
      </c>
      <c r="R14" s="1">
        <f>IF(Signals_EU!K14=1,Signals_EU!R14*Mapping!$C$18,IF(Signals_EU!K14=-1,-Signals_EU!S14*Mapping!$C$18,0))</f>
        <v>5.000000000000001E-2</v>
      </c>
      <c r="S14" s="1">
        <f>IF(Signals_EU!M14=1,Signals_EU!R14*Mapping!$C$19,IF(Signals_EU!M14=-1,-Signals_EU!S14*Mapping!$C$19,0))</f>
        <v>0</v>
      </c>
      <c r="T14" s="1">
        <f>IF(Signals_EU!L14=1,Signals_EU!R14*Mapping!$C$20,IF(Signals_EU!L14=-1,-Signals_EU!S14*Mapping!$C$20,0))</f>
        <v>0</v>
      </c>
      <c r="U14" s="1">
        <f t="shared" si="0"/>
        <v>0</v>
      </c>
    </row>
    <row r="15" spans="1:21">
      <c r="A15" s="5">
        <f>Signals_EU!B15</f>
        <v>39448</v>
      </c>
      <c r="B15" s="1">
        <f>IF(Signals_EU!O15=1,Signals_EU!R15*Mapping!$C$2,IF(Signals_EU!O15=-1,-Signals_EU!S15*Mapping!$C$2,0))</f>
        <v>0</v>
      </c>
      <c r="C15" s="1">
        <f>IF(Signals_EU!F15=1,Signals_EU!R15*Mapping!$C$3,IF(Signals_EU!F15=-1,-Signals_EU!S15*Mapping!$C$3,0))</f>
        <v>-3.0000000000000006E-2</v>
      </c>
      <c r="D15" s="1">
        <f>IF(Signals_EU!C15=1,Signals_EU!R15*Mapping!$C$4,IF(Signals_EU!C15=-1,-Signals_EU!S15*Mapping!$C$4,0))</f>
        <v>2.5000000000000005E-2</v>
      </c>
      <c r="E15" s="1">
        <f>IF(Signals_EU!C15=1,Signals_EU!R15*Mapping!$C$5,IF(Signals_EU!C15=-1,-Signals_EU!S15*Mapping!$C$5,0))</f>
        <v>2.5000000000000005E-2</v>
      </c>
      <c r="F15" s="1">
        <f>IF(Signals_EU!H15=1,Signals_EU!R15*Mapping!$C$6,IF(Signals_EU!H15=-1,-Signals_EU!S15*Mapping!$C$6,0))</f>
        <v>0</v>
      </c>
      <c r="G15" s="1">
        <f>IF(Signals_EU!F15=1,Signals_EU!R15*Mapping!$C$7,IF(Signals_EU!F15=-1,-Signals_EU!S15*Mapping!$C$7,0))</f>
        <v>-1.0000000000000002E-2</v>
      </c>
      <c r="H15" s="1">
        <f>IF(Signals_EU!D15=1,Signals_EU!R15*Mapping!$C$8,IF(Signals_EU!D15=-1,-Signals_EU!S15*Mapping!$C$8,0))</f>
        <v>0</v>
      </c>
      <c r="I15" s="1">
        <f>IF(Signals_EU!G15=1,Signals_EU!R15*Mapping!$C$9,IF(Signals_EU!G15=-1,-Signals_EU!S15*Mapping!$C$9,0))</f>
        <v>0</v>
      </c>
      <c r="J15" s="1">
        <f>IF(Signals_EU!H15=1,Signals_EU!R15*Mapping!$C$10,IF(Signals_EU!H15=-1,-Signals_EU!S15*Mapping!$C$10,0))</f>
        <v>0</v>
      </c>
      <c r="K15" s="1">
        <f>IF(Signals_EU!F15=1,Signals_EU!R15*Mapping!$C$11,IF(Signals_EU!F15=-1,-Signals_EU!S15*Mapping!$C$11,0))</f>
        <v>-1.0000000000000002E-2</v>
      </c>
      <c r="L15" s="1">
        <f>IF(Signals_EU!N15=1,Signals_EU!R15*Mapping!$C$12,IF(Signals_EU!N15=-1,-Signals_EU!S15*Mapping!$C$12,0))</f>
        <v>0</v>
      </c>
      <c r="M15" s="1">
        <f>IF(Signals_EU!I15=1,Signals_EU!R15*Mapping!$C$13,IF(Signals_EU!I15=-1,-Signals_EU!S15*Mapping!$C$13,0))</f>
        <v>0</v>
      </c>
      <c r="N15" s="1">
        <f>IF(Signals_EU!E15=1,Signals_EU!R15*Mapping!$C$14,IF(Signals_EU!E15=-1,-Signals_EU!S15*Mapping!$C$14,0))</f>
        <v>0</v>
      </c>
      <c r="O15" s="1">
        <f>0</f>
        <v>0</v>
      </c>
      <c r="P15" s="1">
        <f>0</f>
        <v>0</v>
      </c>
      <c r="Q15" s="1">
        <f>IF(Signals_EU!J15=1,Signals_EU!R15*Mapping!$C$17,IF(Signals_EU!J15=-1,-Signals_EU!S15*Mapping!$C$17,0))</f>
        <v>-5.000000000000001E-2</v>
      </c>
      <c r="R15" s="1">
        <f>IF(Signals_EU!K15=1,Signals_EU!R15*Mapping!$C$18,IF(Signals_EU!K15=-1,-Signals_EU!S15*Mapping!$C$18,0))</f>
        <v>5.000000000000001E-2</v>
      </c>
      <c r="S15" s="1">
        <f>IF(Signals_EU!M15=1,Signals_EU!R15*Mapping!$C$19,IF(Signals_EU!M15=-1,-Signals_EU!S15*Mapping!$C$19,0))</f>
        <v>-5.000000000000001E-2</v>
      </c>
      <c r="T15" s="1">
        <f>IF(Signals_EU!L15=1,Signals_EU!R15*Mapping!$C$20,IF(Signals_EU!L15=-1,-Signals_EU!S15*Mapping!$C$20,0))</f>
        <v>5.000000000000001E-2</v>
      </c>
      <c r="U15" s="1">
        <f t="shared" si="0"/>
        <v>0</v>
      </c>
    </row>
    <row r="16" spans="1:21">
      <c r="A16" s="5">
        <f>Signals_EU!B16</f>
        <v>39479</v>
      </c>
      <c r="B16" s="1">
        <f>IF(Signals_EU!O16=1,Signals_EU!R16*Mapping!$C$2,IF(Signals_EU!O16=-1,-Signals_EU!S16*Mapping!$C$2,0))</f>
        <v>0</v>
      </c>
      <c r="C16" s="1">
        <f>IF(Signals_EU!F16=1,Signals_EU!R16*Mapping!$C$3,IF(Signals_EU!F16=-1,-Signals_EU!S16*Mapping!$C$3,0))</f>
        <v>-3.0000000000000006E-2</v>
      </c>
      <c r="D16" s="1">
        <f>IF(Signals_EU!C16=1,Signals_EU!R16*Mapping!$C$4,IF(Signals_EU!C16=-1,-Signals_EU!S16*Mapping!$C$4,0))</f>
        <v>2.5000000000000005E-2</v>
      </c>
      <c r="E16" s="1">
        <f>IF(Signals_EU!C16=1,Signals_EU!R16*Mapping!$C$5,IF(Signals_EU!C16=-1,-Signals_EU!S16*Mapping!$C$5,0))</f>
        <v>2.5000000000000005E-2</v>
      </c>
      <c r="F16" s="1">
        <f>IF(Signals_EU!H16=1,Signals_EU!R16*Mapping!$C$6,IF(Signals_EU!H16=-1,-Signals_EU!S16*Mapping!$C$6,0))</f>
        <v>0</v>
      </c>
      <c r="G16" s="1">
        <f>IF(Signals_EU!F16=1,Signals_EU!R16*Mapping!$C$7,IF(Signals_EU!F16=-1,-Signals_EU!S16*Mapping!$C$7,0))</f>
        <v>-1.0000000000000002E-2</v>
      </c>
      <c r="H16" s="1">
        <f>IF(Signals_EU!D16=1,Signals_EU!R16*Mapping!$C$8,IF(Signals_EU!D16=-1,-Signals_EU!S16*Mapping!$C$8,0))</f>
        <v>0</v>
      </c>
      <c r="I16" s="1">
        <f>IF(Signals_EU!G16=1,Signals_EU!R16*Mapping!$C$9,IF(Signals_EU!G16=-1,-Signals_EU!S16*Mapping!$C$9,0))</f>
        <v>-5.000000000000001E-2</v>
      </c>
      <c r="J16" s="1">
        <f>IF(Signals_EU!H16=1,Signals_EU!R16*Mapping!$C$10,IF(Signals_EU!H16=-1,-Signals_EU!S16*Mapping!$C$10,0))</f>
        <v>0</v>
      </c>
      <c r="K16" s="1">
        <f>IF(Signals_EU!F16=1,Signals_EU!R16*Mapping!$C$11,IF(Signals_EU!F16=-1,-Signals_EU!S16*Mapping!$C$11,0))</f>
        <v>-1.0000000000000002E-2</v>
      </c>
      <c r="L16" s="1">
        <f>IF(Signals_EU!N16=1,Signals_EU!R16*Mapping!$C$12,IF(Signals_EU!N16=-1,-Signals_EU!S16*Mapping!$C$12,0))</f>
        <v>0</v>
      </c>
      <c r="M16" s="1">
        <f>IF(Signals_EU!I16=1,Signals_EU!R16*Mapping!$C$13,IF(Signals_EU!I16=-1,-Signals_EU!S16*Mapping!$C$13,0))</f>
        <v>0</v>
      </c>
      <c r="N16" s="1">
        <f>IF(Signals_EU!E16=1,Signals_EU!R16*Mapping!$C$14,IF(Signals_EU!E16=-1,-Signals_EU!S16*Mapping!$C$14,0))</f>
        <v>0</v>
      </c>
      <c r="O16" s="1">
        <f>0</f>
        <v>0</v>
      </c>
      <c r="P16" s="1">
        <f>0</f>
        <v>0</v>
      </c>
      <c r="Q16" s="1">
        <f>IF(Signals_EU!J16=1,Signals_EU!R16*Mapping!$C$17,IF(Signals_EU!J16=-1,-Signals_EU!S16*Mapping!$C$17,0))</f>
        <v>0</v>
      </c>
      <c r="R16" s="1">
        <f>IF(Signals_EU!K16=1,Signals_EU!R16*Mapping!$C$18,IF(Signals_EU!K16=-1,-Signals_EU!S16*Mapping!$C$18,0))</f>
        <v>5.000000000000001E-2</v>
      </c>
      <c r="S16" s="1">
        <f>IF(Signals_EU!M16=1,Signals_EU!R16*Mapping!$C$19,IF(Signals_EU!M16=-1,-Signals_EU!S16*Mapping!$C$19,0))</f>
        <v>-5.000000000000001E-2</v>
      </c>
      <c r="T16" s="1">
        <f>IF(Signals_EU!L16=1,Signals_EU!R16*Mapping!$C$20,IF(Signals_EU!L16=-1,-Signals_EU!S16*Mapping!$C$20,0))</f>
        <v>5.000000000000001E-2</v>
      </c>
      <c r="U16" s="1">
        <f t="shared" si="0"/>
        <v>0</v>
      </c>
    </row>
    <row r="17" spans="1:21">
      <c r="A17" s="5">
        <f>Signals_EU!B17</f>
        <v>39508</v>
      </c>
      <c r="B17" s="1">
        <f>IF(Signals_EU!O17=1,Signals_EU!R17*Mapping!$C$2,IF(Signals_EU!O17=-1,-Signals_EU!S17*Mapping!$C$2,0))</f>
        <v>0</v>
      </c>
      <c r="C17" s="1">
        <f>IF(Signals_EU!F17=1,Signals_EU!R17*Mapping!$C$3,IF(Signals_EU!F17=-1,-Signals_EU!S17*Mapping!$C$3,0))</f>
        <v>-3.0000000000000006E-2</v>
      </c>
      <c r="D17" s="1">
        <f>IF(Signals_EU!C17=1,Signals_EU!R17*Mapping!$C$4,IF(Signals_EU!C17=-1,-Signals_EU!S17*Mapping!$C$4,0))</f>
        <v>2.5000000000000005E-2</v>
      </c>
      <c r="E17" s="1">
        <f>IF(Signals_EU!C17=1,Signals_EU!R17*Mapping!$C$5,IF(Signals_EU!C17=-1,-Signals_EU!S17*Mapping!$C$5,0))</f>
        <v>2.5000000000000005E-2</v>
      </c>
      <c r="F17" s="1">
        <f>IF(Signals_EU!H17=1,Signals_EU!R17*Mapping!$C$6,IF(Signals_EU!H17=-1,-Signals_EU!S17*Mapping!$C$6,0))</f>
        <v>0</v>
      </c>
      <c r="G17" s="1">
        <f>IF(Signals_EU!F17=1,Signals_EU!R17*Mapping!$C$7,IF(Signals_EU!F17=-1,-Signals_EU!S17*Mapping!$C$7,0))</f>
        <v>-1.0000000000000002E-2</v>
      </c>
      <c r="H17" s="1">
        <f>IF(Signals_EU!D17=1,Signals_EU!R17*Mapping!$C$8,IF(Signals_EU!D17=-1,-Signals_EU!S17*Mapping!$C$8,0))</f>
        <v>0</v>
      </c>
      <c r="I17" s="1">
        <f>IF(Signals_EU!G17=1,Signals_EU!R17*Mapping!$C$9,IF(Signals_EU!G17=-1,-Signals_EU!S17*Mapping!$C$9,0))</f>
        <v>0</v>
      </c>
      <c r="J17" s="1">
        <f>IF(Signals_EU!H17=1,Signals_EU!R17*Mapping!$C$10,IF(Signals_EU!H17=-1,-Signals_EU!S17*Mapping!$C$10,0))</f>
        <v>0</v>
      </c>
      <c r="K17" s="1">
        <f>IF(Signals_EU!F17=1,Signals_EU!R17*Mapping!$C$11,IF(Signals_EU!F17=-1,-Signals_EU!S17*Mapping!$C$11,0))</f>
        <v>-1.0000000000000002E-2</v>
      </c>
      <c r="L17" s="1">
        <f>IF(Signals_EU!N17=1,Signals_EU!R17*Mapping!$C$12,IF(Signals_EU!N17=-1,-Signals_EU!S17*Mapping!$C$12,0))</f>
        <v>0</v>
      </c>
      <c r="M17" s="1">
        <f>IF(Signals_EU!I17=1,Signals_EU!R17*Mapping!$C$13,IF(Signals_EU!I17=-1,-Signals_EU!S17*Mapping!$C$13,0))</f>
        <v>0</v>
      </c>
      <c r="N17" s="1">
        <f>IF(Signals_EU!E17=1,Signals_EU!R17*Mapping!$C$14,IF(Signals_EU!E17=-1,-Signals_EU!S17*Mapping!$C$14,0))</f>
        <v>0</v>
      </c>
      <c r="O17" s="1">
        <f>0</f>
        <v>0</v>
      </c>
      <c r="P17" s="1">
        <f>0</f>
        <v>0</v>
      </c>
      <c r="Q17" s="1">
        <f>IF(Signals_EU!J17=1,Signals_EU!R17*Mapping!$C$17,IF(Signals_EU!J17=-1,-Signals_EU!S17*Mapping!$C$17,0))</f>
        <v>-5.000000000000001E-2</v>
      </c>
      <c r="R17" s="1">
        <f>IF(Signals_EU!K17=1,Signals_EU!R17*Mapping!$C$18,IF(Signals_EU!K17=-1,-Signals_EU!S17*Mapping!$C$18,0))</f>
        <v>5.000000000000001E-2</v>
      </c>
      <c r="S17" s="1">
        <f>IF(Signals_EU!M17=1,Signals_EU!R17*Mapping!$C$19,IF(Signals_EU!M17=-1,-Signals_EU!S17*Mapping!$C$19,0))</f>
        <v>-5.000000000000001E-2</v>
      </c>
      <c r="T17" s="1">
        <f>IF(Signals_EU!L17=1,Signals_EU!R17*Mapping!$C$20,IF(Signals_EU!L17=-1,-Signals_EU!S17*Mapping!$C$20,0))</f>
        <v>5.000000000000001E-2</v>
      </c>
      <c r="U17" s="1">
        <f t="shared" si="0"/>
        <v>0</v>
      </c>
    </row>
    <row r="18" spans="1:21">
      <c r="A18" s="5">
        <f>Signals_EU!B18</f>
        <v>39539</v>
      </c>
      <c r="B18" s="1">
        <f>IF(Signals_EU!O18=1,Signals_EU!R18*Mapping!$C$2,IF(Signals_EU!O18=-1,-Signals_EU!S18*Mapping!$C$2,0))</f>
        <v>0</v>
      </c>
      <c r="C18" s="1">
        <f>IF(Signals_EU!F18=1,Signals_EU!R18*Mapping!$C$3,IF(Signals_EU!F18=-1,-Signals_EU!S18*Mapping!$C$3,0))</f>
        <v>-3.0000000000000006E-2</v>
      </c>
      <c r="D18" s="1">
        <f>IF(Signals_EU!C18=1,Signals_EU!R18*Mapping!$C$4,IF(Signals_EU!C18=-1,-Signals_EU!S18*Mapping!$C$4,0))</f>
        <v>2.5000000000000005E-2</v>
      </c>
      <c r="E18" s="1">
        <f>IF(Signals_EU!C18=1,Signals_EU!R18*Mapping!$C$5,IF(Signals_EU!C18=-1,-Signals_EU!S18*Mapping!$C$5,0))</f>
        <v>2.5000000000000005E-2</v>
      </c>
      <c r="F18" s="1">
        <f>IF(Signals_EU!H18=1,Signals_EU!R18*Mapping!$C$6,IF(Signals_EU!H18=-1,-Signals_EU!S18*Mapping!$C$6,0))</f>
        <v>0</v>
      </c>
      <c r="G18" s="1">
        <f>IF(Signals_EU!F18=1,Signals_EU!R18*Mapping!$C$7,IF(Signals_EU!F18=-1,-Signals_EU!S18*Mapping!$C$7,0))</f>
        <v>-1.0000000000000002E-2</v>
      </c>
      <c r="H18" s="1">
        <f>IF(Signals_EU!D18=1,Signals_EU!R18*Mapping!$C$8,IF(Signals_EU!D18=-1,-Signals_EU!S18*Mapping!$C$8,0))</f>
        <v>0</v>
      </c>
      <c r="I18" s="1">
        <f>IF(Signals_EU!G18=1,Signals_EU!R18*Mapping!$C$9,IF(Signals_EU!G18=-1,-Signals_EU!S18*Mapping!$C$9,0))</f>
        <v>0</v>
      </c>
      <c r="J18" s="1">
        <f>IF(Signals_EU!H18=1,Signals_EU!R18*Mapping!$C$10,IF(Signals_EU!H18=-1,-Signals_EU!S18*Mapping!$C$10,0))</f>
        <v>0</v>
      </c>
      <c r="K18" s="1">
        <f>IF(Signals_EU!F18=1,Signals_EU!R18*Mapping!$C$11,IF(Signals_EU!F18=-1,-Signals_EU!S18*Mapping!$C$11,0))</f>
        <v>-1.0000000000000002E-2</v>
      </c>
      <c r="L18" s="1">
        <f>IF(Signals_EU!N18=1,Signals_EU!R18*Mapping!$C$12,IF(Signals_EU!N18=-1,-Signals_EU!S18*Mapping!$C$12,0))</f>
        <v>0</v>
      </c>
      <c r="M18" s="1">
        <f>IF(Signals_EU!I18=1,Signals_EU!R18*Mapping!$C$13,IF(Signals_EU!I18=-1,-Signals_EU!S18*Mapping!$C$13,0))</f>
        <v>5.000000000000001E-2</v>
      </c>
      <c r="N18" s="1">
        <f>IF(Signals_EU!E18=1,Signals_EU!R18*Mapping!$C$14,IF(Signals_EU!E18=-1,-Signals_EU!S18*Mapping!$C$14,0))</f>
        <v>0</v>
      </c>
      <c r="O18" s="1">
        <f>0</f>
        <v>0</v>
      </c>
      <c r="P18" s="1">
        <f>0</f>
        <v>0</v>
      </c>
      <c r="Q18" s="1">
        <f>IF(Signals_EU!J18=1,Signals_EU!R18*Mapping!$C$17,IF(Signals_EU!J18=-1,-Signals_EU!S18*Mapping!$C$17,0))</f>
        <v>-5.000000000000001E-2</v>
      </c>
      <c r="R18" s="1">
        <f>IF(Signals_EU!K18=1,Signals_EU!R18*Mapping!$C$18,IF(Signals_EU!K18=-1,-Signals_EU!S18*Mapping!$C$18,0))</f>
        <v>0</v>
      </c>
      <c r="S18" s="1">
        <f>IF(Signals_EU!M18=1,Signals_EU!R18*Mapping!$C$19,IF(Signals_EU!M18=-1,-Signals_EU!S18*Mapping!$C$19,0))</f>
        <v>-5.000000000000001E-2</v>
      </c>
      <c r="T18" s="1">
        <f>IF(Signals_EU!L18=1,Signals_EU!R18*Mapping!$C$20,IF(Signals_EU!L18=-1,-Signals_EU!S18*Mapping!$C$20,0))</f>
        <v>5.000000000000001E-2</v>
      </c>
      <c r="U18" s="1">
        <f t="shared" si="0"/>
        <v>0</v>
      </c>
    </row>
    <row r="19" spans="1:21">
      <c r="A19" s="5">
        <f>Signals_EU!B19</f>
        <v>39569</v>
      </c>
      <c r="B19" s="1">
        <f>IF(Signals_EU!O19=1,Signals_EU!R19*Mapping!$C$2,IF(Signals_EU!O19=-1,-Signals_EU!S19*Mapping!$C$2,0))</f>
        <v>0</v>
      </c>
      <c r="C19" s="1">
        <f>IF(Signals_EU!F19=1,Signals_EU!R19*Mapping!$C$3,IF(Signals_EU!F19=-1,-Signals_EU!S19*Mapping!$C$3,0))</f>
        <v>-3.0000000000000006E-2</v>
      </c>
      <c r="D19" s="1">
        <f>IF(Signals_EU!C19=1,Signals_EU!R19*Mapping!$C$4,IF(Signals_EU!C19=-1,-Signals_EU!S19*Mapping!$C$4,0))</f>
        <v>2.5000000000000005E-2</v>
      </c>
      <c r="E19" s="1">
        <f>IF(Signals_EU!C19=1,Signals_EU!R19*Mapping!$C$5,IF(Signals_EU!C19=-1,-Signals_EU!S19*Mapping!$C$5,0))</f>
        <v>2.5000000000000005E-2</v>
      </c>
      <c r="F19" s="1">
        <f>IF(Signals_EU!H19=1,Signals_EU!R19*Mapping!$C$6,IF(Signals_EU!H19=-1,-Signals_EU!S19*Mapping!$C$6,0))</f>
        <v>0</v>
      </c>
      <c r="G19" s="1">
        <f>IF(Signals_EU!F19=1,Signals_EU!R19*Mapping!$C$7,IF(Signals_EU!F19=-1,-Signals_EU!S19*Mapping!$C$7,0))</f>
        <v>-1.0000000000000002E-2</v>
      </c>
      <c r="H19" s="1">
        <f>IF(Signals_EU!D19=1,Signals_EU!R19*Mapping!$C$8,IF(Signals_EU!D19=-1,-Signals_EU!S19*Mapping!$C$8,0))</f>
        <v>0</v>
      </c>
      <c r="I19" s="1">
        <f>IF(Signals_EU!G19=1,Signals_EU!R19*Mapping!$C$9,IF(Signals_EU!G19=-1,-Signals_EU!S19*Mapping!$C$9,0))</f>
        <v>0</v>
      </c>
      <c r="J19" s="1">
        <f>IF(Signals_EU!H19=1,Signals_EU!R19*Mapping!$C$10,IF(Signals_EU!H19=-1,-Signals_EU!S19*Mapping!$C$10,0))</f>
        <v>0</v>
      </c>
      <c r="K19" s="1">
        <f>IF(Signals_EU!F19=1,Signals_EU!R19*Mapping!$C$11,IF(Signals_EU!F19=-1,-Signals_EU!S19*Mapping!$C$11,0))</f>
        <v>-1.0000000000000002E-2</v>
      </c>
      <c r="L19" s="1">
        <f>IF(Signals_EU!N19=1,Signals_EU!R19*Mapping!$C$12,IF(Signals_EU!N19=-1,-Signals_EU!S19*Mapping!$C$12,0))</f>
        <v>-5.000000000000001E-2</v>
      </c>
      <c r="M19" s="1">
        <f>IF(Signals_EU!I19=1,Signals_EU!R19*Mapping!$C$13,IF(Signals_EU!I19=-1,-Signals_EU!S19*Mapping!$C$13,0))</f>
        <v>5.000000000000001E-2</v>
      </c>
      <c r="N19" s="1">
        <f>IF(Signals_EU!E19=1,Signals_EU!R19*Mapping!$C$14,IF(Signals_EU!E19=-1,-Signals_EU!S19*Mapping!$C$14,0))</f>
        <v>0</v>
      </c>
      <c r="O19" s="1">
        <f>0</f>
        <v>0</v>
      </c>
      <c r="P19" s="1">
        <f>0</f>
        <v>0</v>
      </c>
      <c r="Q19" s="1">
        <f>IF(Signals_EU!J19=1,Signals_EU!R19*Mapping!$C$17,IF(Signals_EU!J19=-1,-Signals_EU!S19*Mapping!$C$17,0))</f>
        <v>0</v>
      </c>
      <c r="R19" s="1">
        <f>IF(Signals_EU!K19=1,Signals_EU!R19*Mapping!$C$18,IF(Signals_EU!K19=-1,-Signals_EU!S19*Mapping!$C$18,0))</f>
        <v>0</v>
      </c>
      <c r="S19" s="1">
        <f>IF(Signals_EU!M19=1,Signals_EU!R19*Mapping!$C$19,IF(Signals_EU!M19=-1,-Signals_EU!S19*Mapping!$C$19,0))</f>
        <v>-5.000000000000001E-2</v>
      </c>
      <c r="T19" s="1">
        <f>IF(Signals_EU!L19=1,Signals_EU!R19*Mapping!$C$20,IF(Signals_EU!L19=-1,-Signals_EU!S19*Mapping!$C$20,0))</f>
        <v>5.000000000000001E-2</v>
      </c>
      <c r="U19" s="1">
        <f t="shared" si="0"/>
        <v>0</v>
      </c>
    </row>
    <row r="20" spans="1:21">
      <c r="A20" s="5">
        <f>Signals_EU!B20</f>
        <v>39600</v>
      </c>
      <c r="B20" s="1">
        <f>IF(Signals_EU!O20=1,Signals_EU!R20*Mapping!$C$2,IF(Signals_EU!O20=-1,-Signals_EU!S20*Mapping!$C$2,0))</f>
        <v>0</v>
      </c>
      <c r="C20" s="1">
        <f>IF(Signals_EU!F20=1,Signals_EU!R20*Mapping!$C$3,IF(Signals_EU!F20=-1,-Signals_EU!S20*Mapping!$C$3,0))</f>
        <v>-3.0000000000000006E-2</v>
      </c>
      <c r="D20" s="1">
        <f>IF(Signals_EU!C20=1,Signals_EU!R20*Mapping!$C$4,IF(Signals_EU!C20=-1,-Signals_EU!S20*Mapping!$C$4,0))</f>
        <v>2.5000000000000005E-2</v>
      </c>
      <c r="E20" s="1">
        <f>IF(Signals_EU!C20=1,Signals_EU!R20*Mapping!$C$5,IF(Signals_EU!C20=-1,-Signals_EU!S20*Mapping!$C$5,0))</f>
        <v>2.5000000000000005E-2</v>
      </c>
      <c r="F20" s="1">
        <f>IF(Signals_EU!H20=1,Signals_EU!R20*Mapping!$C$6,IF(Signals_EU!H20=-1,-Signals_EU!S20*Mapping!$C$6,0))</f>
        <v>0</v>
      </c>
      <c r="G20" s="1">
        <f>IF(Signals_EU!F20=1,Signals_EU!R20*Mapping!$C$7,IF(Signals_EU!F20=-1,-Signals_EU!S20*Mapping!$C$7,0))</f>
        <v>-1.0000000000000002E-2</v>
      </c>
      <c r="H20" s="1">
        <f>IF(Signals_EU!D20=1,Signals_EU!R20*Mapping!$C$8,IF(Signals_EU!D20=-1,-Signals_EU!S20*Mapping!$C$8,0))</f>
        <v>0</v>
      </c>
      <c r="I20" s="1">
        <f>IF(Signals_EU!G20=1,Signals_EU!R20*Mapping!$C$9,IF(Signals_EU!G20=-1,-Signals_EU!S20*Mapping!$C$9,0))</f>
        <v>0</v>
      </c>
      <c r="J20" s="1">
        <f>IF(Signals_EU!H20=1,Signals_EU!R20*Mapping!$C$10,IF(Signals_EU!H20=-1,-Signals_EU!S20*Mapping!$C$10,0))</f>
        <v>0</v>
      </c>
      <c r="K20" s="1">
        <f>IF(Signals_EU!F20=1,Signals_EU!R20*Mapping!$C$11,IF(Signals_EU!F20=-1,-Signals_EU!S20*Mapping!$C$11,0))</f>
        <v>-1.0000000000000002E-2</v>
      </c>
      <c r="L20" s="1">
        <f>IF(Signals_EU!N20=1,Signals_EU!R20*Mapping!$C$12,IF(Signals_EU!N20=-1,-Signals_EU!S20*Mapping!$C$12,0))</f>
        <v>-5.000000000000001E-2</v>
      </c>
      <c r="M20" s="1">
        <f>IF(Signals_EU!I20=1,Signals_EU!R20*Mapping!$C$13,IF(Signals_EU!I20=-1,-Signals_EU!S20*Mapping!$C$13,0))</f>
        <v>5.000000000000001E-2</v>
      </c>
      <c r="N20" s="1">
        <f>IF(Signals_EU!E20=1,Signals_EU!R20*Mapping!$C$14,IF(Signals_EU!E20=-1,-Signals_EU!S20*Mapping!$C$14,0))</f>
        <v>0</v>
      </c>
      <c r="O20" s="1">
        <f>0</f>
        <v>0</v>
      </c>
      <c r="P20" s="1">
        <f>0</f>
        <v>0</v>
      </c>
      <c r="Q20" s="1">
        <f>IF(Signals_EU!J20=1,Signals_EU!R20*Mapping!$C$17,IF(Signals_EU!J20=-1,-Signals_EU!S20*Mapping!$C$17,0))</f>
        <v>0</v>
      </c>
      <c r="R20" s="1">
        <f>IF(Signals_EU!K20=1,Signals_EU!R20*Mapping!$C$18,IF(Signals_EU!K20=-1,-Signals_EU!S20*Mapping!$C$18,0))</f>
        <v>0</v>
      </c>
      <c r="S20" s="1">
        <f>IF(Signals_EU!M20=1,Signals_EU!R20*Mapping!$C$19,IF(Signals_EU!M20=-1,-Signals_EU!S20*Mapping!$C$19,0))</f>
        <v>-5.000000000000001E-2</v>
      </c>
      <c r="T20" s="1">
        <f>IF(Signals_EU!L20=1,Signals_EU!R20*Mapping!$C$20,IF(Signals_EU!L20=-1,-Signals_EU!S20*Mapping!$C$20,0))</f>
        <v>5.000000000000001E-2</v>
      </c>
      <c r="U20" s="1">
        <f t="shared" si="0"/>
        <v>0</v>
      </c>
    </row>
    <row r="21" spans="1:21">
      <c r="A21" s="5">
        <f>Signals_EU!B21</f>
        <v>39630</v>
      </c>
      <c r="B21" s="1">
        <f>IF(Signals_EU!O21=1,Signals_EU!R21*Mapping!$C$2,IF(Signals_EU!O21=-1,-Signals_EU!S21*Mapping!$C$2,0))</f>
        <v>0</v>
      </c>
      <c r="C21" s="1">
        <f>IF(Signals_EU!F21=1,Signals_EU!R21*Mapping!$C$3,IF(Signals_EU!F21=-1,-Signals_EU!S21*Mapping!$C$3,0))</f>
        <v>-3.0000000000000006E-2</v>
      </c>
      <c r="D21" s="1">
        <f>IF(Signals_EU!C21=1,Signals_EU!R21*Mapping!$C$4,IF(Signals_EU!C21=-1,-Signals_EU!S21*Mapping!$C$4,0))</f>
        <v>2.5000000000000005E-2</v>
      </c>
      <c r="E21" s="1">
        <f>IF(Signals_EU!C21=1,Signals_EU!R21*Mapping!$C$5,IF(Signals_EU!C21=-1,-Signals_EU!S21*Mapping!$C$5,0))</f>
        <v>2.5000000000000005E-2</v>
      </c>
      <c r="F21" s="1">
        <f>IF(Signals_EU!H21=1,Signals_EU!R21*Mapping!$C$6,IF(Signals_EU!H21=-1,-Signals_EU!S21*Mapping!$C$6,0))</f>
        <v>0</v>
      </c>
      <c r="G21" s="1">
        <f>IF(Signals_EU!F21=1,Signals_EU!R21*Mapping!$C$7,IF(Signals_EU!F21=-1,-Signals_EU!S21*Mapping!$C$7,0))</f>
        <v>-1.0000000000000002E-2</v>
      </c>
      <c r="H21" s="1">
        <f>IF(Signals_EU!D21=1,Signals_EU!R21*Mapping!$C$8,IF(Signals_EU!D21=-1,-Signals_EU!S21*Mapping!$C$8,0))</f>
        <v>0</v>
      </c>
      <c r="I21" s="1">
        <f>IF(Signals_EU!G21=1,Signals_EU!R21*Mapping!$C$9,IF(Signals_EU!G21=-1,-Signals_EU!S21*Mapping!$C$9,0))</f>
        <v>0</v>
      </c>
      <c r="J21" s="1">
        <f>IF(Signals_EU!H21=1,Signals_EU!R21*Mapping!$C$10,IF(Signals_EU!H21=-1,-Signals_EU!S21*Mapping!$C$10,0))</f>
        <v>0</v>
      </c>
      <c r="K21" s="1">
        <f>IF(Signals_EU!F21=1,Signals_EU!R21*Mapping!$C$11,IF(Signals_EU!F21=-1,-Signals_EU!S21*Mapping!$C$11,0))</f>
        <v>-1.0000000000000002E-2</v>
      </c>
      <c r="L21" s="1">
        <f>IF(Signals_EU!N21=1,Signals_EU!R21*Mapping!$C$12,IF(Signals_EU!N21=-1,-Signals_EU!S21*Mapping!$C$12,0))</f>
        <v>-5.000000000000001E-2</v>
      </c>
      <c r="M21" s="1">
        <f>IF(Signals_EU!I21=1,Signals_EU!R21*Mapping!$C$13,IF(Signals_EU!I21=-1,-Signals_EU!S21*Mapping!$C$13,0))</f>
        <v>5.000000000000001E-2</v>
      </c>
      <c r="N21" s="1">
        <f>IF(Signals_EU!E21=1,Signals_EU!R21*Mapping!$C$14,IF(Signals_EU!E21=-1,-Signals_EU!S21*Mapping!$C$14,0))</f>
        <v>0</v>
      </c>
      <c r="O21" s="1">
        <f>0</f>
        <v>0</v>
      </c>
      <c r="P21" s="1">
        <f>0</f>
        <v>0</v>
      </c>
      <c r="Q21" s="1">
        <f>IF(Signals_EU!J21=1,Signals_EU!R21*Mapping!$C$17,IF(Signals_EU!J21=-1,-Signals_EU!S21*Mapping!$C$17,0))</f>
        <v>-5.000000000000001E-2</v>
      </c>
      <c r="R21" s="1">
        <f>IF(Signals_EU!K21=1,Signals_EU!R21*Mapping!$C$18,IF(Signals_EU!K21=-1,-Signals_EU!S21*Mapping!$C$18,0))</f>
        <v>0</v>
      </c>
      <c r="S21" s="1">
        <f>IF(Signals_EU!M21=1,Signals_EU!R21*Mapping!$C$19,IF(Signals_EU!M21=-1,-Signals_EU!S21*Mapping!$C$19,0))</f>
        <v>0</v>
      </c>
      <c r="T21" s="1">
        <f>IF(Signals_EU!L21=1,Signals_EU!R21*Mapping!$C$20,IF(Signals_EU!L21=-1,-Signals_EU!S21*Mapping!$C$20,0))</f>
        <v>5.000000000000001E-2</v>
      </c>
      <c r="U21" s="1">
        <f t="shared" si="0"/>
        <v>0</v>
      </c>
    </row>
    <row r="22" spans="1:21">
      <c r="A22" s="5">
        <f>Signals_EU!B22</f>
        <v>39661</v>
      </c>
      <c r="B22" s="1">
        <f>IF(Signals_EU!O22=1,Signals_EU!R22*Mapping!$C$2,IF(Signals_EU!O22=-1,-Signals_EU!S22*Mapping!$C$2,0))</f>
        <v>0</v>
      </c>
      <c r="C22" s="1">
        <f>IF(Signals_EU!F22=1,Signals_EU!R22*Mapping!$C$3,IF(Signals_EU!F22=-1,-Signals_EU!S22*Mapping!$C$3,0))</f>
        <v>-3.0000000000000006E-2</v>
      </c>
      <c r="D22" s="1">
        <f>IF(Signals_EU!C22=1,Signals_EU!R22*Mapping!$C$4,IF(Signals_EU!C22=-1,-Signals_EU!S22*Mapping!$C$4,0))</f>
        <v>2.5000000000000005E-2</v>
      </c>
      <c r="E22" s="1">
        <f>IF(Signals_EU!C22=1,Signals_EU!R22*Mapping!$C$5,IF(Signals_EU!C22=-1,-Signals_EU!S22*Mapping!$C$5,0))</f>
        <v>2.5000000000000005E-2</v>
      </c>
      <c r="F22" s="1">
        <f>IF(Signals_EU!H22=1,Signals_EU!R22*Mapping!$C$6,IF(Signals_EU!H22=-1,-Signals_EU!S22*Mapping!$C$6,0))</f>
        <v>0</v>
      </c>
      <c r="G22" s="1">
        <f>IF(Signals_EU!F22=1,Signals_EU!R22*Mapping!$C$7,IF(Signals_EU!F22=-1,-Signals_EU!S22*Mapping!$C$7,0))</f>
        <v>-1.0000000000000002E-2</v>
      </c>
      <c r="H22" s="1">
        <f>IF(Signals_EU!D22=1,Signals_EU!R22*Mapping!$C$8,IF(Signals_EU!D22=-1,-Signals_EU!S22*Mapping!$C$8,0))</f>
        <v>0</v>
      </c>
      <c r="I22" s="1">
        <f>IF(Signals_EU!G22=1,Signals_EU!R22*Mapping!$C$9,IF(Signals_EU!G22=-1,-Signals_EU!S22*Mapping!$C$9,0))</f>
        <v>0</v>
      </c>
      <c r="J22" s="1">
        <f>IF(Signals_EU!H22=1,Signals_EU!R22*Mapping!$C$10,IF(Signals_EU!H22=-1,-Signals_EU!S22*Mapping!$C$10,0))</f>
        <v>0</v>
      </c>
      <c r="K22" s="1">
        <f>IF(Signals_EU!F22=1,Signals_EU!R22*Mapping!$C$11,IF(Signals_EU!F22=-1,-Signals_EU!S22*Mapping!$C$11,0))</f>
        <v>-1.0000000000000002E-2</v>
      </c>
      <c r="L22" s="1">
        <f>IF(Signals_EU!N22=1,Signals_EU!R22*Mapping!$C$12,IF(Signals_EU!N22=-1,-Signals_EU!S22*Mapping!$C$12,0))</f>
        <v>-5.000000000000001E-2</v>
      </c>
      <c r="M22" s="1">
        <f>IF(Signals_EU!I22=1,Signals_EU!R22*Mapping!$C$13,IF(Signals_EU!I22=-1,-Signals_EU!S22*Mapping!$C$13,0))</f>
        <v>5.000000000000001E-2</v>
      </c>
      <c r="N22" s="1">
        <f>IF(Signals_EU!E22=1,Signals_EU!R22*Mapping!$C$14,IF(Signals_EU!E22=-1,-Signals_EU!S22*Mapping!$C$14,0))</f>
        <v>0</v>
      </c>
      <c r="O22" s="1">
        <f>0</f>
        <v>0</v>
      </c>
      <c r="P22" s="1">
        <f>0</f>
        <v>0</v>
      </c>
      <c r="Q22" s="1">
        <f>IF(Signals_EU!J22=1,Signals_EU!R22*Mapping!$C$17,IF(Signals_EU!J22=-1,-Signals_EU!S22*Mapping!$C$17,0))</f>
        <v>0</v>
      </c>
      <c r="R22" s="1">
        <f>IF(Signals_EU!K22=1,Signals_EU!R22*Mapping!$C$18,IF(Signals_EU!K22=-1,-Signals_EU!S22*Mapping!$C$18,0))</f>
        <v>0</v>
      </c>
      <c r="S22" s="1">
        <f>IF(Signals_EU!M22=1,Signals_EU!R22*Mapping!$C$19,IF(Signals_EU!M22=-1,-Signals_EU!S22*Mapping!$C$19,0))</f>
        <v>-5.000000000000001E-2</v>
      </c>
      <c r="T22" s="1">
        <f>IF(Signals_EU!L22=1,Signals_EU!R22*Mapping!$C$20,IF(Signals_EU!L22=-1,-Signals_EU!S22*Mapping!$C$20,0))</f>
        <v>5.000000000000001E-2</v>
      </c>
      <c r="U22" s="1">
        <f t="shared" si="0"/>
        <v>0</v>
      </c>
    </row>
    <row r="23" spans="1:21">
      <c r="A23" s="5">
        <f>Signals_EU!B23</f>
        <v>39692</v>
      </c>
      <c r="B23" s="1">
        <f>IF(Signals_EU!O23=1,Signals_EU!R23*Mapping!$C$2,IF(Signals_EU!O23=-1,-Signals_EU!S23*Mapping!$C$2,0))</f>
        <v>0</v>
      </c>
      <c r="C23" s="1">
        <f>IF(Signals_EU!F23=1,Signals_EU!R23*Mapping!$C$3,IF(Signals_EU!F23=-1,-Signals_EU!S23*Mapping!$C$3,0))</f>
        <v>-3.0000000000000006E-2</v>
      </c>
      <c r="D23" s="1">
        <f>IF(Signals_EU!C23=1,Signals_EU!R23*Mapping!$C$4,IF(Signals_EU!C23=-1,-Signals_EU!S23*Mapping!$C$4,0))</f>
        <v>2.5000000000000005E-2</v>
      </c>
      <c r="E23" s="1">
        <f>IF(Signals_EU!C23=1,Signals_EU!R23*Mapping!$C$5,IF(Signals_EU!C23=-1,-Signals_EU!S23*Mapping!$C$5,0))</f>
        <v>2.5000000000000005E-2</v>
      </c>
      <c r="F23" s="1">
        <f>IF(Signals_EU!H23=1,Signals_EU!R23*Mapping!$C$6,IF(Signals_EU!H23=-1,-Signals_EU!S23*Mapping!$C$6,0))</f>
        <v>0</v>
      </c>
      <c r="G23" s="1">
        <f>IF(Signals_EU!F23=1,Signals_EU!R23*Mapping!$C$7,IF(Signals_EU!F23=-1,-Signals_EU!S23*Mapping!$C$7,0))</f>
        <v>-1.0000000000000002E-2</v>
      </c>
      <c r="H23" s="1">
        <f>IF(Signals_EU!D23=1,Signals_EU!R23*Mapping!$C$8,IF(Signals_EU!D23=-1,-Signals_EU!S23*Mapping!$C$8,0))</f>
        <v>0</v>
      </c>
      <c r="I23" s="1">
        <f>IF(Signals_EU!G23=1,Signals_EU!R23*Mapping!$C$9,IF(Signals_EU!G23=-1,-Signals_EU!S23*Mapping!$C$9,0))</f>
        <v>0</v>
      </c>
      <c r="J23" s="1">
        <f>IF(Signals_EU!H23=1,Signals_EU!R23*Mapping!$C$10,IF(Signals_EU!H23=-1,-Signals_EU!S23*Mapping!$C$10,0))</f>
        <v>0</v>
      </c>
      <c r="K23" s="1">
        <f>IF(Signals_EU!F23=1,Signals_EU!R23*Mapping!$C$11,IF(Signals_EU!F23=-1,-Signals_EU!S23*Mapping!$C$11,0))</f>
        <v>-1.0000000000000002E-2</v>
      </c>
      <c r="L23" s="1">
        <f>IF(Signals_EU!N23=1,Signals_EU!R23*Mapping!$C$12,IF(Signals_EU!N23=-1,-Signals_EU!S23*Mapping!$C$12,0))</f>
        <v>0</v>
      </c>
      <c r="M23" s="1">
        <f>IF(Signals_EU!I23=1,Signals_EU!R23*Mapping!$C$13,IF(Signals_EU!I23=-1,-Signals_EU!S23*Mapping!$C$13,0))</f>
        <v>5.000000000000001E-2</v>
      </c>
      <c r="N23" s="1">
        <f>IF(Signals_EU!E23=1,Signals_EU!R23*Mapping!$C$14,IF(Signals_EU!E23=-1,-Signals_EU!S23*Mapping!$C$14,0))</f>
        <v>0</v>
      </c>
      <c r="O23" s="1">
        <f>0</f>
        <v>0</v>
      </c>
      <c r="P23" s="1">
        <f>0</f>
        <v>0</v>
      </c>
      <c r="Q23" s="1">
        <f>IF(Signals_EU!J23=1,Signals_EU!R23*Mapping!$C$17,IF(Signals_EU!J23=-1,-Signals_EU!S23*Mapping!$C$17,0))</f>
        <v>0</v>
      </c>
      <c r="R23" s="1">
        <f>IF(Signals_EU!K23=1,Signals_EU!R23*Mapping!$C$18,IF(Signals_EU!K23=-1,-Signals_EU!S23*Mapping!$C$18,0))</f>
        <v>-5.000000000000001E-2</v>
      </c>
      <c r="S23" s="1">
        <f>IF(Signals_EU!M23=1,Signals_EU!R23*Mapping!$C$19,IF(Signals_EU!M23=-1,-Signals_EU!S23*Mapping!$C$19,0))</f>
        <v>-5.000000000000001E-2</v>
      </c>
      <c r="T23" s="1">
        <f>IF(Signals_EU!L23=1,Signals_EU!R23*Mapping!$C$20,IF(Signals_EU!L23=-1,-Signals_EU!S23*Mapping!$C$20,0))</f>
        <v>5.000000000000001E-2</v>
      </c>
      <c r="U23" s="1">
        <f t="shared" si="0"/>
        <v>0</v>
      </c>
    </row>
    <row r="24" spans="1:21">
      <c r="A24" s="5">
        <f>Signals_EU!B24</f>
        <v>39722</v>
      </c>
      <c r="B24" s="1">
        <f>IF(Signals_EU!O24=1,Signals_EU!R24*Mapping!$C$2,IF(Signals_EU!O24=-1,-Signals_EU!S24*Mapping!$C$2,0))</f>
        <v>0</v>
      </c>
      <c r="C24" s="1">
        <f>IF(Signals_EU!F24=1,Signals_EU!R24*Mapping!$C$3,IF(Signals_EU!F24=-1,-Signals_EU!S24*Mapping!$C$3,0))</f>
        <v>-3.0000000000000006E-2</v>
      </c>
      <c r="D24" s="1">
        <f>IF(Signals_EU!C24=1,Signals_EU!R24*Mapping!$C$4,IF(Signals_EU!C24=-1,-Signals_EU!S24*Mapping!$C$4,0))</f>
        <v>2.5000000000000005E-2</v>
      </c>
      <c r="E24" s="1">
        <f>IF(Signals_EU!C24=1,Signals_EU!R24*Mapping!$C$5,IF(Signals_EU!C24=-1,-Signals_EU!S24*Mapping!$C$5,0))</f>
        <v>2.5000000000000005E-2</v>
      </c>
      <c r="F24" s="1">
        <f>IF(Signals_EU!H24=1,Signals_EU!R24*Mapping!$C$6,IF(Signals_EU!H24=-1,-Signals_EU!S24*Mapping!$C$6,0))</f>
        <v>0</v>
      </c>
      <c r="G24" s="1">
        <f>IF(Signals_EU!F24=1,Signals_EU!R24*Mapping!$C$7,IF(Signals_EU!F24=-1,-Signals_EU!S24*Mapping!$C$7,0))</f>
        <v>-1.0000000000000002E-2</v>
      </c>
      <c r="H24" s="1">
        <f>IF(Signals_EU!D24=1,Signals_EU!R24*Mapping!$C$8,IF(Signals_EU!D24=-1,-Signals_EU!S24*Mapping!$C$8,0))</f>
        <v>0</v>
      </c>
      <c r="I24" s="1">
        <f>IF(Signals_EU!G24=1,Signals_EU!R24*Mapping!$C$9,IF(Signals_EU!G24=-1,-Signals_EU!S24*Mapping!$C$9,0))</f>
        <v>5.000000000000001E-2</v>
      </c>
      <c r="J24" s="1">
        <f>IF(Signals_EU!H24=1,Signals_EU!R24*Mapping!$C$10,IF(Signals_EU!H24=-1,-Signals_EU!S24*Mapping!$C$10,0))</f>
        <v>0</v>
      </c>
      <c r="K24" s="1">
        <f>IF(Signals_EU!F24=1,Signals_EU!R24*Mapping!$C$11,IF(Signals_EU!F24=-1,-Signals_EU!S24*Mapping!$C$11,0))</f>
        <v>-1.0000000000000002E-2</v>
      </c>
      <c r="L24" s="1">
        <f>IF(Signals_EU!N24=1,Signals_EU!R24*Mapping!$C$12,IF(Signals_EU!N24=-1,-Signals_EU!S24*Mapping!$C$12,0))</f>
        <v>0</v>
      </c>
      <c r="M24" s="1">
        <f>IF(Signals_EU!I24=1,Signals_EU!R24*Mapping!$C$13,IF(Signals_EU!I24=-1,-Signals_EU!S24*Mapping!$C$13,0))</f>
        <v>5.000000000000001E-2</v>
      </c>
      <c r="N24" s="1">
        <f>IF(Signals_EU!E24=1,Signals_EU!R24*Mapping!$C$14,IF(Signals_EU!E24=-1,-Signals_EU!S24*Mapping!$C$14,0))</f>
        <v>0</v>
      </c>
      <c r="O24" s="1">
        <f>0</f>
        <v>0</v>
      </c>
      <c r="P24" s="1">
        <f>0</f>
        <v>0</v>
      </c>
      <c r="Q24" s="1">
        <f>IF(Signals_EU!J24=1,Signals_EU!R24*Mapping!$C$17,IF(Signals_EU!J24=-1,-Signals_EU!S24*Mapping!$C$17,0))</f>
        <v>-5.000000000000001E-2</v>
      </c>
      <c r="R24" s="1">
        <f>IF(Signals_EU!K24=1,Signals_EU!R24*Mapping!$C$18,IF(Signals_EU!K24=-1,-Signals_EU!S24*Mapping!$C$18,0))</f>
        <v>0</v>
      </c>
      <c r="S24" s="1">
        <f>IF(Signals_EU!M24=1,Signals_EU!R24*Mapping!$C$19,IF(Signals_EU!M24=-1,-Signals_EU!S24*Mapping!$C$19,0))</f>
        <v>-5.000000000000001E-2</v>
      </c>
      <c r="T24" s="1">
        <f>IF(Signals_EU!L24=1,Signals_EU!R24*Mapping!$C$20,IF(Signals_EU!L24=-1,-Signals_EU!S24*Mapping!$C$20,0))</f>
        <v>0</v>
      </c>
      <c r="U24" s="1">
        <f t="shared" si="0"/>
        <v>0</v>
      </c>
    </row>
    <row r="25" spans="1:21">
      <c r="A25" s="5">
        <f>Signals_EU!B25</f>
        <v>39753</v>
      </c>
      <c r="B25" s="1">
        <f>IF(Signals_EU!O25=1,Signals_EU!R25*Mapping!$C$2,IF(Signals_EU!O25=-1,-Signals_EU!S25*Mapping!$C$2,0))</f>
        <v>0</v>
      </c>
      <c r="C25" s="1">
        <f>IF(Signals_EU!F25=1,Signals_EU!R25*Mapping!$C$3,IF(Signals_EU!F25=-1,-Signals_EU!S25*Mapping!$C$3,0))</f>
        <v>-3.0000000000000006E-2</v>
      </c>
      <c r="D25" s="1">
        <f>IF(Signals_EU!C25=1,Signals_EU!R25*Mapping!$C$4,IF(Signals_EU!C25=-1,-Signals_EU!S25*Mapping!$C$4,0))</f>
        <v>-2.5000000000000005E-2</v>
      </c>
      <c r="E25" s="1">
        <f>IF(Signals_EU!C25=1,Signals_EU!R25*Mapping!$C$5,IF(Signals_EU!C25=-1,-Signals_EU!S25*Mapping!$C$5,0))</f>
        <v>-2.5000000000000005E-2</v>
      </c>
      <c r="F25" s="1">
        <f>IF(Signals_EU!H25=1,Signals_EU!R25*Mapping!$C$6,IF(Signals_EU!H25=-1,-Signals_EU!S25*Mapping!$C$6,0))</f>
        <v>0</v>
      </c>
      <c r="G25" s="1">
        <f>IF(Signals_EU!F25=1,Signals_EU!R25*Mapping!$C$7,IF(Signals_EU!F25=-1,-Signals_EU!S25*Mapping!$C$7,0))</f>
        <v>-1.0000000000000002E-2</v>
      </c>
      <c r="H25" s="1">
        <f>IF(Signals_EU!D25=1,Signals_EU!R25*Mapping!$C$8,IF(Signals_EU!D25=-1,-Signals_EU!S25*Mapping!$C$8,0))</f>
        <v>5.000000000000001E-2</v>
      </c>
      <c r="I25" s="1">
        <f>IF(Signals_EU!G25=1,Signals_EU!R25*Mapping!$C$9,IF(Signals_EU!G25=-1,-Signals_EU!S25*Mapping!$C$9,0))</f>
        <v>5.000000000000001E-2</v>
      </c>
      <c r="J25" s="1">
        <f>IF(Signals_EU!H25=1,Signals_EU!R25*Mapping!$C$10,IF(Signals_EU!H25=-1,-Signals_EU!S25*Mapping!$C$10,0))</f>
        <v>0</v>
      </c>
      <c r="K25" s="1">
        <f>IF(Signals_EU!F25=1,Signals_EU!R25*Mapping!$C$11,IF(Signals_EU!F25=-1,-Signals_EU!S25*Mapping!$C$11,0))</f>
        <v>-1.0000000000000002E-2</v>
      </c>
      <c r="L25" s="1">
        <f>IF(Signals_EU!N25=1,Signals_EU!R25*Mapping!$C$12,IF(Signals_EU!N25=-1,-Signals_EU!S25*Mapping!$C$12,0))</f>
        <v>0</v>
      </c>
      <c r="M25" s="1">
        <f>IF(Signals_EU!I25=1,Signals_EU!R25*Mapping!$C$13,IF(Signals_EU!I25=-1,-Signals_EU!S25*Mapping!$C$13,0))</f>
        <v>0</v>
      </c>
      <c r="N25" s="1">
        <f>IF(Signals_EU!E25=1,Signals_EU!R25*Mapping!$C$14,IF(Signals_EU!E25=-1,-Signals_EU!S25*Mapping!$C$14,0))</f>
        <v>0</v>
      </c>
      <c r="O25" s="1">
        <f>0</f>
        <v>0</v>
      </c>
      <c r="P25" s="1">
        <f>0</f>
        <v>0</v>
      </c>
      <c r="Q25" s="1">
        <f>IF(Signals_EU!J25=1,Signals_EU!R25*Mapping!$C$17,IF(Signals_EU!J25=-1,-Signals_EU!S25*Mapping!$C$17,0))</f>
        <v>-5.000000000000001E-2</v>
      </c>
      <c r="R25" s="1">
        <f>IF(Signals_EU!K25=1,Signals_EU!R25*Mapping!$C$18,IF(Signals_EU!K25=-1,-Signals_EU!S25*Mapping!$C$18,0))</f>
        <v>0</v>
      </c>
      <c r="S25" s="1">
        <f>IF(Signals_EU!M25=1,Signals_EU!R25*Mapping!$C$19,IF(Signals_EU!M25=-1,-Signals_EU!S25*Mapping!$C$19,0))</f>
        <v>0</v>
      </c>
      <c r="T25" s="1">
        <f>IF(Signals_EU!L25=1,Signals_EU!R25*Mapping!$C$20,IF(Signals_EU!L25=-1,-Signals_EU!S25*Mapping!$C$20,0))</f>
        <v>5.000000000000001E-2</v>
      </c>
      <c r="U25" s="1">
        <f t="shared" si="0"/>
        <v>0</v>
      </c>
    </row>
    <row r="26" spans="1:21">
      <c r="A26" s="5">
        <f>Signals_EU!B26</f>
        <v>39783</v>
      </c>
      <c r="B26" s="1">
        <f>IF(Signals_EU!O26=1,Signals_EU!R26*Mapping!$C$2,IF(Signals_EU!O26=-1,-Signals_EU!S26*Mapping!$C$2,0))</f>
        <v>5.000000000000001E-2</v>
      </c>
      <c r="C26" s="1">
        <f>IF(Signals_EU!F26=1,Signals_EU!R26*Mapping!$C$3,IF(Signals_EU!F26=-1,-Signals_EU!S26*Mapping!$C$3,0))</f>
        <v>-3.0000000000000006E-2</v>
      </c>
      <c r="D26" s="1">
        <f>IF(Signals_EU!C26=1,Signals_EU!R26*Mapping!$C$4,IF(Signals_EU!C26=-1,-Signals_EU!S26*Mapping!$C$4,0))</f>
        <v>-2.5000000000000005E-2</v>
      </c>
      <c r="E26" s="1">
        <f>IF(Signals_EU!C26=1,Signals_EU!R26*Mapping!$C$5,IF(Signals_EU!C26=-1,-Signals_EU!S26*Mapping!$C$5,0))</f>
        <v>-2.5000000000000005E-2</v>
      </c>
      <c r="F26" s="1">
        <f>IF(Signals_EU!H26=1,Signals_EU!R26*Mapping!$C$6,IF(Signals_EU!H26=-1,-Signals_EU!S26*Mapping!$C$6,0))</f>
        <v>-1.0000000000000002E-2</v>
      </c>
      <c r="G26" s="1">
        <f>IF(Signals_EU!F26=1,Signals_EU!R26*Mapping!$C$7,IF(Signals_EU!F26=-1,-Signals_EU!S26*Mapping!$C$7,0))</f>
        <v>-1.0000000000000002E-2</v>
      </c>
      <c r="H26" s="1">
        <f>IF(Signals_EU!D26=1,Signals_EU!R26*Mapping!$C$8,IF(Signals_EU!D26=-1,-Signals_EU!S26*Mapping!$C$8,0))</f>
        <v>0</v>
      </c>
      <c r="I26" s="1">
        <f>IF(Signals_EU!G26=1,Signals_EU!R26*Mapping!$C$9,IF(Signals_EU!G26=-1,-Signals_EU!S26*Mapping!$C$9,0))</f>
        <v>5.000000000000001E-2</v>
      </c>
      <c r="J26" s="1">
        <f>IF(Signals_EU!H26=1,Signals_EU!R26*Mapping!$C$10,IF(Signals_EU!H26=-1,-Signals_EU!S26*Mapping!$C$10,0))</f>
        <v>-4.0000000000000008E-2</v>
      </c>
      <c r="K26" s="1">
        <f>IF(Signals_EU!F26=1,Signals_EU!R26*Mapping!$C$11,IF(Signals_EU!F26=-1,-Signals_EU!S26*Mapping!$C$11,0))</f>
        <v>-1.0000000000000002E-2</v>
      </c>
      <c r="L26" s="1">
        <f>IF(Signals_EU!N26=1,Signals_EU!R26*Mapping!$C$12,IF(Signals_EU!N26=-1,-Signals_EU!S26*Mapping!$C$12,0))</f>
        <v>0</v>
      </c>
      <c r="M26" s="1">
        <f>IF(Signals_EU!I26=1,Signals_EU!R26*Mapping!$C$13,IF(Signals_EU!I26=-1,-Signals_EU!S26*Mapping!$C$13,0))</f>
        <v>0</v>
      </c>
      <c r="N26" s="1">
        <f>IF(Signals_EU!E26=1,Signals_EU!R26*Mapping!$C$14,IF(Signals_EU!E26=-1,-Signals_EU!S26*Mapping!$C$14,0))</f>
        <v>0</v>
      </c>
      <c r="O26" s="1">
        <f>0</f>
        <v>0</v>
      </c>
      <c r="P26" s="1">
        <f>0</f>
        <v>0</v>
      </c>
      <c r="Q26" s="1">
        <f>IF(Signals_EU!J26=1,Signals_EU!R26*Mapping!$C$17,IF(Signals_EU!J26=-1,-Signals_EU!S26*Mapping!$C$17,0))</f>
        <v>0</v>
      </c>
      <c r="R26" s="1">
        <f>IF(Signals_EU!K26=1,Signals_EU!R26*Mapping!$C$18,IF(Signals_EU!K26=-1,-Signals_EU!S26*Mapping!$C$18,0))</f>
        <v>5.000000000000001E-2</v>
      </c>
      <c r="S26" s="1">
        <f>IF(Signals_EU!M26=1,Signals_EU!R26*Mapping!$C$19,IF(Signals_EU!M26=-1,-Signals_EU!S26*Mapping!$C$19,0))</f>
        <v>0</v>
      </c>
      <c r="T26" s="1">
        <f>IF(Signals_EU!L26=1,Signals_EU!R26*Mapping!$C$20,IF(Signals_EU!L26=-1,-Signals_EU!S26*Mapping!$C$20,0))</f>
        <v>0</v>
      </c>
      <c r="U26" s="1">
        <f t="shared" si="0"/>
        <v>0</v>
      </c>
    </row>
    <row r="27" spans="1:21">
      <c r="A27" s="5">
        <f>Signals_EU!B27</f>
        <v>39814</v>
      </c>
      <c r="B27" s="1">
        <f>IF(Signals_EU!O27=1,Signals_EU!R27*Mapping!$C$2,IF(Signals_EU!O27=-1,-Signals_EU!S27*Mapping!$C$2,0))</f>
        <v>0</v>
      </c>
      <c r="C27" s="1">
        <f>IF(Signals_EU!F27=1,Signals_EU!R27*Mapping!$C$3,IF(Signals_EU!F27=-1,-Signals_EU!S27*Mapping!$C$3,0))</f>
        <v>-3.0000000000000006E-2</v>
      </c>
      <c r="D27" s="1">
        <f>IF(Signals_EU!C27=1,Signals_EU!R27*Mapping!$C$4,IF(Signals_EU!C27=-1,-Signals_EU!S27*Mapping!$C$4,0))</f>
        <v>-2.5000000000000005E-2</v>
      </c>
      <c r="E27" s="1">
        <f>IF(Signals_EU!C27=1,Signals_EU!R27*Mapping!$C$5,IF(Signals_EU!C27=-1,-Signals_EU!S27*Mapping!$C$5,0))</f>
        <v>-2.5000000000000005E-2</v>
      </c>
      <c r="F27" s="1">
        <f>IF(Signals_EU!H27=1,Signals_EU!R27*Mapping!$C$6,IF(Signals_EU!H27=-1,-Signals_EU!S27*Mapping!$C$6,0))</f>
        <v>0</v>
      </c>
      <c r="G27" s="1">
        <f>IF(Signals_EU!F27=1,Signals_EU!R27*Mapping!$C$7,IF(Signals_EU!F27=-1,-Signals_EU!S27*Mapping!$C$7,0))</f>
        <v>-1.0000000000000002E-2</v>
      </c>
      <c r="H27" s="1">
        <f>IF(Signals_EU!D27=1,Signals_EU!R27*Mapping!$C$8,IF(Signals_EU!D27=-1,-Signals_EU!S27*Mapping!$C$8,0))</f>
        <v>5.000000000000001E-2</v>
      </c>
      <c r="I27" s="1">
        <f>IF(Signals_EU!G27=1,Signals_EU!R27*Mapping!$C$9,IF(Signals_EU!G27=-1,-Signals_EU!S27*Mapping!$C$9,0))</f>
        <v>5.000000000000001E-2</v>
      </c>
      <c r="J27" s="1">
        <f>IF(Signals_EU!H27=1,Signals_EU!R27*Mapping!$C$10,IF(Signals_EU!H27=-1,-Signals_EU!S27*Mapping!$C$10,0))</f>
        <v>0</v>
      </c>
      <c r="K27" s="1">
        <f>IF(Signals_EU!F27=1,Signals_EU!R27*Mapping!$C$11,IF(Signals_EU!F27=-1,-Signals_EU!S27*Mapping!$C$11,0))</f>
        <v>-1.0000000000000002E-2</v>
      </c>
      <c r="L27" s="1">
        <f>IF(Signals_EU!N27=1,Signals_EU!R27*Mapping!$C$12,IF(Signals_EU!N27=-1,-Signals_EU!S27*Mapping!$C$12,0))</f>
        <v>0</v>
      </c>
      <c r="M27" s="1">
        <f>IF(Signals_EU!I27=1,Signals_EU!R27*Mapping!$C$13,IF(Signals_EU!I27=-1,-Signals_EU!S27*Mapping!$C$13,0))</f>
        <v>0</v>
      </c>
      <c r="N27" s="1">
        <f>IF(Signals_EU!E27=1,Signals_EU!R27*Mapping!$C$14,IF(Signals_EU!E27=-1,-Signals_EU!S27*Mapping!$C$14,0))</f>
        <v>0</v>
      </c>
      <c r="O27" s="1">
        <f>0</f>
        <v>0</v>
      </c>
      <c r="P27" s="1">
        <f>0</f>
        <v>0</v>
      </c>
      <c r="Q27" s="1">
        <f>IF(Signals_EU!J27=1,Signals_EU!R27*Mapping!$C$17,IF(Signals_EU!J27=-1,-Signals_EU!S27*Mapping!$C$17,0))</f>
        <v>-5.000000000000001E-2</v>
      </c>
      <c r="R27" s="1">
        <f>IF(Signals_EU!K27=1,Signals_EU!R27*Mapping!$C$18,IF(Signals_EU!K27=-1,-Signals_EU!S27*Mapping!$C$18,0))</f>
        <v>5.000000000000001E-2</v>
      </c>
      <c r="S27" s="1">
        <f>IF(Signals_EU!M27=1,Signals_EU!R27*Mapping!$C$19,IF(Signals_EU!M27=-1,-Signals_EU!S27*Mapping!$C$19,0))</f>
        <v>0</v>
      </c>
      <c r="T27" s="1">
        <f>IF(Signals_EU!L27=1,Signals_EU!R27*Mapping!$C$20,IF(Signals_EU!L27=-1,-Signals_EU!S27*Mapping!$C$20,0))</f>
        <v>0</v>
      </c>
      <c r="U27" s="1">
        <f t="shared" si="0"/>
        <v>0</v>
      </c>
    </row>
    <row r="28" spans="1:21">
      <c r="A28" s="5">
        <f>Signals_EU!B28</f>
        <v>39845</v>
      </c>
      <c r="B28" s="1">
        <f>IF(Signals_EU!O28=1,Signals_EU!R28*Mapping!$C$2,IF(Signals_EU!O28=-1,-Signals_EU!S28*Mapping!$C$2,0))</f>
        <v>-5.000000000000001E-2</v>
      </c>
      <c r="C28" s="1">
        <f>IF(Signals_EU!F28=1,Signals_EU!R28*Mapping!$C$3,IF(Signals_EU!F28=-1,-Signals_EU!S28*Mapping!$C$3,0))</f>
        <v>-3.0000000000000006E-2</v>
      </c>
      <c r="D28" s="1">
        <f>IF(Signals_EU!C28=1,Signals_EU!R28*Mapping!$C$4,IF(Signals_EU!C28=-1,-Signals_EU!S28*Mapping!$C$4,0))</f>
        <v>-2.5000000000000005E-2</v>
      </c>
      <c r="E28" s="1">
        <f>IF(Signals_EU!C28=1,Signals_EU!R28*Mapping!$C$5,IF(Signals_EU!C28=-1,-Signals_EU!S28*Mapping!$C$5,0))</f>
        <v>-2.5000000000000005E-2</v>
      </c>
      <c r="F28" s="1">
        <f>IF(Signals_EU!H28=1,Signals_EU!R28*Mapping!$C$6,IF(Signals_EU!H28=-1,-Signals_EU!S28*Mapping!$C$6,0))</f>
        <v>0</v>
      </c>
      <c r="G28" s="1">
        <f>IF(Signals_EU!F28=1,Signals_EU!R28*Mapping!$C$7,IF(Signals_EU!F28=-1,-Signals_EU!S28*Mapping!$C$7,0))</f>
        <v>-1.0000000000000002E-2</v>
      </c>
      <c r="H28" s="1">
        <f>IF(Signals_EU!D28=1,Signals_EU!R28*Mapping!$C$8,IF(Signals_EU!D28=-1,-Signals_EU!S28*Mapping!$C$8,0))</f>
        <v>0</v>
      </c>
      <c r="I28" s="1">
        <f>IF(Signals_EU!G28=1,Signals_EU!R28*Mapping!$C$9,IF(Signals_EU!G28=-1,-Signals_EU!S28*Mapping!$C$9,0))</f>
        <v>5.000000000000001E-2</v>
      </c>
      <c r="J28" s="1">
        <f>IF(Signals_EU!H28=1,Signals_EU!R28*Mapping!$C$10,IF(Signals_EU!H28=-1,-Signals_EU!S28*Mapping!$C$10,0))</f>
        <v>0</v>
      </c>
      <c r="K28" s="1">
        <f>IF(Signals_EU!F28=1,Signals_EU!R28*Mapping!$C$11,IF(Signals_EU!F28=-1,-Signals_EU!S28*Mapping!$C$11,0))</f>
        <v>-1.0000000000000002E-2</v>
      </c>
      <c r="L28" s="1">
        <f>IF(Signals_EU!N28=1,Signals_EU!R28*Mapping!$C$12,IF(Signals_EU!N28=-1,-Signals_EU!S28*Mapping!$C$12,0))</f>
        <v>0</v>
      </c>
      <c r="M28" s="1">
        <f>IF(Signals_EU!I28=1,Signals_EU!R28*Mapping!$C$13,IF(Signals_EU!I28=-1,-Signals_EU!S28*Mapping!$C$13,0))</f>
        <v>5.000000000000001E-2</v>
      </c>
      <c r="N28" s="1">
        <f>IF(Signals_EU!E28=1,Signals_EU!R28*Mapping!$C$14,IF(Signals_EU!E28=-1,-Signals_EU!S28*Mapping!$C$14,0))</f>
        <v>0</v>
      </c>
      <c r="O28" s="1">
        <f>0</f>
        <v>0</v>
      </c>
      <c r="P28" s="1">
        <f>0</f>
        <v>0</v>
      </c>
      <c r="Q28" s="1">
        <f>IF(Signals_EU!J28=1,Signals_EU!R28*Mapping!$C$17,IF(Signals_EU!J28=-1,-Signals_EU!S28*Mapping!$C$17,0))</f>
        <v>0</v>
      </c>
      <c r="R28" s="1">
        <f>IF(Signals_EU!K28=1,Signals_EU!R28*Mapping!$C$18,IF(Signals_EU!K28=-1,-Signals_EU!S28*Mapping!$C$18,0))</f>
        <v>5.000000000000001E-2</v>
      </c>
      <c r="S28" s="1">
        <f>IF(Signals_EU!M28=1,Signals_EU!R28*Mapping!$C$19,IF(Signals_EU!M28=-1,-Signals_EU!S28*Mapping!$C$19,0))</f>
        <v>0</v>
      </c>
      <c r="T28" s="1">
        <f>IF(Signals_EU!L28=1,Signals_EU!R28*Mapping!$C$20,IF(Signals_EU!L28=-1,-Signals_EU!S28*Mapping!$C$20,0))</f>
        <v>0</v>
      </c>
      <c r="U28" s="1">
        <f t="shared" si="0"/>
        <v>0</v>
      </c>
    </row>
    <row r="29" spans="1:21">
      <c r="A29" s="5">
        <f>Signals_EU!B29</f>
        <v>39873</v>
      </c>
      <c r="B29" s="1">
        <f>IF(Signals_EU!O29=1,Signals_EU!R29*Mapping!$C$2,IF(Signals_EU!O29=-1,-Signals_EU!S29*Mapping!$C$2,0))</f>
        <v>-5.000000000000001E-2</v>
      </c>
      <c r="C29" s="1">
        <f>IF(Signals_EU!F29=1,Signals_EU!R29*Mapping!$C$3,IF(Signals_EU!F29=-1,-Signals_EU!S29*Mapping!$C$3,0))</f>
        <v>-3.0000000000000006E-2</v>
      </c>
      <c r="D29" s="1">
        <f>IF(Signals_EU!C29=1,Signals_EU!R29*Mapping!$C$4,IF(Signals_EU!C29=-1,-Signals_EU!S29*Mapping!$C$4,0))</f>
        <v>-2.5000000000000005E-2</v>
      </c>
      <c r="E29" s="1">
        <f>IF(Signals_EU!C29=1,Signals_EU!R29*Mapping!$C$5,IF(Signals_EU!C29=-1,-Signals_EU!S29*Mapping!$C$5,0))</f>
        <v>-2.5000000000000005E-2</v>
      </c>
      <c r="F29" s="1">
        <f>IF(Signals_EU!H29=1,Signals_EU!R29*Mapping!$C$6,IF(Signals_EU!H29=-1,-Signals_EU!S29*Mapping!$C$6,0))</f>
        <v>0</v>
      </c>
      <c r="G29" s="1">
        <f>IF(Signals_EU!F29=1,Signals_EU!R29*Mapping!$C$7,IF(Signals_EU!F29=-1,-Signals_EU!S29*Mapping!$C$7,0))</f>
        <v>-1.0000000000000002E-2</v>
      </c>
      <c r="H29" s="1">
        <f>IF(Signals_EU!D29=1,Signals_EU!R29*Mapping!$C$8,IF(Signals_EU!D29=-1,-Signals_EU!S29*Mapping!$C$8,0))</f>
        <v>0</v>
      </c>
      <c r="I29" s="1">
        <f>IF(Signals_EU!G29=1,Signals_EU!R29*Mapping!$C$9,IF(Signals_EU!G29=-1,-Signals_EU!S29*Mapping!$C$9,0))</f>
        <v>5.000000000000001E-2</v>
      </c>
      <c r="J29" s="1">
        <f>IF(Signals_EU!H29=1,Signals_EU!R29*Mapping!$C$10,IF(Signals_EU!H29=-1,-Signals_EU!S29*Mapping!$C$10,0))</f>
        <v>0</v>
      </c>
      <c r="K29" s="1">
        <f>IF(Signals_EU!F29=1,Signals_EU!R29*Mapping!$C$11,IF(Signals_EU!F29=-1,-Signals_EU!S29*Mapping!$C$11,0))</f>
        <v>-1.0000000000000002E-2</v>
      </c>
      <c r="L29" s="1">
        <f>IF(Signals_EU!N29=1,Signals_EU!R29*Mapping!$C$12,IF(Signals_EU!N29=-1,-Signals_EU!S29*Mapping!$C$12,0))</f>
        <v>5.000000000000001E-2</v>
      </c>
      <c r="M29" s="1">
        <f>IF(Signals_EU!I29=1,Signals_EU!R29*Mapping!$C$13,IF(Signals_EU!I29=-1,-Signals_EU!S29*Mapping!$C$13,0))</f>
        <v>5.000000000000001E-2</v>
      </c>
      <c r="N29" s="1">
        <f>IF(Signals_EU!E29=1,Signals_EU!R29*Mapping!$C$14,IF(Signals_EU!E29=-1,-Signals_EU!S29*Mapping!$C$14,0))</f>
        <v>0</v>
      </c>
      <c r="O29" s="1">
        <f>0</f>
        <v>0</v>
      </c>
      <c r="P29" s="1">
        <f>0</f>
        <v>0</v>
      </c>
      <c r="Q29" s="1">
        <f>IF(Signals_EU!J29=1,Signals_EU!R29*Mapping!$C$17,IF(Signals_EU!J29=-1,-Signals_EU!S29*Mapping!$C$17,0))</f>
        <v>0</v>
      </c>
      <c r="R29" s="1">
        <f>IF(Signals_EU!K29=1,Signals_EU!R29*Mapping!$C$18,IF(Signals_EU!K29=-1,-Signals_EU!S29*Mapping!$C$18,0))</f>
        <v>0</v>
      </c>
      <c r="S29" s="1">
        <f>IF(Signals_EU!M29=1,Signals_EU!R29*Mapping!$C$19,IF(Signals_EU!M29=-1,-Signals_EU!S29*Mapping!$C$19,0))</f>
        <v>0</v>
      </c>
      <c r="T29" s="1">
        <f>IF(Signals_EU!L29=1,Signals_EU!R29*Mapping!$C$20,IF(Signals_EU!L29=-1,-Signals_EU!S29*Mapping!$C$20,0))</f>
        <v>0</v>
      </c>
      <c r="U29" s="1">
        <f t="shared" si="0"/>
        <v>0</v>
      </c>
    </row>
    <row r="30" spans="1:21">
      <c r="A30" s="5">
        <f>Signals_EU!B30</f>
        <v>39904</v>
      </c>
      <c r="B30" s="1">
        <f>IF(Signals_EU!O30=1,Signals_EU!R30*Mapping!$C$2,IF(Signals_EU!O30=-1,-Signals_EU!S30*Mapping!$C$2,0))</f>
        <v>-5.000000000000001E-2</v>
      </c>
      <c r="C30" s="1">
        <f>IF(Signals_EU!F30=1,Signals_EU!R30*Mapping!$C$3,IF(Signals_EU!F30=-1,-Signals_EU!S30*Mapping!$C$3,0))</f>
        <v>-3.0000000000000006E-2</v>
      </c>
      <c r="D30" s="1">
        <f>IF(Signals_EU!C30=1,Signals_EU!R30*Mapping!$C$4,IF(Signals_EU!C30=-1,-Signals_EU!S30*Mapping!$C$4,0))</f>
        <v>-2.5000000000000005E-2</v>
      </c>
      <c r="E30" s="1">
        <f>IF(Signals_EU!C30=1,Signals_EU!R30*Mapping!$C$5,IF(Signals_EU!C30=-1,-Signals_EU!S30*Mapping!$C$5,0))</f>
        <v>-2.5000000000000005E-2</v>
      </c>
      <c r="F30" s="1">
        <f>IF(Signals_EU!H30=1,Signals_EU!R30*Mapping!$C$6,IF(Signals_EU!H30=-1,-Signals_EU!S30*Mapping!$C$6,0))</f>
        <v>0</v>
      </c>
      <c r="G30" s="1">
        <f>IF(Signals_EU!F30=1,Signals_EU!R30*Mapping!$C$7,IF(Signals_EU!F30=-1,-Signals_EU!S30*Mapping!$C$7,0))</f>
        <v>-1.0000000000000002E-2</v>
      </c>
      <c r="H30" s="1">
        <f>IF(Signals_EU!D30=1,Signals_EU!R30*Mapping!$C$8,IF(Signals_EU!D30=-1,-Signals_EU!S30*Mapping!$C$8,0))</f>
        <v>0</v>
      </c>
      <c r="I30" s="1">
        <f>IF(Signals_EU!G30=1,Signals_EU!R30*Mapping!$C$9,IF(Signals_EU!G30=-1,-Signals_EU!S30*Mapping!$C$9,0))</f>
        <v>5.000000000000001E-2</v>
      </c>
      <c r="J30" s="1">
        <f>IF(Signals_EU!H30=1,Signals_EU!R30*Mapping!$C$10,IF(Signals_EU!H30=-1,-Signals_EU!S30*Mapping!$C$10,0))</f>
        <v>0</v>
      </c>
      <c r="K30" s="1">
        <f>IF(Signals_EU!F30=1,Signals_EU!R30*Mapping!$C$11,IF(Signals_EU!F30=-1,-Signals_EU!S30*Mapping!$C$11,0))</f>
        <v>-1.0000000000000002E-2</v>
      </c>
      <c r="L30" s="1">
        <f>IF(Signals_EU!N30=1,Signals_EU!R30*Mapping!$C$12,IF(Signals_EU!N30=-1,-Signals_EU!S30*Mapping!$C$12,0))</f>
        <v>5.000000000000001E-2</v>
      </c>
      <c r="M30" s="1">
        <f>IF(Signals_EU!I30=1,Signals_EU!R30*Mapping!$C$13,IF(Signals_EU!I30=-1,-Signals_EU!S30*Mapping!$C$13,0))</f>
        <v>0</v>
      </c>
      <c r="N30" s="1">
        <f>IF(Signals_EU!E30=1,Signals_EU!R30*Mapping!$C$14,IF(Signals_EU!E30=-1,-Signals_EU!S30*Mapping!$C$14,0))</f>
        <v>0</v>
      </c>
      <c r="O30" s="1">
        <f>0</f>
        <v>0</v>
      </c>
      <c r="P30" s="1">
        <f>0</f>
        <v>0</v>
      </c>
      <c r="Q30" s="1">
        <f>IF(Signals_EU!J30=1,Signals_EU!R30*Mapping!$C$17,IF(Signals_EU!J30=-1,-Signals_EU!S30*Mapping!$C$17,0))</f>
        <v>0</v>
      </c>
      <c r="R30" s="1">
        <f>IF(Signals_EU!K30=1,Signals_EU!R30*Mapping!$C$18,IF(Signals_EU!K30=-1,-Signals_EU!S30*Mapping!$C$18,0))</f>
        <v>5.000000000000001E-2</v>
      </c>
      <c r="S30" s="1">
        <f>IF(Signals_EU!M30=1,Signals_EU!R30*Mapping!$C$19,IF(Signals_EU!M30=-1,-Signals_EU!S30*Mapping!$C$19,0))</f>
        <v>0</v>
      </c>
      <c r="T30" s="1">
        <f>IF(Signals_EU!L30=1,Signals_EU!R30*Mapping!$C$20,IF(Signals_EU!L30=-1,-Signals_EU!S30*Mapping!$C$20,0))</f>
        <v>0</v>
      </c>
      <c r="U30" s="1">
        <f t="shared" si="0"/>
        <v>0</v>
      </c>
    </row>
    <row r="31" spans="1:21">
      <c r="A31" s="5">
        <f>Signals_EU!B31</f>
        <v>39934</v>
      </c>
      <c r="B31" s="1">
        <f>IF(Signals_EU!O31=1,Signals_EU!R31*Mapping!$C$2,IF(Signals_EU!O31=-1,-Signals_EU!S31*Mapping!$C$2,0))</f>
        <v>0</v>
      </c>
      <c r="C31" s="1">
        <f>IF(Signals_EU!F31=1,Signals_EU!R31*Mapping!$C$3,IF(Signals_EU!F31=-1,-Signals_EU!S31*Mapping!$C$3,0))</f>
        <v>-3.0000000000000006E-2</v>
      </c>
      <c r="D31" s="1">
        <f>IF(Signals_EU!C31=1,Signals_EU!R31*Mapping!$C$4,IF(Signals_EU!C31=-1,-Signals_EU!S31*Mapping!$C$4,0))</f>
        <v>-2.5000000000000005E-2</v>
      </c>
      <c r="E31" s="1">
        <f>IF(Signals_EU!C31=1,Signals_EU!R31*Mapping!$C$5,IF(Signals_EU!C31=-1,-Signals_EU!S31*Mapping!$C$5,0))</f>
        <v>-2.5000000000000005E-2</v>
      </c>
      <c r="F31" s="1">
        <f>IF(Signals_EU!H31=1,Signals_EU!R31*Mapping!$C$6,IF(Signals_EU!H31=-1,-Signals_EU!S31*Mapping!$C$6,0))</f>
        <v>0</v>
      </c>
      <c r="G31" s="1">
        <f>IF(Signals_EU!F31=1,Signals_EU!R31*Mapping!$C$7,IF(Signals_EU!F31=-1,-Signals_EU!S31*Mapping!$C$7,0))</f>
        <v>-1.0000000000000002E-2</v>
      </c>
      <c r="H31" s="1">
        <f>IF(Signals_EU!D31=1,Signals_EU!R31*Mapping!$C$8,IF(Signals_EU!D31=-1,-Signals_EU!S31*Mapping!$C$8,0))</f>
        <v>0</v>
      </c>
      <c r="I31" s="1">
        <f>IF(Signals_EU!G31=1,Signals_EU!R31*Mapping!$C$9,IF(Signals_EU!G31=-1,-Signals_EU!S31*Mapping!$C$9,0))</f>
        <v>5.000000000000001E-2</v>
      </c>
      <c r="J31" s="1">
        <f>IF(Signals_EU!H31=1,Signals_EU!R31*Mapping!$C$10,IF(Signals_EU!H31=-1,-Signals_EU!S31*Mapping!$C$10,0))</f>
        <v>0</v>
      </c>
      <c r="K31" s="1">
        <f>IF(Signals_EU!F31=1,Signals_EU!R31*Mapping!$C$11,IF(Signals_EU!F31=-1,-Signals_EU!S31*Mapping!$C$11,0))</f>
        <v>-1.0000000000000002E-2</v>
      </c>
      <c r="L31" s="1">
        <f>IF(Signals_EU!N31=1,Signals_EU!R31*Mapping!$C$12,IF(Signals_EU!N31=-1,-Signals_EU!S31*Mapping!$C$12,0))</f>
        <v>0</v>
      </c>
      <c r="M31" s="1">
        <f>IF(Signals_EU!I31=1,Signals_EU!R31*Mapping!$C$13,IF(Signals_EU!I31=-1,-Signals_EU!S31*Mapping!$C$13,0))</f>
        <v>0</v>
      </c>
      <c r="N31" s="1">
        <f>IF(Signals_EU!E31=1,Signals_EU!R31*Mapping!$C$14,IF(Signals_EU!E31=-1,-Signals_EU!S31*Mapping!$C$14,0))</f>
        <v>0</v>
      </c>
      <c r="O31" s="1">
        <f>0</f>
        <v>0</v>
      </c>
      <c r="P31" s="1">
        <f>0</f>
        <v>0</v>
      </c>
      <c r="Q31" s="1">
        <f>IF(Signals_EU!J31=1,Signals_EU!R31*Mapping!$C$17,IF(Signals_EU!J31=-1,-Signals_EU!S31*Mapping!$C$17,0))</f>
        <v>5.000000000000001E-2</v>
      </c>
      <c r="R31" s="1">
        <f>IF(Signals_EU!K31=1,Signals_EU!R31*Mapping!$C$18,IF(Signals_EU!K31=-1,-Signals_EU!S31*Mapping!$C$18,0))</f>
        <v>5.000000000000001E-2</v>
      </c>
      <c r="S31" s="1">
        <f>IF(Signals_EU!M31=1,Signals_EU!R31*Mapping!$C$19,IF(Signals_EU!M31=-1,-Signals_EU!S31*Mapping!$C$19,0))</f>
        <v>0</v>
      </c>
      <c r="T31" s="1">
        <f>IF(Signals_EU!L31=1,Signals_EU!R31*Mapping!$C$20,IF(Signals_EU!L31=-1,-Signals_EU!S31*Mapping!$C$20,0))</f>
        <v>-5.000000000000001E-2</v>
      </c>
      <c r="U31" s="1">
        <f t="shared" si="0"/>
        <v>0</v>
      </c>
    </row>
    <row r="32" spans="1:21">
      <c r="A32" s="5">
        <f>Signals_EU!B32</f>
        <v>39965</v>
      </c>
      <c r="B32" s="1">
        <f>IF(Signals_EU!O32=1,Signals_EU!R32*Mapping!$C$2,IF(Signals_EU!O32=-1,-Signals_EU!S32*Mapping!$C$2,0))</f>
        <v>5.000000000000001E-2</v>
      </c>
      <c r="C32" s="1">
        <f>IF(Signals_EU!F32=1,Signals_EU!R32*Mapping!$C$3,IF(Signals_EU!F32=-1,-Signals_EU!S32*Mapping!$C$3,0))</f>
        <v>-3.0000000000000006E-2</v>
      </c>
      <c r="D32" s="1">
        <f>IF(Signals_EU!C32=1,Signals_EU!R32*Mapping!$C$4,IF(Signals_EU!C32=-1,-Signals_EU!S32*Mapping!$C$4,0))</f>
        <v>0</v>
      </c>
      <c r="E32" s="1">
        <f>IF(Signals_EU!C32=1,Signals_EU!R32*Mapping!$C$5,IF(Signals_EU!C32=-1,-Signals_EU!S32*Mapping!$C$5,0))</f>
        <v>0</v>
      </c>
      <c r="F32" s="1">
        <f>IF(Signals_EU!H32=1,Signals_EU!R32*Mapping!$C$6,IF(Signals_EU!H32=-1,-Signals_EU!S32*Mapping!$C$6,0))</f>
        <v>0</v>
      </c>
      <c r="G32" s="1">
        <f>IF(Signals_EU!F32=1,Signals_EU!R32*Mapping!$C$7,IF(Signals_EU!F32=-1,-Signals_EU!S32*Mapping!$C$7,0))</f>
        <v>-1.0000000000000002E-2</v>
      </c>
      <c r="H32" s="1">
        <f>IF(Signals_EU!D32=1,Signals_EU!R32*Mapping!$C$8,IF(Signals_EU!D32=-1,-Signals_EU!S32*Mapping!$C$8,0))</f>
        <v>0</v>
      </c>
      <c r="I32" s="1">
        <f>IF(Signals_EU!G32=1,Signals_EU!R32*Mapping!$C$9,IF(Signals_EU!G32=-1,-Signals_EU!S32*Mapping!$C$9,0))</f>
        <v>5.000000000000001E-2</v>
      </c>
      <c r="J32" s="1">
        <f>IF(Signals_EU!H32=1,Signals_EU!R32*Mapping!$C$10,IF(Signals_EU!H32=-1,-Signals_EU!S32*Mapping!$C$10,0))</f>
        <v>0</v>
      </c>
      <c r="K32" s="1">
        <f>IF(Signals_EU!F32=1,Signals_EU!R32*Mapping!$C$11,IF(Signals_EU!F32=-1,-Signals_EU!S32*Mapping!$C$11,0))</f>
        <v>-1.0000000000000002E-2</v>
      </c>
      <c r="L32" s="1">
        <f>IF(Signals_EU!N32=1,Signals_EU!R32*Mapping!$C$12,IF(Signals_EU!N32=-1,-Signals_EU!S32*Mapping!$C$12,0))</f>
        <v>0</v>
      </c>
      <c r="M32" s="1">
        <f>IF(Signals_EU!I32=1,Signals_EU!R32*Mapping!$C$13,IF(Signals_EU!I32=-1,-Signals_EU!S32*Mapping!$C$13,0))</f>
        <v>-5.000000000000001E-2</v>
      </c>
      <c r="N32" s="1">
        <f>IF(Signals_EU!E32=1,Signals_EU!R32*Mapping!$C$14,IF(Signals_EU!E32=-1,-Signals_EU!S32*Mapping!$C$14,0))</f>
        <v>0</v>
      </c>
      <c r="O32" s="1">
        <f>0</f>
        <v>0</v>
      </c>
      <c r="P32" s="1">
        <f>0</f>
        <v>0</v>
      </c>
      <c r="Q32" s="1">
        <f>IF(Signals_EU!J32=1,Signals_EU!R32*Mapping!$C$17,IF(Signals_EU!J32=-1,-Signals_EU!S32*Mapping!$C$17,0))</f>
        <v>5.000000000000001E-2</v>
      </c>
      <c r="R32" s="1">
        <f>IF(Signals_EU!K32=1,Signals_EU!R32*Mapping!$C$18,IF(Signals_EU!K32=-1,-Signals_EU!S32*Mapping!$C$18,0))</f>
        <v>-5.000000000000001E-2</v>
      </c>
      <c r="S32" s="1">
        <f>IF(Signals_EU!M32=1,Signals_EU!R32*Mapping!$C$19,IF(Signals_EU!M32=-1,-Signals_EU!S32*Mapping!$C$19,0))</f>
        <v>0</v>
      </c>
      <c r="T32" s="1">
        <f>IF(Signals_EU!L32=1,Signals_EU!R32*Mapping!$C$20,IF(Signals_EU!L32=-1,-Signals_EU!S32*Mapping!$C$20,0))</f>
        <v>0</v>
      </c>
      <c r="U32" s="1">
        <f t="shared" si="0"/>
        <v>0</v>
      </c>
    </row>
    <row r="33" spans="1:21">
      <c r="A33" s="5">
        <f>Signals_EU!B33</f>
        <v>39995</v>
      </c>
      <c r="B33" s="1">
        <f>IF(Signals_EU!O33=1,Signals_EU!R33*Mapping!$C$2,IF(Signals_EU!O33=-1,-Signals_EU!S33*Mapping!$C$2,0))</f>
        <v>-5.000000000000001E-2</v>
      </c>
      <c r="C33" s="1">
        <f>IF(Signals_EU!F33=1,Signals_EU!R33*Mapping!$C$3,IF(Signals_EU!F33=-1,-Signals_EU!S33*Mapping!$C$3,0))</f>
        <v>3.0000000000000006E-2</v>
      </c>
      <c r="D33" s="1">
        <f>IF(Signals_EU!C33=1,Signals_EU!R33*Mapping!$C$4,IF(Signals_EU!C33=-1,-Signals_EU!S33*Mapping!$C$4,0))</f>
        <v>2.5000000000000005E-2</v>
      </c>
      <c r="E33" s="1">
        <f>IF(Signals_EU!C33=1,Signals_EU!R33*Mapping!$C$5,IF(Signals_EU!C33=-1,-Signals_EU!S33*Mapping!$C$5,0))</f>
        <v>2.5000000000000005E-2</v>
      </c>
      <c r="F33" s="1">
        <f>IF(Signals_EU!H33=1,Signals_EU!R33*Mapping!$C$6,IF(Signals_EU!H33=-1,-Signals_EU!S33*Mapping!$C$6,0))</f>
        <v>-1.0000000000000002E-2</v>
      </c>
      <c r="G33" s="1">
        <f>IF(Signals_EU!F33=1,Signals_EU!R33*Mapping!$C$7,IF(Signals_EU!F33=-1,-Signals_EU!S33*Mapping!$C$7,0))</f>
        <v>1.0000000000000002E-2</v>
      </c>
      <c r="H33" s="1">
        <f>IF(Signals_EU!D33=1,Signals_EU!R33*Mapping!$C$8,IF(Signals_EU!D33=-1,-Signals_EU!S33*Mapping!$C$8,0))</f>
        <v>0</v>
      </c>
      <c r="I33" s="1">
        <f>IF(Signals_EU!G33=1,Signals_EU!R33*Mapping!$C$9,IF(Signals_EU!G33=-1,-Signals_EU!S33*Mapping!$C$9,0))</f>
        <v>0</v>
      </c>
      <c r="J33" s="1">
        <f>IF(Signals_EU!H33=1,Signals_EU!R33*Mapping!$C$10,IF(Signals_EU!H33=-1,-Signals_EU!S33*Mapping!$C$10,0))</f>
        <v>-4.0000000000000008E-2</v>
      </c>
      <c r="K33" s="1">
        <f>IF(Signals_EU!F33=1,Signals_EU!R33*Mapping!$C$11,IF(Signals_EU!F33=-1,-Signals_EU!S33*Mapping!$C$11,0))</f>
        <v>1.0000000000000002E-2</v>
      </c>
      <c r="L33" s="1">
        <f>IF(Signals_EU!N33=1,Signals_EU!R33*Mapping!$C$12,IF(Signals_EU!N33=-1,-Signals_EU!S33*Mapping!$C$12,0))</f>
        <v>0</v>
      </c>
      <c r="M33" s="1">
        <f>IF(Signals_EU!I33=1,Signals_EU!R33*Mapping!$C$13,IF(Signals_EU!I33=-1,-Signals_EU!S33*Mapping!$C$13,0))</f>
        <v>5.000000000000001E-2</v>
      </c>
      <c r="N33" s="1">
        <f>IF(Signals_EU!E33=1,Signals_EU!R33*Mapping!$C$14,IF(Signals_EU!E33=-1,-Signals_EU!S33*Mapping!$C$14,0))</f>
        <v>0</v>
      </c>
      <c r="O33" s="1">
        <f>0</f>
        <v>0</v>
      </c>
      <c r="P33" s="1">
        <f>0</f>
        <v>0</v>
      </c>
      <c r="Q33" s="1">
        <f>IF(Signals_EU!J33=1,Signals_EU!R33*Mapping!$C$17,IF(Signals_EU!J33=-1,-Signals_EU!S33*Mapping!$C$17,0))</f>
        <v>0</v>
      </c>
      <c r="R33" s="1">
        <f>IF(Signals_EU!K33=1,Signals_EU!R33*Mapping!$C$18,IF(Signals_EU!K33=-1,-Signals_EU!S33*Mapping!$C$18,0))</f>
        <v>0</v>
      </c>
      <c r="S33" s="1">
        <f>IF(Signals_EU!M33=1,Signals_EU!R33*Mapping!$C$19,IF(Signals_EU!M33=-1,-Signals_EU!S33*Mapping!$C$19,0))</f>
        <v>0</v>
      </c>
      <c r="T33" s="1">
        <f>IF(Signals_EU!L33=1,Signals_EU!R33*Mapping!$C$20,IF(Signals_EU!L33=-1,-Signals_EU!S33*Mapping!$C$20,0))</f>
        <v>-5.000000000000001E-2</v>
      </c>
      <c r="U33" s="1">
        <f t="shared" si="0"/>
        <v>0</v>
      </c>
    </row>
    <row r="34" spans="1:21">
      <c r="A34" s="5">
        <f>Signals_EU!B34</f>
        <v>40026</v>
      </c>
      <c r="B34" s="1">
        <f>IF(Signals_EU!O34=1,Signals_EU!R34*Mapping!$C$2,IF(Signals_EU!O34=-1,-Signals_EU!S34*Mapping!$C$2,0))</f>
        <v>0</v>
      </c>
      <c r="C34" s="1">
        <f>IF(Signals_EU!F34=1,Signals_EU!R34*Mapping!$C$3,IF(Signals_EU!F34=-1,-Signals_EU!S34*Mapping!$C$3,0))</f>
        <v>0</v>
      </c>
      <c r="D34" s="1">
        <f>IF(Signals_EU!C34=1,Signals_EU!R34*Mapping!$C$4,IF(Signals_EU!C34=-1,-Signals_EU!S34*Mapping!$C$4,0))</f>
        <v>2.5000000000000005E-2</v>
      </c>
      <c r="E34" s="1">
        <f>IF(Signals_EU!C34=1,Signals_EU!R34*Mapping!$C$5,IF(Signals_EU!C34=-1,-Signals_EU!S34*Mapping!$C$5,0))</f>
        <v>2.5000000000000005E-2</v>
      </c>
      <c r="F34" s="1">
        <f>IF(Signals_EU!H34=1,Signals_EU!R34*Mapping!$C$6,IF(Signals_EU!H34=-1,-Signals_EU!S34*Mapping!$C$6,0))</f>
        <v>0</v>
      </c>
      <c r="G34" s="1">
        <f>IF(Signals_EU!F34=1,Signals_EU!R34*Mapping!$C$7,IF(Signals_EU!F34=-1,-Signals_EU!S34*Mapping!$C$7,0))</f>
        <v>0</v>
      </c>
      <c r="H34" s="1">
        <f>IF(Signals_EU!D34=1,Signals_EU!R34*Mapping!$C$8,IF(Signals_EU!D34=-1,-Signals_EU!S34*Mapping!$C$8,0))</f>
        <v>5.000000000000001E-2</v>
      </c>
      <c r="I34" s="1">
        <f>IF(Signals_EU!G34=1,Signals_EU!R34*Mapping!$C$9,IF(Signals_EU!G34=-1,-Signals_EU!S34*Mapping!$C$9,0))</f>
        <v>0</v>
      </c>
      <c r="J34" s="1">
        <f>IF(Signals_EU!H34=1,Signals_EU!R34*Mapping!$C$10,IF(Signals_EU!H34=-1,-Signals_EU!S34*Mapping!$C$10,0))</f>
        <v>0</v>
      </c>
      <c r="K34" s="1">
        <f>IF(Signals_EU!F34=1,Signals_EU!R34*Mapping!$C$11,IF(Signals_EU!F34=-1,-Signals_EU!S34*Mapping!$C$11,0))</f>
        <v>0</v>
      </c>
      <c r="L34" s="1">
        <f>IF(Signals_EU!N34=1,Signals_EU!R34*Mapping!$C$12,IF(Signals_EU!N34=-1,-Signals_EU!S34*Mapping!$C$12,0))</f>
        <v>-5.000000000000001E-2</v>
      </c>
      <c r="M34" s="1">
        <f>IF(Signals_EU!I34=1,Signals_EU!R34*Mapping!$C$13,IF(Signals_EU!I34=-1,-Signals_EU!S34*Mapping!$C$13,0))</f>
        <v>0</v>
      </c>
      <c r="N34" s="1">
        <f>IF(Signals_EU!E34=1,Signals_EU!R34*Mapping!$C$14,IF(Signals_EU!E34=-1,-Signals_EU!S34*Mapping!$C$14,0))</f>
        <v>5.000000000000001E-2</v>
      </c>
      <c r="O34" s="1">
        <f>0</f>
        <v>0</v>
      </c>
      <c r="P34" s="1">
        <f>0</f>
        <v>0</v>
      </c>
      <c r="Q34" s="1">
        <f>IF(Signals_EU!J34=1,Signals_EU!R34*Mapping!$C$17,IF(Signals_EU!J34=-1,-Signals_EU!S34*Mapping!$C$17,0))</f>
        <v>0</v>
      </c>
      <c r="R34" s="1">
        <f>IF(Signals_EU!K34=1,Signals_EU!R34*Mapping!$C$18,IF(Signals_EU!K34=-1,-Signals_EU!S34*Mapping!$C$18,0))</f>
        <v>0</v>
      </c>
      <c r="S34" s="1">
        <f>IF(Signals_EU!M34=1,Signals_EU!R34*Mapping!$C$19,IF(Signals_EU!M34=-1,-Signals_EU!S34*Mapping!$C$19,0))</f>
        <v>-5.000000000000001E-2</v>
      </c>
      <c r="T34" s="1">
        <f>IF(Signals_EU!L34=1,Signals_EU!R34*Mapping!$C$20,IF(Signals_EU!L34=-1,-Signals_EU!S34*Mapping!$C$20,0))</f>
        <v>-5.000000000000001E-2</v>
      </c>
      <c r="U34" s="1">
        <f t="shared" si="0"/>
        <v>0</v>
      </c>
    </row>
    <row r="35" spans="1:21">
      <c r="A35" s="5">
        <f>Signals_EU!B35</f>
        <v>40057</v>
      </c>
      <c r="B35" s="1">
        <f>IF(Signals_EU!O35=1,Signals_EU!R35*Mapping!$C$2,IF(Signals_EU!O35=-1,-Signals_EU!S35*Mapping!$C$2,0))</f>
        <v>5.000000000000001E-2</v>
      </c>
      <c r="C35" s="1">
        <f>IF(Signals_EU!F35=1,Signals_EU!R35*Mapping!$C$3,IF(Signals_EU!F35=-1,-Signals_EU!S35*Mapping!$C$3,0))</f>
        <v>0</v>
      </c>
      <c r="D35" s="1">
        <f>IF(Signals_EU!C35=1,Signals_EU!R35*Mapping!$C$4,IF(Signals_EU!C35=-1,-Signals_EU!S35*Mapping!$C$4,0))</f>
        <v>0</v>
      </c>
      <c r="E35" s="1">
        <f>IF(Signals_EU!C35=1,Signals_EU!R35*Mapping!$C$5,IF(Signals_EU!C35=-1,-Signals_EU!S35*Mapping!$C$5,0))</f>
        <v>0</v>
      </c>
      <c r="F35" s="1">
        <f>IF(Signals_EU!H35=1,Signals_EU!R35*Mapping!$C$6,IF(Signals_EU!H35=-1,-Signals_EU!S35*Mapping!$C$6,0))</f>
        <v>0</v>
      </c>
      <c r="G35" s="1">
        <f>IF(Signals_EU!F35=1,Signals_EU!R35*Mapping!$C$7,IF(Signals_EU!F35=-1,-Signals_EU!S35*Mapping!$C$7,0))</f>
        <v>0</v>
      </c>
      <c r="H35" s="1">
        <f>IF(Signals_EU!D35=1,Signals_EU!R35*Mapping!$C$8,IF(Signals_EU!D35=-1,-Signals_EU!S35*Mapping!$C$8,0))</f>
        <v>0</v>
      </c>
      <c r="I35" s="1">
        <f>IF(Signals_EU!G35=1,Signals_EU!R35*Mapping!$C$9,IF(Signals_EU!G35=-1,-Signals_EU!S35*Mapping!$C$9,0))</f>
        <v>5.000000000000001E-2</v>
      </c>
      <c r="J35" s="1">
        <f>IF(Signals_EU!H35=1,Signals_EU!R35*Mapping!$C$10,IF(Signals_EU!H35=-1,-Signals_EU!S35*Mapping!$C$10,0))</f>
        <v>0</v>
      </c>
      <c r="K35" s="1">
        <f>IF(Signals_EU!F35=1,Signals_EU!R35*Mapping!$C$11,IF(Signals_EU!F35=-1,-Signals_EU!S35*Mapping!$C$11,0))</f>
        <v>0</v>
      </c>
      <c r="L35" s="1">
        <f>IF(Signals_EU!N35=1,Signals_EU!R35*Mapping!$C$12,IF(Signals_EU!N35=-1,-Signals_EU!S35*Mapping!$C$12,0))</f>
        <v>0</v>
      </c>
      <c r="M35" s="1">
        <f>IF(Signals_EU!I35=1,Signals_EU!R35*Mapping!$C$13,IF(Signals_EU!I35=-1,-Signals_EU!S35*Mapping!$C$13,0))</f>
        <v>-5.000000000000001E-2</v>
      </c>
      <c r="N35" s="1">
        <f>IF(Signals_EU!E35=1,Signals_EU!R35*Mapping!$C$14,IF(Signals_EU!E35=-1,-Signals_EU!S35*Mapping!$C$14,0))</f>
        <v>5.000000000000001E-2</v>
      </c>
      <c r="O35" s="1">
        <f>0</f>
        <v>0</v>
      </c>
      <c r="P35" s="1">
        <f>0</f>
        <v>0</v>
      </c>
      <c r="Q35" s="1">
        <f>IF(Signals_EU!J35=1,Signals_EU!R35*Mapping!$C$17,IF(Signals_EU!J35=-1,-Signals_EU!S35*Mapping!$C$17,0))</f>
        <v>0</v>
      </c>
      <c r="R35" s="1">
        <f>IF(Signals_EU!K35=1,Signals_EU!R35*Mapping!$C$18,IF(Signals_EU!K35=-1,-Signals_EU!S35*Mapping!$C$18,0))</f>
        <v>0</v>
      </c>
      <c r="S35" s="1">
        <f>IF(Signals_EU!M35=1,Signals_EU!R35*Mapping!$C$19,IF(Signals_EU!M35=-1,-Signals_EU!S35*Mapping!$C$19,0))</f>
        <v>-5.000000000000001E-2</v>
      </c>
      <c r="T35" s="1">
        <f>IF(Signals_EU!L35=1,Signals_EU!R35*Mapping!$C$20,IF(Signals_EU!L35=-1,-Signals_EU!S35*Mapping!$C$20,0))</f>
        <v>-5.000000000000001E-2</v>
      </c>
      <c r="U35" s="1">
        <f t="shared" si="0"/>
        <v>0</v>
      </c>
    </row>
    <row r="36" spans="1:21">
      <c r="A36" s="5">
        <f>Signals_EU!B36</f>
        <v>40087</v>
      </c>
      <c r="B36" s="1">
        <f>IF(Signals_EU!O36=1,Signals_EU!R36*Mapping!$C$2,IF(Signals_EU!O36=-1,-Signals_EU!S36*Mapping!$C$2,0))</f>
        <v>0</v>
      </c>
      <c r="C36" s="1">
        <f>IF(Signals_EU!F36=1,Signals_EU!R36*Mapping!$C$3,IF(Signals_EU!F36=-1,-Signals_EU!S36*Mapping!$C$3,0))</f>
        <v>3.0000000000000006E-2</v>
      </c>
      <c r="D36" s="1">
        <f>IF(Signals_EU!C36=1,Signals_EU!R36*Mapping!$C$4,IF(Signals_EU!C36=-1,-Signals_EU!S36*Mapping!$C$4,0))</f>
        <v>0</v>
      </c>
      <c r="E36" s="1">
        <f>IF(Signals_EU!C36=1,Signals_EU!R36*Mapping!$C$5,IF(Signals_EU!C36=-1,-Signals_EU!S36*Mapping!$C$5,0))</f>
        <v>0</v>
      </c>
      <c r="F36" s="1">
        <f>IF(Signals_EU!H36=1,Signals_EU!R36*Mapping!$C$6,IF(Signals_EU!H36=-1,-Signals_EU!S36*Mapping!$C$6,0))</f>
        <v>0</v>
      </c>
      <c r="G36" s="1">
        <f>IF(Signals_EU!F36=1,Signals_EU!R36*Mapping!$C$7,IF(Signals_EU!F36=-1,-Signals_EU!S36*Mapping!$C$7,0))</f>
        <v>1.0000000000000002E-2</v>
      </c>
      <c r="H36" s="1">
        <f>IF(Signals_EU!D36=1,Signals_EU!R36*Mapping!$C$8,IF(Signals_EU!D36=-1,-Signals_EU!S36*Mapping!$C$8,0))</f>
        <v>0</v>
      </c>
      <c r="I36" s="1">
        <f>IF(Signals_EU!G36=1,Signals_EU!R36*Mapping!$C$9,IF(Signals_EU!G36=-1,-Signals_EU!S36*Mapping!$C$9,0))</f>
        <v>0</v>
      </c>
      <c r="J36" s="1">
        <f>IF(Signals_EU!H36=1,Signals_EU!R36*Mapping!$C$10,IF(Signals_EU!H36=-1,-Signals_EU!S36*Mapping!$C$10,0))</f>
        <v>0</v>
      </c>
      <c r="K36" s="1">
        <f>IF(Signals_EU!F36=1,Signals_EU!R36*Mapping!$C$11,IF(Signals_EU!F36=-1,-Signals_EU!S36*Mapping!$C$11,0))</f>
        <v>1.0000000000000002E-2</v>
      </c>
      <c r="L36" s="1">
        <f>IF(Signals_EU!N36=1,Signals_EU!R36*Mapping!$C$12,IF(Signals_EU!N36=-1,-Signals_EU!S36*Mapping!$C$12,0))</f>
        <v>0</v>
      </c>
      <c r="M36" s="1">
        <f>IF(Signals_EU!I36=1,Signals_EU!R36*Mapping!$C$13,IF(Signals_EU!I36=-1,-Signals_EU!S36*Mapping!$C$13,0))</f>
        <v>-5.000000000000001E-2</v>
      </c>
      <c r="N36" s="1">
        <f>IF(Signals_EU!E36=1,Signals_EU!R36*Mapping!$C$14,IF(Signals_EU!E36=-1,-Signals_EU!S36*Mapping!$C$14,0))</f>
        <v>5.000000000000001E-2</v>
      </c>
      <c r="O36" s="1">
        <f>0</f>
        <v>0</v>
      </c>
      <c r="P36" s="1">
        <f>0</f>
        <v>0</v>
      </c>
      <c r="Q36" s="1">
        <f>IF(Signals_EU!J36=1,Signals_EU!R36*Mapping!$C$17,IF(Signals_EU!J36=-1,-Signals_EU!S36*Mapping!$C$17,0))</f>
        <v>5.000000000000001E-2</v>
      </c>
      <c r="R36" s="1">
        <f>IF(Signals_EU!K36=1,Signals_EU!R36*Mapping!$C$18,IF(Signals_EU!K36=-1,-Signals_EU!S36*Mapping!$C$18,0))</f>
        <v>0</v>
      </c>
      <c r="S36" s="1">
        <f>IF(Signals_EU!M36=1,Signals_EU!R36*Mapping!$C$19,IF(Signals_EU!M36=-1,-Signals_EU!S36*Mapping!$C$19,0))</f>
        <v>-5.000000000000001E-2</v>
      </c>
      <c r="T36" s="1">
        <f>IF(Signals_EU!L36=1,Signals_EU!R36*Mapping!$C$20,IF(Signals_EU!L36=-1,-Signals_EU!S36*Mapping!$C$20,0))</f>
        <v>-5.000000000000001E-2</v>
      </c>
      <c r="U36" s="1">
        <f t="shared" si="0"/>
        <v>0</v>
      </c>
    </row>
    <row r="37" spans="1:21">
      <c r="A37" s="5">
        <f>Signals_EU!B37</f>
        <v>40118</v>
      </c>
      <c r="B37" s="1">
        <f>IF(Signals_EU!O37=1,Signals_EU!R37*Mapping!$C$2,IF(Signals_EU!O37=-1,-Signals_EU!S37*Mapping!$C$2,0))</f>
        <v>-5.000000000000001E-2</v>
      </c>
      <c r="C37" s="1">
        <f>IF(Signals_EU!F37=1,Signals_EU!R37*Mapping!$C$3,IF(Signals_EU!F37=-1,-Signals_EU!S37*Mapping!$C$3,0))</f>
        <v>3.0000000000000006E-2</v>
      </c>
      <c r="D37" s="1">
        <f>IF(Signals_EU!C37=1,Signals_EU!R37*Mapping!$C$4,IF(Signals_EU!C37=-1,-Signals_EU!S37*Mapping!$C$4,0))</f>
        <v>2.5000000000000005E-2</v>
      </c>
      <c r="E37" s="1">
        <f>IF(Signals_EU!C37=1,Signals_EU!R37*Mapping!$C$5,IF(Signals_EU!C37=-1,-Signals_EU!S37*Mapping!$C$5,0))</f>
        <v>2.5000000000000005E-2</v>
      </c>
      <c r="F37" s="1">
        <f>IF(Signals_EU!H37=1,Signals_EU!R37*Mapping!$C$6,IF(Signals_EU!H37=-1,-Signals_EU!S37*Mapping!$C$6,0))</f>
        <v>1.0000000000000002E-2</v>
      </c>
      <c r="G37" s="1">
        <f>IF(Signals_EU!F37=1,Signals_EU!R37*Mapping!$C$7,IF(Signals_EU!F37=-1,-Signals_EU!S37*Mapping!$C$7,0))</f>
        <v>1.0000000000000002E-2</v>
      </c>
      <c r="H37" s="1">
        <f>IF(Signals_EU!D37=1,Signals_EU!R37*Mapping!$C$8,IF(Signals_EU!D37=-1,-Signals_EU!S37*Mapping!$C$8,0))</f>
        <v>0</v>
      </c>
      <c r="I37" s="1">
        <f>IF(Signals_EU!G37=1,Signals_EU!R37*Mapping!$C$9,IF(Signals_EU!G37=-1,-Signals_EU!S37*Mapping!$C$9,0))</f>
        <v>0</v>
      </c>
      <c r="J37" s="1">
        <f>IF(Signals_EU!H37=1,Signals_EU!R37*Mapping!$C$10,IF(Signals_EU!H37=-1,-Signals_EU!S37*Mapping!$C$10,0))</f>
        <v>4.0000000000000008E-2</v>
      </c>
      <c r="K37" s="1">
        <f>IF(Signals_EU!F37=1,Signals_EU!R37*Mapping!$C$11,IF(Signals_EU!F37=-1,-Signals_EU!S37*Mapping!$C$11,0))</f>
        <v>1.0000000000000002E-2</v>
      </c>
      <c r="L37" s="1">
        <f>IF(Signals_EU!N37=1,Signals_EU!R37*Mapping!$C$12,IF(Signals_EU!N37=-1,-Signals_EU!S37*Mapping!$C$12,0))</f>
        <v>0</v>
      </c>
      <c r="M37" s="1">
        <f>IF(Signals_EU!I37=1,Signals_EU!R37*Mapping!$C$13,IF(Signals_EU!I37=-1,-Signals_EU!S37*Mapping!$C$13,0))</f>
        <v>-5.000000000000001E-2</v>
      </c>
      <c r="N37" s="1">
        <f>IF(Signals_EU!E37=1,Signals_EU!R37*Mapping!$C$14,IF(Signals_EU!E37=-1,-Signals_EU!S37*Mapping!$C$14,0))</f>
        <v>0</v>
      </c>
      <c r="O37" s="1">
        <f>0</f>
        <v>0</v>
      </c>
      <c r="P37" s="1">
        <f>0</f>
        <v>0</v>
      </c>
      <c r="Q37" s="1">
        <f>IF(Signals_EU!J37=1,Signals_EU!R37*Mapping!$C$17,IF(Signals_EU!J37=-1,-Signals_EU!S37*Mapping!$C$17,0))</f>
        <v>-5.000000000000001E-2</v>
      </c>
      <c r="R37" s="1">
        <f>IF(Signals_EU!K37=1,Signals_EU!R37*Mapping!$C$18,IF(Signals_EU!K37=-1,-Signals_EU!S37*Mapping!$C$18,0))</f>
        <v>0</v>
      </c>
      <c r="S37" s="1">
        <f>IF(Signals_EU!M37=1,Signals_EU!R37*Mapping!$C$19,IF(Signals_EU!M37=-1,-Signals_EU!S37*Mapping!$C$19,0))</f>
        <v>0</v>
      </c>
      <c r="T37" s="1">
        <f>IF(Signals_EU!L37=1,Signals_EU!R37*Mapping!$C$20,IF(Signals_EU!L37=-1,-Signals_EU!S37*Mapping!$C$20,0))</f>
        <v>0</v>
      </c>
      <c r="U37" s="1">
        <f t="shared" si="0"/>
        <v>0</v>
      </c>
    </row>
    <row r="38" spans="1:21">
      <c r="A38" s="5">
        <f>Signals_EU!B38</f>
        <v>40148</v>
      </c>
      <c r="B38" s="1">
        <f>IF(Signals_EU!O38=1,Signals_EU!R38*Mapping!$C$2,IF(Signals_EU!O38=-1,-Signals_EU!S38*Mapping!$C$2,0))</f>
        <v>0</v>
      </c>
      <c r="C38" s="1">
        <f>IF(Signals_EU!F38=1,Signals_EU!R38*Mapping!$C$3,IF(Signals_EU!F38=-1,-Signals_EU!S38*Mapping!$C$3,0))</f>
        <v>3.0000000000000006E-2</v>
      </c>
      <c r="D38" s="1">
        <f>IF(Signals_EU!C38=1,Signals_EU!R38*Mapping!$C$4,IF(Signals_EU!C38=-1,-Signals_EU!S38*Mapping!$C$4,0))</f>
        <v>2.5000000000000005E-2</v>
      </c>
      <c r="E38" s="1">
        <f>IF(Signals_EU!C38=1,Signals_EU!R38*Mapping!$C$5,IF(Signals_EU!C38=-1,-Signals_EU!S38*Mapping!$C$5,0))</f>
        <v>2.5000000000000005E-2</v>
      </c>
      <c r="F38" s="1">
        <f>IF(Signals_EU!H38=1,Signals_EU!R38*Mapping!$C$6,IF(Signals_EU!H38=-1,-Signals_EU!S38*Mapping!$C$6,0))</f>
        <v>0</v>
      </c>
      <c r="G38" s="1">
        <f>IF(Signals_EU!F38=1,Signals_EU!R38*Mapping!$C$7,IF(Signals_EU!F38=-1,-Signals_EU!S38*Mapping!$C$7,0))</f>
        <v>1.0000000000000002E-2</v>
      </c>
      <c r="H38" s="1">
        <f>IF(Signals_EU!D38=1,Signals_EU!R38*Mapping!$C$8,IF(Signals_EU!D38=-1,-Signals_EU!S38*Mapping!$C$8,0))</f>
        <v>0</v>
      </c>
      <c r="I38" s="1">
        <f>IF(Signals_EU!G38=1,Signals_EU!R38*Mapping!$C$9,IF(Signals_EU!G38=-1,-Signals_EU!S38*Mapping!$C$9,0))</f>
        <v>0</v>
      </c>
      <c r="J38" s="1">
        <f>IF(Signals_EU!H38=1,Signals_EU!R38*Mapping!$C$10,IF(Signals_EU!H38=-1,-Signals_EU!S38*Mapping!$C$10,0))</f>
        <v>0</v>
      </c>
      <c r="K38" s="1">
        <f>IF(Signals_EU!F38=1,Signals_EU!R38*Mapping!$C$11,IF(Signals_EU!F38=-1,-Signals_EU!S38*Mapping!$C$11,0))</f>
        <v>1.0000000000000002E-2</v>
      </c>
      <c r="L38" s="1">
        <f>IF(Signals_EU!N38=1,Signals_EU!R38*Mapping!$C$12,IF(Signals_EU!N38=-1,-Signals_EU!S38*Mapping!$C$12,0))</f>
        <v>0</v>
      </c>
      <c r="M38" s="1">
        <f>IF(Signals_EU!I38=1,Signals_EU!R38*Mapping!$C$13,IF(Signals_EU!I38=-1,-Signals_EU!S38*Mapping!$C$13,0))</f>
        <v>-5.000000000000001E-2</v>
      </c>
      <c r="N38" s="1">
        <f>IF(Signals_EU!E38=1,Signals_EU!R38*Mapping!$C$14,IF(Signals_EU!E38=-1,-Signals_EU!S38*Mapping!$C$14,0))</f>
        <v>5.000000000000001E-2</v>
      </c>
      <c r="O38" s="1">
        <f>0</f>
        <v>0</v>
      </c>
      <c r="P38" s="1">
        <f>0</f>
        <v>0</v>
      </c>
      <c r="Q38" s="1">
        <f>IF(Signals_EU!J38=1,Signals_EU!R38*Mapping!$C$17,IF(Signals_EU!J38=-1,-Signals_EU!S38*Mapping!$C$17,0))</f>
        <v>-5.000000000000001E-2</v>
      </c>
      <c r="R38" s="1">
        <f>IF(Signals_EU!K38=1,Signals_EU!R38*Mapping!$C$18,IF(Signals_EU!K38=-1,-Signals_EU!S38*Mapping!$C$18,0))</f>
        <v>0</v>
      </c>
      <c r="S38" s="1">
        <f>IF(Signals_EU!M38=1,Signals_EU!R38*Mapping!$C$19,IF(Signals_EU!M38=-1,-Signals_EU!S38*Mapping!$C$19,0))</f>
        <v>0</v>
      </c>
      <c r="T38" s="1">
        <f>IF(Signals_EU!L38=1,Signals_EU!R38*Mapping!$C$20,IF(Signals_EU!L38=-1,-Signals_EU!S38*Mapping!$C$20,0))</f>
        <v>-5.000000000000001E-2</v>
      </c>
      <c r="U38" s="1">
        <f t="shared" si="0"/>
        <v>0</v>
      </c>
    </row>
    <row r="39" spans="1:21">
      <c r="A39" s="5">
        <f>Signals_EU!B39</f>
        <v>40179</v>
      </c>
      <c r="B39" s="1">
        <f>IF(Signals_EU!O39=1,Signals_EU!R39*Mapping!$C$2,IF(Signals_EU!O39=-1,-Signals_EU!S39*Mapping!$C$2,0))</f>
        <v>0</v>
      </c>
      <c r="C39" s="1">
        <f>IF(Signals_EU!F39=1,Signals_EU!R39*Mapping!$C$3,IF(Signals_EU!F39=-1,-Signals_EU!S39*Mapping!$C$3,0))</f>
        <v>0</v>
      </c>
      <c r="D39" s="1">
        <f>IF(Signals_EU!C39=1,Signals_EU!R39*Mapping!$C$4,IF(Signals_EU!C39=-1,-Signals_EU!S39*Mapping!$C$4,0))</f>
        <v>2.5000000000000005E-2</v>
      </c>
      <c r="E39" s="1">
        <f>IF(Signals_EU!C39=1,Signals_EU!R39*Mapping!$C$5,IF(Signals_EU!C39=-1,-Signals_EU!S39*Mapping!$C$5,0))</f>
        <v>2.5000000000000005E-2</v>
      </c>
      <c r="F39" s="1">
        <f>IF(Signals_EU!H39=1,Signals_EU!R39*Mapping!$C$6,IF(Signals_EU!H39=-1,-Signals_EU!S39*Mapping!$C$6,0))</f>
        <v>0</v>
      </c>
      <c r="G39" s="1">
        <f>IF(Signals_EU!F39=1,Signals_EU!R39*Mapping!$C$7,IF(Signals_EU!F39=-1,-Signals_EU!S39*Mapping!$C$7,0))</f>
        <v>0</v>
      </c>
      <c r="H39" s="1">
        <f>IF(Signals_EU!D39=1,Signals_EU!R39*Mapping!$C$8,IF(Signals_EU!D39=-1,-Signals_EU!S39*Mapping!$C$8,0))</f>
        <v>5.000000000000001E-2</v>
      </c>
      <c r="I39" s="1">
        <f>IF(Signals_EU!G39=1,Signals_EU!R39*Mapping!$C$9,IF(Signals_EU!G39=-1,-Signals_EU!S39*Mapping!$C$9,0))</f>
        <v>-5.000000000000001E-2</v>
      </c>
      <c r="J39" s="1">
        <f>IF(Signals_EU!H39=1,Signals_EU!R39*Mapping!$C$10,IF(Signals_EU!H39=-1,-Signals_EU!S39*Mapping!$C$10,0))</f>
        <v>0</v>
      </c>
      <c r="K39" s="1">
        <f>IF(Signals_EU!F39=1,Signals_EU!R39*Mapping!$C$11,IF(Signals_EU!F39=-1,-Signals_EU!S39*Mapping!$C$11,0))</f>
        <v>0</v>
      </c>
      <c r="L39" s="1">
        <f>IF(Signals_EU!N39=1,Signals_EU!R39*Mapping!$C$12,IF(Signals_EU!N39=-1,-Signals_EU!S39*Mapping!$C$12,0))</f>
        <v>0</v>
      </c>
      <c r="M39" s="1">
        <f>IF(Signals_EU!I39=1,Signals_EU!R39*Mapping!$C$13,IF(Signals_EU!I39=-1,-Signals_EU!S39*Mapping!$C$13,0))</f>
        <v>0</v>
      </c>
      <c r="N39" s="1">
        <f>IF(Signals_EU!E39=1,Signals_EU!R39*Mapping!$C$14,IF(Signals_EU!E39=-1,-Signals_EU!S39*Mapping!$C$14,0))</f>
        <v>5.000000000000001E-2</v>
      </c>
      <c r="O39" s="1">
        <f>0</f>
        <v>0</v>
      </c>
      <c r="P39" s="1">
        <f>0</f>
        <v>0</v>
      </c>
      <c r="Q39" s="1">
        <f>IF(Signals_EU!J39=1,Signals_EU!R39*Mapping!$C$17,IF(Signals_EU!J39=-1,-Signals_EU!S39*Mapping!$C$17,0))</f>
        <v>-5.000000000000001E-2</v>
      </c>
      <c r="R39" s="1">
        <f>IF(Signals_EU!K39=1,Signals_EU!R39*Mapping!$C$18,IF(Signals_EU!K39=-1,-Signals_EU!S39*Mapping!$C$18,0))</f>
        <v>0</v>
      </c>
      <c r="S39" s="1">
        <f>IF(Signals_EU!M39=1,Signals_EU!R39*Mapping!$C$19,IF(Signals_EU!M39=-1,-Signals_EU!S39*Mapping!$C$19,0))</f>
        <v>0</v>
      </c>
      <c r="T39" s="1">
        <f>IF(Signals_EU!L39=1,Signals_EU!R39*Mapping!$C$20,IF(Signals_EU!L39=-1,-Signals_EU!S39*Mapping!$C$20,0))</f>
        <v>-5.000000000000001E-2</v>
      </c>
      <c r="U39" s="1">
        <f t="shared" si="0"/>
        <v>0</v>
      </c>
    </row>
    <row r="40" spans="1:21">
      <c r="A40" s="5">
        <f>Signals_EU!B40</f>
        <v>40210</v>
      </c>
      <c r="B40" s="1">
        <f>IF(Signals_EU!O40=1,Signals_EU!R40*Mapping!$C$2,IF(Signals_EU!O40=-1,-Signals_EU!S40*Mapping!$C$2,0))</f>
        <v>0</v>
      </c>
      <c r="C40" s="1">
        <f>IF(Signals_EU!F40=1,Signals_EU!R40*Mapping!$C$3,IF(Signals_EU!F40=-1,-Signals_EU!S40*Mapping!$C$3,0))</f>
        <v>0</v>
      </c>
      <c r="D40" s="1">
        <f>IF(Signals_EU!C40=1,Signals_EU!R40*Mapping!$C$4,IF(Signals_EU!C40=-1,-Signals_EU!S40*Mapping!$C$4,0))</f>
        <v>2.5000000000000005E-2</v>
      </c>
      <c r="E40" s="1">
        <f>IF(Signals_EU!C40=1,Signals_EU!R40*Mapping!$C$5,IF(Signals_EU!C40=-1,-Signals_EU!S40*Mapping!$C$5,0))</f>
        <v>2.5000000000000005E-2</v>
      </c>
      <c r="F40" s="1">
        <f>IF(Signals_EU!H40=1,Signals_EU!R40*Mapping!$C$6,IF(Signals_EU!H40=-1,-Signals_EU!S40*Mapping!$C$6,0))</f>
        <v>0</v>
      </c>
      <c r="G40" s="1">
        <f>IF(Signals_EU!F40=1,Signals_EU!R40*Mapping!$C$7,IF(Signals_EU!F40=-1,-Signals_EU!S40*Mapping!$C$7,0))</f>
        <v>0</v>
      </c>
      <c r="H40" s="1">
        <f>IF(Signals_EU!D40=1,Signals_EU!R40*Mapping!$C$8,IF(Signals_EU!D40=-1,-Signals_EU!S40*Mapping!$C$8,0))</f>
        <v>5.000000000000001E-2</v>
      </c>
      <c r="I40" s="1">
        <f>IF(Signals_EU!G40=1,Signals_EU!R40*Mapping!$C$9,IF(Signals_EU!G40=-1,-Signals_EU!S40*Mapping!$C$9,0))</f>
        <v>0</v>
      </c>
      <c r="J40" s="1">
        <f>IF(Signals_EU!H40=1,Signals_EU!R40*Mapping!$C$10,IF(Signals_EU!H40=-1,-Signals_EU!S40*Mapping!$C$10,0))</f>
        <v>0</v>
      </c>
      <c r="K40" s="1">
        <f>IF(Signals_EU!F40=1,Signals_EU!R40*Mapping!$C$11,IF(Signals_EU!F40=-1,-Signals_EU!S40*Mapping!$C$11,0))</f>
        <v>0</v>
      </c>
      <c r="L40" s="1">
        <f>IF(Signals_EU!N40=1,Signals_EU!R40*Mapping!$C$12,IF(Signals_EU!N40=-1,-Signals_EU!S40*Mapping!$C$12,0))</f>
        <v>0</v>
      </c>
      <c r="M40" s="1">
        <f>IF(Signals_EU!I40=1,Signals_EU!R40*Mapping!$C$13,IF(Signals_EU!I40=-1,-Signals_EU!S40*Mapping!$C$13,0))</f>
        <v>-5.000000000000001E-2</v>
      </c>
      <c r="N40" s="1">
        <f>IF(Signals_EU!E40=1,Signals_EU!R40*Mapping!$C$14,IF(Signals_EU!E40=-1,-Signals_EU!S40*Mapping!$C$14,0))</f>
        <v>5.000000000000001E-2</v>
      </c>
      <c r="O40" s="1">
        <f>0</f>
        <v>0</v>
      </c>
      <c r="P40" s="1">
        <f>0</f>
        <v>0</v>
      </c>
      <c r="Q40" s="1">
        <f>IF(Signals_EU!J40=1,Signals_EU!R40*Mapping!$C$17,IF(Signals_EU!J40=-1,-Signals_EU!S40*Mapping!$C$17,0))</f>
        <v>-5.000000000000001E-2</v>
      </c>
      <c r="R40" s="1">
        <f>IF(Signals_EU!K40=1,Signals_EU!R40*Mapping!$C$18,IF(Signals_EU!K40=-1,-Signals_EU!S40*Mapping!$C$18,0))</f>
        <v>-5.000000000000001E-2</v>
      </c>
      <c r="S40" s="1">
        <f>IF(Signals_EU!M40=1,Signals_EU!R40*Mapping!$C$19,IF(Signals_EU!M40=-1,-Signals_EU!S40*Mapping!$C$19,0))</f>
        <v>0</v>
      </c>
      <c r="T40" s="1">
        <f>IF(Signals_EU!L40=1,Signals_EU!R40*Mapping!$C$20,IF(Signals_EU!L40=-1,-Signals_EU!S40*Mapping!$C$20,0))</f>
        <v>0</v>
      </c>
      <c r="U40" s="1">
        <f t="shared" si="0"/>
        <v>0</v>
      </c>
    </row>
    <row r="41" spans="1:21">
      <c r="A41" s="5">
        <f>Signals_EU!B41</f>
        <v>40238</v>
      </c>
      <c r="B41" s="1">
        <f>IF(Signals_EU!O41=1,Signals_EU!R41*Mapping!$C$2,IF(Signals_EU!O41=-1,-Signals_EU!S41*Mapping!$C$2,0))</f>
        <v>0</v>
      </c>
      <c r="C41" s="1">
        <f>IF(Signals_EU!F41=1,Signals_EU!R41*Mapping!$C$3,IF(Signals_EU!F41=-1,-Signals_EU!S41*Mapping!$C$3,0))</f>
        <v>0</v>
      </c>
      <c r="D41" s="1">
        <f>IF(Signals_EU!C41=1,Signals_EU!R41*Mapping!$C$4,IF(Signals_EU!C41=-1,-Signals_EU!S41*Mapping!$C$4,0))</f>
        <v>2.5000000000000005E-2</v>
      </c>
      <c r="E41" s="1">
        <f>IF(Signals_EU!C41=1,Signals_EU!R41*Mapping!$C$5,IF(Signals_EU!C41=-1,-Signals_EU!S41*Mapping!$C$5,0))</f>
        <v>2.5000000000000005E-2</v>
      </c>
      <c r="F41" s="1">
        <f>IF(Signals_EU!H41=1,Signals_EU!R41*Mapping!$C$6,IF(Signals_EU!H41=-1,-Signals_EU!S41*Mapping!$C$6,0))</f>
        <v>0</v>
      </c>
      <c r="G41" s="1">
        <f>IF(Signals_EU!F41=1,Signals_EU!R41*Mapping!$C$7,IF(Signals_EU!F41=-1,-Signals_EU!S41*Mapping!$C$7,0))</f>
        <v>0</v>
      </c>
      <c r="H41" s="1">
        <f>IF(Signals_EU!D41=1,Signals_EU!R41*Mapping!$C$8,IF(Signals_EU!D41=-1,-Signals_EU!S41*Mapping!$C$8,0))</f>
        <v>0</v>
      </c>
      <c r="I41" s="1">
        <f>IF(Signals_EU!G41=1,Signals_EU!R41*Mapping!$C$9,IF(Signals_EU!G41=-1,-Signals_EU!S41*Mapping!$C$9,0))</f>
        <v>5.000000000000001E-2</v>
      </c>
      <c r="J41" s="1">
        <f>IF(Signals_EU!H41=1,Signals_EU!R41*Mapping!$C$10,IF(Signals_EU!H41=-1,-Signals_EU!S41*Mapping!$C$10,0))</f>
        <v>0</v>
      </c>
      <c r="K41" s="1">
        <f>IF(Signals_EU!F41=1,Signals_EU!R41*Mapping!$C$11,IF(Signals_EU!F41=-1,-Signals_EU!S41*Mapping!$C$11,0))</f>
        <v>0</v>
      </c>
      <c r="L41" s="1">
        <f>IF(Signals_EU!N41=1,Signals_EU!R41*Mapping!$C$12,IF(Signals_EU!N41=-1,-Signals_EU!S41*Mapping!$C$12,0))</f>
        <v>0</v>
      </c>
      <c r="M41" s="1">
        <f>IF(Signals_EU!I41=1,Signals_EU!R41*Mapping!$C$13,IF(Signals_EU!I41=-1,-Signals_EU!S41*Mapping!$C$13,0))</f>
        <v>-5.000000000000001E-2</v>
      </c>
      <c r="N41" s="1">
        <f>IF(Signals_EU!E41=1,Signals_EU!R41*Mapping!$C$14,IF(Signals_EU!E41=-1,-Signals_EU!S41*Mapping!$C$14,0))</f>
        <v>5.000000000000001E-2</v>
      </c>
      <c r="O41" s="1">
        <f>0</f>
        <v>0</v>
      </c>
      <c r="P41" s="1">
        <f>0</f>
        <v>0</v>
      </c>
      <c r="Q41" s="1">
        <f>IF(Signals_EU!J41=1,Signals_EU!R41*Mapping!$C$17,IF(Signals_EU!J41=-1,-Signals_EU!S41*Mapping!$C$17,0))</f>
        <v>-5.000000000000001E-2</v>
      </c>
      <c r="R41" s="1">
        <f>IF(Signals_EU!K41=1,Signals_EU!R41*Mapping!$C$18,IF(Signals_EU!K41=-1,-Signals_EU!S41*Mapping!$C$18,0))</f>
        <v>0</v>
      </c>
      <c r="S41" s="1">
        <f>IF(Signals_EU!M41=1,Signals_EU!R41*Mapping!$C$19,IF(Signals_EU!M41=-1,-Signals_EU!S41*Mapping!$C$19,0))</f>
        <v>0</v>
      </c>
      <c r="T41" s="1">
        <f>IF(Signals_EU!L41=1,Signals_EU!R41*Mapping!$C$20,IF(Signals_EU!L41=-1,-Signals_EU!S41*Mapping!$C$20,0))</f>
        <v>-5.000000000000001E-2</v>
      </c>
      <c r="U41" s="1">
        <f t="shared" si="0"/>
        <v>0</v>
      </c>
    </row>
    <row r="42" spans="1:21">
      <c r="A42" s="5">
        <f>Signals_EU!B42</f>
        <v>40269</v>
      </c>
      <c r="B42" s="1">
        <f>IF(Signals_EU!O42=1,Signals_EU!R42*Mapping!$C$2,IF(Signals_EU!O42=-1,-Signals_EU!S42*Mapping!$C$2,0))</f>
        <v>-5.000000000000001E-2</v>
      </c>
      <c r="C42" s="1">
        <f>IF(Signals_EU!F42=1,Signals_EU!R42*Mapping!$C$3,IF(Signals_EU!F42=-1,-Signals_EU!S42*Mapping!$C$3,0))</f>
        <v>0</v>
      </c>
      <c r="D42" s="1">
        <f>IF(Signals_EU!C42=1,Signals_EU!R42*Mapping!$C$4,IF(Signals_EU!C42=-1,-Signals_EU!S42*Mapping!$C$4,0))</f>
        <v>2.5000000000000005E-2</v>
      </c>
      <c r="E42" s="1">
        <f>IF(Signals_EU!C42=1,Signals_EU!R42*Mapping!$C$5,IF(Signals_EU!C42=-1,-Signals_EU!S42*Mapping!$C$5,0))</f>
        <v>2.5000000000000005E-2</v>
      </c>
      <c r="F42" s="1">
        <f>IF(Signals_EU!H42=1,Signals_EU!R42*Mapping!$C$6,IF(Signals_EU!H42=-1,-Signals_EU!S42*Mapping!$C$6,0))</f>
        <v>0</v>
      </c>
      <c r="G42" s="1">
        <f>IF(Signals_EU!F42=1,Signals_EU!R42*Mapping!$C$7,IF(Signals_EU!F42=-1,-Signals_EU!S42*Mapping!$C$7,0))</f>
        <v>0</v>
      </c>
      <c r="H42" s="1">
        <f>IF(Signals_EU!D42=1,Signals_EU!R42*Mapping!$C$8,IF(Signals_EU!D42=-1,-Signals_EU!S42*Mapping!$C$8,0))</f>
        <v>0</v>
      </c>
      <c r="I42" s="1">
        <f>IF(Signals_EU!G42=1,Signals_EU!R42*Mapping!$C$9,IF(Signals_EU!G42=-1,-Signals_EU!S42*Mapping!$C$9,0))</f>
        <v>0</v>
      </c>
      <c r="J42" s="1">
        <f>IF(Signals_EU!H42=1,Signals_EU!R42*Mapping!$C$10,IF(Signals_EU!H42=-1,-Signals_EU!S42*Mapping!$C$10,0))</f>
        <v>0</v>
      </c>
      <c r="K42" s="1">
        <f>IF(Signals_EU!F42=1,Signals_EU!R42*Mapping!$C$11,IF(Signals_EU!F42=-1,-Signals_EU!S42*Mapping!$C$11,0))</f>
        <v>0</v>
      </c>
      <c r="L42" s="1">
        <f>IF(Signals_EU!N42=1,Signals_EU!R42*Mapping!$C$12,IF(Signals_EU!N42=-1,-Signals_EU!S42*Mapping!$C$12,0))</f>
        <v>0</v>
      </c>
      <c r="M42" s="1">
        <f>IF(Signals_EU!I42=1,Signals_EU!R42*Mapping!$C$13,IF(Signals_EU!I42=-1,-Signals_EU!S42*Mapping!$C$13,0))</f>
        <v>0</v>
      </c>
      <c r="N42" s="1">
        <f>IF(Signals_EU!E42=1,Signals_EU!R42*Mapping!$C$14,IF(Signals_EU!E42=-1,-Signals_EU!S42*Mapping!$C$14,0))</f>
        <v>5.000000000000001E-2</v>
      </c>
      <c r="O42" s="1">
        <f>0</f>
        <v>0</v>
      </c>
      <c r="P42" s="1">
        <f>0</f>
        <v>0</v>
      </c>
      <c r="Q42" s="1">
        <f>IF(Signals_EU!J42=1,Signals_EU!R42*Mapping!$C$17,IF(Signals_EU!J42=-1,-Signals_EU!S42*Mapping!$C$17,0))</f>
        <v>5.000000000000001E-2</v>
      </c>
      <c r="R42" s="1">
        <f>IF(Signals_EU!K42=1,Signals_EU!R42*Mapping!$C$18,IF(Signals_EU!K42=-1,-Signals_EU!S42*Mapping!$C$18,0))</f>
        <v>-5.000000000000001E-2</v>
      </c>
      <c r="S42" s="1">
        <f>IF(Signals_EU!M42=1,Signals_EU!R42*Mapping!$C$19,IF(Signals_EU!M42=-1,-Signals_EU!S42*Mapping!$C$19,0))</f>
        <v>0</v>
      </c>
      <c r="T42" s="1">
        <f>IF(Signals_EU!L42=1,Signals_EU!R42*Mapping!$C$20,IF(Signals_EU!L42=-1,-Signals_EU!S42*Mapping!$C$20,0))</f>
        <v>-5.000000000000001E-2</v>
      </c>
      <c r="U42" s="1">
        <f t="shared" si="0"/>
        <v>0</v>
      </c>
    </row>
    <row r="43" spans="1:21">
      <c r="A43" s="5">
        <f>Signals_EU!B43</f>
        <v>40299</v>
      </c>
      <c r="B43" s="1">
        <f>IF(Signals_EU!O43=1,Signals_EU!R43*Mapping!$C$2,IF(Signals_EU!O43=-1,-Signals_EU!S43*Mapping!$C$2,0))</f>
        <v>0</v>
      </c>
      <c r="C43" s="1">
        <f>IF(Signals_EU!F43=1,Signals_EU!R43*Mapping!$C$3,IF(Signals_EU!F43=-1,-Signals_EU!S43*Mapping!$C$3,0))</f>
        <v>-3.0000000000000006E-2</v>
      </c>
      <c r="D43" s="1">
        <f>IF(Signals_EU!C43=1,Signals_EU!R43*Mapping!$C$4,IF(Signals_EU!C43=-1,-Signals_EU!S43*Mapping!$C$4,0))</f>
        <v>2.5000000000000005E-2</v>
      </c>
      <c r="E43" s="1">
        <f>IF(Signals_EU!C43=1,Signals_EU!R43*Mapping!$C$5,IF(Signals_EU!C43=-1,-Signals_EU!S43*Mapping!$C$5,0))</f>
        <v>2.5000000000000005E-2</v>
      </c>
      <c r="F43" s="1">
        <f>IF(Signals_EU!H43=1,Signals_EU!R43*Mapping!$C$6,IF(Signals_EU!H43=-1,-Signals_EU!S43*Mapping!$C$6,0))</f>
        <v>0</v>
      </c>
      <c r="G43" s="1">
        <f>IF(Signals_EU!F43=1,Signals_EU!R43*Mapping!$C$7,IF(Signals_EU!F43=-1,-Signals_EU!S43*Mapping!$C$7,0))</f>
        <v>-1.0000000000000002E-2</v>
      </c>
      <c r="H43" s="1">
        <f>IF(Signals_EU!D43=1,Signals_EU!R43*Mapping!$C$8,IF(Signals_EU!D43=-1,-Signals_EU!S43*Mapping!$C$8,0))</f>
        <v>0</v>
      </c>
      <c r="I43" s="1">
        <f>IF(Signals_EU!G43=1,Signals_EU!R43*Mapping!$C$9,IF(Signals_EU!G43=-1,-Signals_EU!S43*Mapping!$C$9,0))</f>
        <v>0</v>
      </c>
      <c r="J43" s="1">
        <f>IF(Signals_EU!H43=1,Signals_EU!R43*Mapping!$C$10,IF(Signals_EU!H43=-1,-Signals_EU!S43*Mapping!$C$10,0))</f>
        <v>0</v>
      </c>
      <c r="K43" s="1">
        <f>IF(Signals_EU!F43=1,Signals_EU!R43*Mapping!$C$11,IF(Signals_EU!F43=-1,-Signals_EU!S43*Mapping!$C$11,0))</f>
        <v>-1.0000000000000002E-2</v>
      </c>
      <c r="L43" s="1">
        <f>IF(Signals_EU!N43=1,Signals_EU!R43*Mapping!$C$12,IF(Signals_EU!N43=-1,-Signals_EU!S43*Mapping!$C$12,0))</f>
        <v>5.000000000000001E-2</v>
      </c>
      <c r="M43" s="1">
        <f>IF(Signals_EU!I43=1,Signals_EU!R43*Mapping!$C$13,IF(Signals_EU!I43=-1,-Signals_EU!S43*Mapping!$C$13,0))</f>
        <v>0</v>
      </c>
      <c r="N43" s="1">
        <f>IF(Signals_EU!E43=1,Signals_EU!R43*Mapping!$C$14,IF(Signals_EU!E43=-1,-Signals_EU!S43*Mapping!$C$14,0))</f>
        <v>5.000000000000001E-2</v>
      </c>
      <c r="O43" s="1">
        <f>0</f>
        <v>0</v>
      </c>
      <c r="P43" s="1">
        <f>0</f>
        <v>0</v>
      </c>
      <c r="Q43" s="1">
        <f>IF(Signals_EU!J43=1,Signals_EU!R43*Mapping!$C$17,IF(Signals_EU!J43=-1,-Signals_EU!S43*Mapping!$C$17,0))</f>
        <v>-5.000000000000001E-2</v>
      </c>
      <c r="R43" s="1">
        <f>IF(Signals_EU!K43=1,Signals_EU!R43*Mapping!$C$18,IF(Signals_EU!K43=-1,-Signals_EU!S43*Mapping!$C$18,0))</f>
        <v>-5.000000000000001E-2</v>
      </c>
      <c r="S43" s="1">
        <f>IF(Signals_EU!M43=1,Signals_EU!R43*Mapping!$C$19,IF(Signals_EU!M43=-1,-Signals_EU!S43*Mapping!$C$19,0))</f>
        <v>0</v>
      </c>
      <c r="T43" s="1">
        <f>IF(Signals_EU!L43=1,Signals_EU!R43*Mapping!$C$20,IF(Signals_EU!L43=-1,-Signals_EU!S43*Mapping!$C$20,0))</f>
        <v>0</v>
      </c>
      <c r="U43" s="1">
        <f t="shared" si="0"/>
        <v>0</v>
      </c>
    </row>
    <row r="44" spans="1:21">
      <c r="A44" s="5">
        <f>Signals_EU!B44</f>
        <v>40330</v>
      </c>
      <c r="B44" s="1">
        <f>IF(Signals_EU!O44=1,Signals_EU!R44*Mapping!$C$2,IF(Signals_EU!O44=-1,-Signals_EU!S44*Mapping!$C$2,0))</f>
        <v>0</v>
      </c>
      <c r="C44" s="1">
        <f>IF(Signals_EU!F44=1,Signals_EU!R44*Mapping!$C$3,IF(Signals_EU!F44=-1,-Signals_EU!S44*Mapping!$C$3,0))</f>
        <v>-3.0000000000000006E-2</v>
      </c>
      <c r="D44" s="1">
        <f>IF(Signals_EU!C44=1,Signals_EU!R44*Mapping!$C$4,IF(Signals_EU!C44=-1,-Signals_EU!S44*Mapping!$C$4,0))</f>
        <v>0</v>
      </c>
      <c r="E44" s="1">
        <f>IF(Signals_EU!C44=1,Signals_EU!R44*Mapping!$C$5,IF(Signals_EU!C44=-1,-Signals_EU!S44*Mapping!$C$5,0))</f>
        <v>0</v>
      </c>
      <c r="F44" s="1">
        <f>IF(Signals_EU!H44=1,Signals_EU!R44*Mapping!$C$6,IF(Signals_EU!H44=-1,-Signals_EU!S44*Mapping!$C$6,0))</f>
        <v>0</v>
      </c>
      <c r="G44" s="1">
        <f>IF(Signals_EU!F44=1,Signals_EU!R44*Mapping!$C$7,IF(Signals_EU!F44=-1,-Signals_EU!S44*Mapping!$C$7,0))</f>
        <v>-1.0000000000000002E-2</v>
      </c>
      <c r="H44" s="1">
        <f>IF(Signals_EU!D44=1,Signals_EU!R44*Mapping!$C$8,IF(Signals_EU!D44=-1,-Signals_EU!S44*Mapping!$C$8,0))</f>
        <v>5.000000000000001E-2</v>
      </c>
      <c r="I44" s="1">
        <f>IF(Signals_EU!G44=1,Signals_EU!R44*Mapping!$C$9,IF(Signals_EU!G44=-1,-Signals_EU!S44*Mapping!$C$9,0))</f>
        <v>0</v>
      </c>
      <c r="J44" s="1">
        <f>IF(Signals_EU!H44=1,Signals_EU!R44*Mapping!$C$10,IF(Signals_EU!H44=-1,-Signals_EU!S44*Mapping!$C$10,0))</f>
        <v>0</v>
      </c>
      <c r="K44" s="1">
        <f>IF(Signals_EU!F44=1,Signals_EU!R44*Mapping!$C$11,IF(Signals_EU!F44=-1,-Signals_EU!S44*Mapping!$C$11,0))</f>
        <v>-1.0000000000000002E-2</v>
      </c>
      <c r="L44" s="1">
        <f>IF(Signals_EU!N44=1,Signals_EU!R44*Mapping!$C$12,IF(Signals_EU!N44=-1,-Signals_EU!S44*Mapping!$C$12,0))</f>
        <v>5.000000000000001E-2</v>
      </c>
      <c r="M44" s="1">
        <f>IF(Signals_EU!I44=1,Signals_EU!R44*Mapping!$C$13,IF(Signals_EU!I44=-1,-Signals_EU!S44*Mapping!$C$13,0))</f>
        <v>-5.000000000000001E-2</v>
      </c>
      <c r="N44" s="1">
        <f>IF(Signals_EU!E44=1,Signals_EU!R44*Mapping!$C$14,IF(Signals_EU!E44=-1,-Signals_EU!S44*Mapping!$C$14,0))</f>
        <v>5.000000000000001E-2</v>
      </c>
      <c r="O44" s="1">
        <f>0</f>
        <v>0</v>
      </c>
      <c r="P44" s="1">
        <f>0</f>
        <v>0</v>
      </c>
      <c r="Q44" s="1">
        <f>IF(Signals_EU!J44=1,Signals_EU!R44*Mapping!$C$17,IF(Signals_EU!J44=-1,-Signals_EU!S44*Mapping!$C$17,0))</f>
        <v>-5.000000000000001E-2</v>
      </c>
      <c r="R44" s="1">
        <f>IF(Signals_EU!K44=1,Signals_EU!R44*Mapping!$C$18,IF(Signals_EU!K44=-1,-Signals_EU!S44*Mapping!$C$18,0))</f>
        <v>0</v>
      </c>
      <c r="S44" s="1">
        <f>IF(Signals_EU!M44=1,Signals_EU!R44*Mapping!$C$19,IF(Signals_EU!M44=-1,-Signals_EU!S44*Mapping!$C$19,0))</f>
        <v>0</v>
      </c>
      <c r="T44" s="1">
        <f>IF(Signals_EU!L44=1,Signals_EU!R44*Mapping!$C$20,IF(Signals_EU!L44=-1,-Signals_EU!S44*Mapping!$C$20,0))</f>
        <v>0</v>
      </c>
      <c r="U44" s="1">
        <f t="shared" si="0"/>
        <v>0</v>
      </c>
    </row>
    <row r="45" spans="1:21">
      <c r="A45" s="5">
        <f>Signals_EU!B45</f>
        <v>40360</v>
      </c>
      <c r="B45" s="1">
        <f>IF(Signals_EU!O45=1,Signals_EU!R45*Mapping!$C$2,IF(Signals_EU!O45=-1,-Signals_EU!S45*Mapping!$C$2,0))</f>
        <v>0</v>
      </c>
      <c r="C45" s="1">
        <f>IF(Signals_EU!F45=1,Signals_EU!R45*Mapping!$C$3,IF(Signals_EU!F45=-1,-Signals_EU!S45*Mapping!$C$3,0))</f>
        <v>-3.0000000000000006E-2</v>
      </c>
      <c r="D45" s="1">
        <f>IF(Signals_EU!C45=1,Signals_EU!R45*Mapping!$C$4,IF(Signals_EU!C45=-1,-Signals_EU!S45*Mapping!$C$4,0))</f>
        <v>0</v>
      </c>
      <c r="E45" s="1">
        <f>IF(Signals_EU!C45=1,Signals_EU!R45*Mapping!$C$5,IF(Signals_EU!C45=-1,-Signals_EU!S45*Mapping!$C$5,0))</f>
        <v>0</v>
      </c>
      <c r="F45" s="1">
        <f>IF(Signals_EU!H45=1,Signals_EU!R45*Mapping!$C$6,IF(Signals_EU!H45=-1,-Signals_EU!S45*Mapping!$C$6,0))</f>
        <v>1.0000000000000002E-2</v>
      </c>
      <c r="G45" s="1">
        <f>IF(Signals_EU!F45=1,Signals_EU!R45*Mapping!$C$7,IF(Signals_EU!F45=-1,-Signals_EU!S45*Mapping!$C$7,0))</f>
        <v>-1.0000000000000002E-2</v>
      </c>
      <c r="H45" s="1">
        <f>IF(Signals_EU!D45=1,Signals_EU!R45*Mapping!$C$8,IF(Signals_EU!D45=-1,-Signals_EU!S45*Mapping!$C$8,0))</f>
        <v>5.000000000000001E-2</v>
      </c>
      <c r="I45" s="1">
        <f>IF(Signals_EU!G45=1,Signals_EU!R45*Mapping!$C$9,IF(Signals_EU!G45=-1,-Signals_EU!S45*Mapping!$C$9,0))</f>
        <v>0</v>
      </c>
      <c r="J45" s="1">
        <f>IF(Signals_EU!H45=1,Signals_EU!R45*Mapping!$C$10,IF(Signals_EU!H45=-1,-Signals_EU!S45*Mapping!$C$10,0))</f>
        <v>4.0000000000000008E-2</v>
      </c>
      <c r="K45" s="1">
        <f>IF(Signals_EU!F45=1,Signals_EU!R45*Mapping!$C$11,IF(Signals_EU!F45=-1,-Signals_EU!S45*Mapping!$C$11,0))</f>
        <v>-1.0000000000000002E-2</v>
      </c>
      <c r="L45" s="1">
        <f>IF(Signals_EU!N45=1,Signals_EU!R45*Mapping!$C$12,IF(Signals_EU!N45=-1,-Signals_EU!S45*Mapping!$C$12,0))</f>
        <v>0</v>
      </c>
      <c r="M45" s="1">
        <f>IF(Signals_EU!I45=1,Signals_EU!R45*Mapping!$C$13,IF(Signals_EU!I45=-1,-Signals_EU!S45*Mapping!$C$13,0))</f>
        <v>-5.000000000000001E-2</v>
      </c>
      <c r="N45" s="1">
        <f>IF(Signals_EU!E45=1,Signals_EU!R45*Mapping!$C$14,IF(Signals_EU!E45=-1,-Signals_EU!S45*Mapping!$C$14,0))</f>
        <v>5.000000000000001E-2</v>
      </c>
      <c r="O45" s="1">
        <f>0</f>
        <v>0</v>
      </c>
      <c r="P45" s="1">
        <f>0</f>
        <v>0</v>
      </c>
      <c r="Q45" s="1">
        <f>IF(Signals_EU!J45=1,Signals_EU!R45*Mapping!$C$17,IF(Signals_EU!J45=-1,-Signals_EU!S45*Mapping!$C$17,0))</f>
        <v>-5.000000000000001E-2</v>
      </c>
      <c r="R45" s="1">
        <f>IF(Signals_EU!K45=1,Signals_EU!R45*Mapping!$C$18,IF(Signals_EU!K45=-1,-Signals_EU!S45*Mapping!$C$18,0))</f>
        <v>0</v>
      </c>
      <c r="S45" s="1">
        <f>IF(Signals_EU!M45=1,Signals_EU!R45*Mapping!$C$19,IF(Signals_EU!M45=-1,-Signals_EU!S45*Mapping!$C$19,0))</f>
        <v>0</v>
      </c>
      <c r="T45" s="1">
        <f>IF(Signals_EU!L45=1,Signals_EU!R45*Mapping!$C$20,IF(Signals_EU!L45=-1,-Signals_EU!S45*Mapping!$C$20,0))</f>
        <v>0</v>
      </c>
      <c r="U45" s="1">
        <f t="shared" si="0"/>
        <v>0</v>
      </c>
    </row>
    <row r="46" spans="1:21">
      <c r="A46" s="5">
        <f>Signals_EU!B46</f>
        <v>40391</v>
      </c>
      <c r="B46" s="1">
        <f>IF(Signals_EU!O46=1,Signals_EU!R46*Mapping!$C$2,IF(Signals_EU!O46=-1,-Signals_EU!S46*Mapping!$C$2,0))</f>
        <v>5.000000000000001E-2</v>
      </c>
      <c r="C46" s="1">
        <f>IF(Signals_EU!F46=1,Signals_EU!R46*Mapping!$C$3,IF(Signals_EU!F46=-1,-Signals_EU!S46*Mapping!$C$3,0))</f>
        <v>-3.0000000000000006E-2</v>
      </c>
      <c r="D46" s="1">
        <f>IF(Signals_EU!C46=1,Signals_EU!R46*Mapping!$C$4,IF(Signals_EU!C46=-1,-Signals_EU!S46*Mapping!$C$4,0))</f>
        <v>0</v>
      </c>
      <c r="E46" s="1">
        <f>IF(Signals_EU!C46=1,Signals_EU!R46*Mapping!$C$5,IF(Signals_EU!C46=-1,-Signals_EU!S46*Mapping!$C$5,0))</f>
        <v>0</v>
      </c>
      <c r="F46" s="1">
        <f>IF(Signals_EU!H46=1,Signals_EU!R46*Mapping!$C$6,IF(Signals_EU!H46=-1,-Signals_EU!S46*Mapping!$C$6,0))</f>
        <v>0</v>
      </c>
      <c r="G46" s="1">
        <f>IF(Signals_EU!F46=1,Signals_EU!R46*Mapping!$C$7,IF(Signals_EU!F46=-1,-Signals_EU!S46*Mapping!$C$7,0))</f>
        <v>-1.0000000000000002E-2</v>
      </c>
      <c r="H46" s="1">
        <f>IF(Signals_EU!D46=1,Signals_EU!R46*Mapping!$C$8,IF(Signals_EU!D46=-1,-Signals_EU!S46*Mapping!$C$8,0))</f>
        <v>5.000000000000001E-2</v>
      </c>
      <c r="I46" s="1">
        <f>IF(Signals_EU!G46=1,Signals_EU!R46*Mapping!$C$9,IF(Signals_EU!G46=-1,-Signals_EU!S46*Mapping!$C$9,0))</f>
        <v>0</v>
      </c>
      <c r="J46" s="1">
        <f>IF(Signals_EU!H46=1,Signals_EU!R46*Mapping!$C$10,IF(Signals_EU!H46=-1,-Signals_EU!S46*Mapping!$C$10,0))</f>
        <v>0</v>
      </c>
      <c r="K46" s="1">
        <f>IF(Signals_EU!F46=1,Signals_EU!R46*Mapping!$C$11,IF(Signals_EU!F46=-1,-Signals_EU!S46*Mapping!$C$11,0))</f>
        <v>-1.0000000000000002E-2</v>
      </c>
      <c r="L46" s="1">
        <f>IF(Signals_EU!N46=1,Signals_EU!R46*Mapping!$C$12,IF(Signals_EU!N46=-1,-Signals_EU!S46*Mapping!$C$12,0))</f>
        <v>0</v>
      </c>
      <c r="M46" s="1">
        <f>IF(Signals_EU!I46=1,Signals_EU!R46*Mapping!$C$13,IF(Signals_EU!I46=-1,-Signals_EU!S46*Mapping!$C$13,0))</f>
        <v>-5.000000000000001E-2</v>
      </c>
      <c r="N46" s="1">
        <f>IF(Signals_EU!E46=1,Signals_EU!R46*Mapping!$C$14,IF(Signals_EU!E46=-1,-Signals_EU!S46*Mapping!$C$14,0))</f>
        <v>5.000000000000001E-2</v>
      </c>
      <c r="O46" s="1">
        <f>0</f>
        <v>0</v>
      </c>
      <c r="P46" s="1">
        <f>0</f>
        <v>0</v>
      </c>
      <c r="Q46" s="1">
        <f>IF(Signals_EU!J46=1,Signals_EU!R46*Mapping!$C$17,IF(Signals_EU!J46=-1,-Signals_EU!S46*Mapping!$C$17,0))</f>
        <v>-5.000000000000001E-2</v>
      </c>
      <c r="R46" s="1">
        <f>IF(Signals_EU!K46=1,Signals_EU!R46*Mapping!$C$18,IF(Signals_EU!K46=-1,-Signals_EU!S46*Mapping!$C$18,0))</f>
        <v>0</v>
      </c>
      <c r="S46" s="1">
        <f>IF(Signals_EU!M46=1,Signals_EU!R46*Mapping!$C$19,IF(Signals_EU!M46=-1,-Signals_EU!S46*Mapping!$C$19,0))</f>
        <v>0</v>
      </c>
      <c r="T46" s="1">
        <f>IF(Signals_EU!L46=1,Signals_EU!R46*Mapping!$C$20,IF(Signals_EU!L46=-1,-Signals_EU!S46*Mapping!$C$20,0))</f>
        <v>0</v>
      </c>
      <c r="U46" s="1">
        <f t="shared" si="0"/>
        <v>0</v>
      </c>
    </row>
    <row r="47" spans="1:21">
      <c r="A47" s="5">
        <f>Signals_EU!B47</f>
        <v>40422</v>
      </c>
      <c r="B47" s="1">
        <f>IF(Signals_EU!O47=1,Signals_EU!R47*Mapping!$C$2,IF(Signals_EU!O47=-1,-Signals_EU!S47*Mapping!$C$2,0))</f>
        <v>5.000000000000001E-2</v>
      </c>
      <c r="C47" s="1">
        <f>IF(Signals_EU!F47=1,Signals_EU!R47*Mapping!$C$3,IF(Signals_EU!F47=-1,-Signals_EU!S47*Mapping!$C$3,0))</f>
        <v>-3.0000000000000006E-2</v>
      </c>
      <c r="D47" s="1">
        <f>IF(Signals_EU!C47=1,Signals_EU!R47*Mapping!$C$4,IF(Signals_EU!C47=-1,-Signals_EU!S47*Mapping!$C$4,0))</f>
        <v>0</v>
      </c>
      <c r="E47" s="1">
        <f>IF(Signals_EU!C47=1,Signals_EU!R47*Mapping!$C$5,IF(Signals_EU!C47=-1,-Signals_EU!S47*Mapping!$C$5,0))</f>
        <v>0</v>
      </c>
      <c r="F47" s="1">
        <f>IF(Signals_EU!H47=1,Signals_EU!R47*Mapping!$C$6,IF(Signals_EU!H47=-1,-Signals_EU!S47*Mapping!$C$6,0))</f>
        <v>0</v>
      </c>
      <c r="G47" s="1">
        <f>IF(Signals_EU!F47=1,Signals_EU!R47*Mapping!$C$7,IF(Signals_EU!F47=-1,-Signals_EU!S47*Mapping!$C$7,0))</f>
        <v>-1.0000000000000002E-2</v>
      </c>
      <c r="H47" s="1">
        <f>IF(Signals_EU!D47=1,Signals_EU!R47*Mapping!$C$8,IF(Signals_EU!D47=-1,-Signals_EU!S47*Mapping!$C$8,0))</f>
        <v>5.000000000000001E-2</v>
      </c>
      <c r="I47" s="1">
        <f>IF(Signals_EU!G47=1,Signals_EU!R47*Mapping!$C$9,IF(Signals_EU!G47=-1,-Signals_EU!S47*Mapping!$C$9,0))</f>
        <v>0</v>
      </c>
      <c r="J47" s="1">
        <f>IF(Signals_EU!H47=1,Signals_EU!R47*Mapping!$C$10,IF(Signals_EU!H47=-1,-Signals_EU!S47*Mapping!$C$10,0))</f>
        <v>0</v>
      </c>
      <c r="K47" s="1">
        <f>IF(Signals_EU!F47=1,Signals_EU!R47*Mapping!$C$11,IF(Signals_EU!F47=-1,-Signals_EU!S47*Mapping!$C$11,0))</f>
        <v>-1.0000000000000002E-2</v>
      </c>
      <c r="L47" s="1">
        <f>IF(Signals_EU!N47=1,Signals_EU!R47*Mapping!$C$12,IF(Signals_EU!N47=-1,-Signals_EU!S47*Mapping!$C$12,0))</f>
        <v>0</v>
      </c>
      <c r="M47" s="1">
        <f>IF(Signals_EU!I47=1,Signals_EU!R47*Mapping!$C$13,IF(Signals_EU!I47=-1,-Signals_EU!S47*Mapping!$C$13,0))</f>
        <v>0</v>
      </c>
      <c r="N47" s="1">
        <f>IF(Signals_EU!E47=1,Signals_EU!R47*Mapping!$C$14,IF(Signals_EU!E47=-1,-Signals_EU!S47*Mapping!$C$14,0))</f>
        <v>5.000000000000001E-2</v>
      </c>
      <c r="O47" s="1">
        <f>0</f>
        <v>0</v>
      </c>
      <c r="P47" s="1">
        <f>0</f>
        <v>0</v>
      </c>
      <c r="Q47" s="1">
        <f>IF(Signals_EU!J47=1,Signals_EU!R47*Mapping!$C$17,IF(Signals_EU!J47=-1,-Signals_EU!S47*Mapping!$C$17,0))</f>
        <v>-5.000000000000001E-2</v>
      </c>
      <c r="R47" s="1">
        <f>IF(Signals_EU!K47=1,Signals_EU!R47*Mapping!$C$18,IF(Signals_EU!K47=-1,-Signals_EU!S47*Mapping!$C$18,0))</f>
        <v>0</v>
      </c>
      <c r="S47" s="1">
        <f>IF(Signals_EU!M47=1,Signals_EU!R47*Mapping!$C$19,IF(Signals_EU!M47=-1,-Signals_EU!S47*Mapping!$C$19,0))</f>
        <v>0</v>
      </c>
      <c r="T47" s="1">
        <f>IF(Signals_EU!L47=1,Signals_EU!R47*Mapping!$C$20,IF(Signals_EU!L47=-1,-Signals_EU!S47*Mapping!$C$20,0))</f>
        <v>-5.000000000000001E-2</v>
      </c>
      <c r="U47" s="1">
        <f t="shared" si="0"/>
        <v>0</v>
      </c>
    </row>
    <row r="48" spans="1:21">
      <c r="A48" s="5">
        <f>Signals_EU!B48</f>
        <v>40452</v>
      </c>
      <c r="B48" s="1">
        <f>IF(Signals_EU!O48=1,Signals_EU!R48*Mapping!$C$2,IF(Signals_EU!O48=-1,-Signals_EU!S48*Mapping!$C$2,0))</f>
        <v>5.000000000000001E-2</v>
      </c>
      <c r="C48" s="1">
        <f>IF(Signals_EU!F48=1,Signals_EU!R48*Mapping!$C$3,IF(Signals_EU!F48=-1,-Signals_EU!S48*Mapping!$C$3,0))</f>
        <v>0</v>
      </c>
      <c r="D48" s="1">
        <f>IF(Signals_EU!C48=1,Signals_EU!R48*Mapping!$C$4,IF(Signals_EU!C48=-1,-Signals_EU!S48*Mapping!$C$4,0))</f>
        <v>0</v>
      </c>
      <c r="E48" s="1">
        <f>IF(Signals_EU!C48=1,Signals_EU!R48*Mapping!$C$5,IF(Signals_EU!C48=-1,-Signals_EU!S48*Mapping!$C$5,0))</f>
        <v>0</v>
      </c>
      <c r="F48" s="1">
        <f>IF(Signals_EU!H48=1,Signals_EU!R48*Mapping!$C$6,IF(Signals_EU!H48=-1,-Signals_EU!S48*Mapping!$C$6,0))</f>
        <v>0</v>
      </c>
      <c r="G48" s="1">
        <f>IF(Signals_EU!F48=1,Signals_EU!R48*Mapping!$C$7,IF(Signals_EU!F48=-1,-Signals_EU!S48*Mapping!$C$7,0))</f>
        <v>0</v>
      </c>
      <c r="H48" s="1">
        <f>IF(Signals_EU!D48=1,Signals_EU!R48*Mapping!$C$8,IF(Signals_EU!D48=-1,-Signals_EU!S48*Mapping!$C$8,0))</f>
        <v>5.000000000000001E-2</v>
      </c>
      <c r="I48" s="1">
        <f>IF(Signals_EU!G48=1,Signals_EU!R48*Mapping!$C$9,IF(Signals_EU!G48=-1,-Signals_EU!S48*Mapping!$C$9,0))</f>
        <v>0</v>
      </c>
      <c r="J48" s="1">
        <f>IF(Signals_EU!H48=1,Signals_EU!R48*Mapping!$C$10,IF(Signals_EU!H48=-1,-Signals_EU!S48*Mapping!$C$10,0))</f>
        <v>0</v>
      </c>
      <c r="K48" s="1">
        <f>IF(Signals_EU!F48=1,Signals_EU!R48*Mapping!$C$11,IF(Signals_EU!F48=-1,-Signals_EU!S48*Mapping!$C$11,0))</f>
        <v>0</v>
      </c>
      <c r="L48" s="1">
        <f>IF(Signals_EU!N48=1,Signals_EU!R48*Mapping!$C$12,IF(Signals_EU!N48=-1,-Signals_EU!S48*Mapping!$C$12,0))</f>
        <v>0</v>
      </c>
      <c r="M48" s="1">
        <f>IF(Signals_EU!I48=1,Signals_EU!R48*Mapping!$C$13,IF(Signals_EU!I48=-1,-Signals_EU!S48*Mapping!$C$13,0))</f>
        <v>-5.000000000000001E-2</v>
      </c>
      <c r="N48" s="1">
        <f>IF(Signals_EU!E48=1,Signals_EU!R48*Mapping!$C$14,IF(Signals_EU!E48=-1,-Signals_EU!S48*Mapping!$C$14,0))</f>
        <v>5.000000000000001E-2</v>
      </c>
      <c r="O48" s="1">
        <f>0</f>
        <v>0</v>
      </c>
      <c r="P48" s="1">
        <f>0</f>
        <v>0</v>
      </c>
      <c r="Q48" s="1">
        <f>IF(Signals_EU!J48=1,Signals_EU!R48*Mapping!$C$17,IF(Signals_EU!J48=-1,-Signals_EU!S48*Mapping!$C$17,0))</f>
        <v>-5.000000000000001E-2</v>
      </c>
      <c r="R48" s="1">
        <f>IF(Signals_EU!K48=1,Signals_EU!R48*Mapping!$C$18,IF(Signals_EU!K48=-1,-Signals_EU!S48*Mapping!$C$18,0))</f>
        <v>0</v>
      </c>
      <c r="S48" s="1">
        <f>IF(Signals_EU!M48=1,Signals_EU!R48*Mapping!$C$19,IF(Signals_EU!M48=-1,-Signals_EU!S48*Mapping!$C$19,0))</f>
        <v>0</v>
      </c>
      <c r="T48" s="1">
        <f>IF(Signals_EU!L48=1,Signals_EU!R48*Mapping!$C$20,IF(Signals_EU!L48=-1,-Signals_EU!S48*Mapping!$C$20,0))</f>
        <v>-5.000000000000001E-2</v>
      </c>
      <c r="U48" s="1">
        <f t="shared" si="0"/>
        <v>0</v>
      </c>
    </row>
    <row r="49" spans="1:21">
      <c r="A49" s="5">
        <f>Signals_EU!B49</f>
        <v>40483</v>
      </c>
      <c r="B49" s="1">
        <f>IF(Signals_EU!O49=1,Signals_EU!R49*Mapping!$C$2,IF(Signals_EU!O49=-1,-Signals_EU!S49*Mapping!$C$2,0))</f>
        <v>5.000000000000001E-2</v>
      </c>
      <c r="C49" s="1">
        <f>IF(Signals_EU!F49=1,Signals_EU!R49*Mapping!$C$3,IF(Signals_EU!F49=-1,-Signals_EU!S49*Mapping!$C$3,0))</f>
        <v>-3.0000000000000006E-2</v>
      </c>
      <c r="D49" s="1">
        <f>IF(Signals_EU!C49=1,Signals_EU!R49*Mapping!$C$4,IF(Signals_EU!C49=-1,-Signals_EU!S49*Mapping!$C$4,0))</f>
        <v>0</v>
      </c>
      <c r="E49" s="1">
        <f>IF(Signals_EU!C49=1,Signals_EU!R49*Mapping!$C$5,IF(Signals_EU!C49=-1,-Signals_EU!S49*Mapping!$C$5,0))</f>
        <v>0</v>
      </c>
      <c r="F49" s="1">
        <f>IF(Signals_EU!H49=1,Signals_EU!R49*Mapping!$C$6,IF(Signals_EU!H49=-1,-Signals_EU!S49*Mapping!$C$6,0))</f>
        <v>0</v>
      </c>
      <c r="G49" s="1">
        <f>IF(Signals_EU!F49=1,Signals_EU!R49*Mapping!$C$7,IF(Signals_EU!F49=-1,-Signals_EU!S49*Mapping!$C$7,0))</f>
        <v>-1.0000000000000002E-2</v>
      </c>
      <c r="H49" s="1">
        <f>IF(Signals_EU!D49=1,Signals_EU!R49*Mapping!$C$8,IF(Signals_EU!D49=-1,-Signals_EU!S49*Mapping!$C$8,0))</f>
        <v>5.000000000000001E-2</v>
      </c>
      <c r="I49" s="1">
        <f>IF(Signals_EU!G49=1,Signals_EU!R49*Mapping!$C$9,IF(Signals_EU!G49=-1,-Signals_EU!S49*Mapping!$C$9,0))</f>
        <v>0</v>
      </c>
      <c r="J49" s="1">
        <f>IF(Signals_EU!H49=1,Signals_EU!R49*Mapping!$C$10,IF(Signals_EU!H49=-1,-Signals_EU!S49*Mapping!$C$10,0))</f>
        <v>0</v>
      </c>
      <c r="K49" s="1">
        <f>IF(Signals_EU!F49=1,Signals_EU!R49*Mapping!$C$11,IF(Signals_EU!F49=-1,-Signals_EU!S49*Mapping!$C$11,0))</f>
        <v>-1.0000000000000002E-2</v>
      </c>
      <c r="L49" s="1">
        <f>IF(Signals_EU!N49=1,Signals_EU!R49*Mapping!$C$12,IF(Signals_EU!N49=-1,-Signals_EU!S49*Mapping!$C$12,0))</f>
        <v>0</v>
      </c>
      <c r="M49" s="1">
        <f>IF(Signals_EU!I49=1,Signals_EU!R49*Mapping!$C$13,IF(Signals_EU!I49=-1,-Signals_EU!S49*Mapping!$C$13,0))</f>
        <v>-5.000000000000001E-2</v>
      </c>
      <c r="N49" s="1">
        <f>IF(Signals_EU!E49=1,Signals_EU!R49*Mapping!$C$14,IF(Signals_EU!E49=-1,-Signals_EU!S49*Mapping!$C$14,0))</f>
        <v>5.000000000000001E-2</v>
      </c>
      <c r="O49" s="1">
        <f>0</f>
        <v>0</v>
      </c>
      <c r="P49" s="1">
        <f>0</f>
        <v>0</v>
      </c>
      <c r="Q49" s="1">
        <f>IF(Signals_EU!J49=1,Signals_EU!R49*Mapping!$C$17,IF(Signals_EU!J49=-1,-Signals_EU!S49*Mapping!$C$17,0))</f>
        <v>-5.000000000000001E-2</v>
      </c>
      <c r="R49" s="1">
        <f>IF(Signals_EU!K49=1,Signals_EU!R49*Mapping!$C$18,IF(Signals_EU!K49=-1,-Signals_EU!S49*Mapping!$C$18,0))</f>
        <v>0</v>
      </c>
      <c r="S49" s="1">
        <f>IF(Signals_EU!M49=1,Signals_EU!R49*Mapping!$C$19,IF(Signals_EU!M49=-1,-Signals_EU!S49*Mapping!$C$19,0))</f>
        <v>0</v>
      </c>
      <c r="T49" s="1">
        <f>IF(Signals_EU!L49=1,Signals_EU!R49*Mapping!$C$20,IF(Signals_EU!L49=-1,-Signals_EU!S49*Mapping!$C$20,0))</f>
        <v>0</v>
      </c>
      <c r="U49" s="1">
        <f t="shared" si="0"/>
        <v>0</v>
      </c>
    </row>
    <row r="50" spans="1:21">
      <c r="A50" s="5">
        <f>Signals_EU!B50</f>
        <v>40513</v>
      </c>
      <c r="B50" s="1">
        <f>IF(Signals_EU!O50=1,Signals_EU!R50*Mapping!$C$2,IF(Signals_EU!O50=-1,-Signals_EU!S50*Mapping!$C$2,0))</f>
        <v>5.000000000000001E-2</v>
      </c>
      <c r="C50" s="1">
        <f>IF(Signals_EU!F50=1,Signals_EU!R50*Mapping!$C$3,IF(Signals_EU!F50=-1,-Signals_EU!S50*Mapping!$C$3,0))</f>
        <v>-3.0000000000000006E-2</v>
      </c>
      <c r="D50" s="1">
        <f>IF(Signals_EU!C50=1,Signals_EU!R50*Mapping!$C$4,IF(Signals_EU!C50=-1,-Signals_EU!S50*Mapping!$C$4,0))</f>
        <v>0</v>
      </c>
      <c r="E50" s="1">
        <f>IF(Signals_EU!C50=1,Signals_EU!R50*Mapping!$C$5,IF(Signals_EU!C50=-1,-Signals_EU!S50*Mapping!$C$5,0))</f>
        <v>0</v>
      </c>
      <c r="F50" s="1">
        <f>IF(Signals_EU!H50=1,Signals_EU!R50*Mapping!$C$6,IF(Signals_EU!H50=-1,-Signals_EU!S50*Mapping!$C$6,0))</f>
        <v>0</v>
      </c>
      <c r="G50" s="1">
        <f>IF(Signals_EU!F50=1,Signals_EU!R50*Mapping!$C$7,IF(Signals_EU!F50=-1,-Signals_EU!S50*Mapping!$C$7,0))</f>
        <v>-1.0000000000000002E-2</v>
      </c>
      <c r="H50" s="1">
        <f>IF(Signals_EU!D50=1,Signals_EU!R50*Mapping!$C$8,IF(Signals_EU!D50=-1,-Signals_EU!S50*Mapping!$C$8,0))</f>
        <v>5.000000000000001E-2</v>
      </c>
      <c r="I50" s="1">
        <f>IF(Signals_EU!G50=1,Signals_EU!R50*Mapping!$C$9,IF(Signals_EU!G50=-1,-Signals_EU!S50*Mapping!$C$9,0))</f>
        <v>0</v>
      </c>
      <c r="J50" s="1">
        <f>IF(Signals_EU!H50=1,Signals_EU!R50*Mapping!$C$10,IF(Signals_EU!H50=-1,-Signals_EU!S50*Mapping!$C$10,0))</f>
        <v>0</v>
      </c>
      <c r="K50" s="1">
        <f>IF(Signals_EU!F50=1,Signals_EU!R50*Mapping!$C$11,IF(Signals_EU!F50=-1,-Signals_EU!S50*Mapping!$C$11,0))</f>
        <v>-1.0000000000000002E-2</v>
      </c>
      <c r="L50" s="1">
        <f>IF(Signals_EU!N50=1,Signals_EU!R50*Mapping!$C$12,IF(Signals_EU!N50=-1,-Signals_EU!S50*Mapping!$C$12,0))</f>
        <v>0</v>
      </c>
      <c r="M50" s="1">
        <f>IF(Signals_EU!I50=1,Signals_EU!R50*Mapping!$C$13,IF(Signals_EU!I50=-1,-Signals_EU!S50*Mapping!$C$13,0))</f>
        <v>-5.000000000000001E-2</v>
      </c>
      <c r="N50" s="1">
        <f>IF(Signals_EU!E50=1,Signals_EU!R50*Mapping!$C$14,IF(Signals_EU!E50=-1,-Signals_EU!S50*Mapping!$C$14,0))</f>
        <v>5.000000000000001E-2</v>
      </c>
      <c r="O50" s="1">
        <f>0</f>
        <v>0</v>
      </c>
      <c r="P50" s="1">
        <f>0</f>
        <v>0</v>
      </c>
      <c r="Q50" s="1">
        <f>IF(Signals_EU!J50=1,Signals_EU!R50*Mapping!$C$17,IF(Signals_EU!J50=-1,-Signals_EU!S50*Mapping!$C$17,0))</f>
        <v>-5.000000000000001E-2</v>
      </c>
      <c r="R50" s="1">
        <f>IF(Signals_EU!K50=1,Signals_EU!R50*Mapping!$C$18,IF(Signals_EU!K50=-1,-Signals_EU!S50*Mapping!$C$18,0))</f>
        <v>0</v>
      </c>
      <c r="S50" s="1">
        <f>IF(Signals_EU!M50=1,Signals_EU!R50*Mapping!$C$19,IF(Signals_EU!M50=-1,-Signals_EU!S50*Mapping!$C$19,0))</f>
        <v>0</v>
      </c>
      <c r="T50" s="1">
        <f>IF(Signals_EU!L50=1,Signals_EU!R50*Mapping!$C$20,IF(Signals_EU!L50=-1,-Signals_EU!S50*Mapping!$C$20,0))</f>
        <v>0</v>
      </c>
      <c r="U50" s="1">
        <f t="shared" si="0"/>
        <v>0</v>
      </c>
    </row>
    <row r="51" spans="1:21">
      <c r="A51" s="5">
        <f>Signals_EU!B51</f>
        <v>40544</v>
      </c>
      <c r="B51" s="1">
        <f>IF(Signals_EU!O51=1,Signals_EU!R51*Mapping!$C$2,IF(Signals_EU!O51=-1,-Signals_EU!S51*Mapping!$C$2,0))</f>
        <v>5.000000000000001E-2</v>
      </c>
      <c r="C51" s="1">
        <f>IF(Signals_EU!F51=1,Signals_EU!R51*Mapping!$C$3,IF(Signals_EU!F51=-1,-Signals_EU!S51*Mapping!$C$3,0))</f>
        <v>-3.0000000000000006E-2</v>
      </c>
      <c r="D51" s="1">
        <f>IF(Signals_EU!C51=1,Signals_EU!R51*Mapping!$C$4,IF(Signals_EU!C51=-1,-Signals_EU!S51*Mapping!$C$4,0))</f>
        <v>0</v>
      </c>
      <c r="E51" s="1">
        <f>IF(Signals_EU!C51=1,Signals_EU!R51*Mapping!$C$5,IF(Signals_EU!C51=-1,-Signals_EU!S51*Mapping!$C$5,0))</f>
        <v>0</v>
      </c>
      <c r="F51" s="1">
        <f>IF(Signals_EU!H51=1,Signals_EU!R51*Mapping!$C$6,IF(Signals_EU!H51=-1,-Signals_EU!S51*Mapping!$C$6,0))</f>
        <v>0</v>
      </c>
      <c r="G51" s="1">
        <f>IF(Signals_EU!F51=1,Signals_EU!R51*Mapping!$C$7,IF(Signals_EU!F51=-1,-Signals_EU!S51*Mapping!$C$7,0))</f>
        <v>-1.0000000000000002E-2</v>
      </c>
      <c r="H51" s="1">
        <f>IF(Signals_EU!D51=1,Signals_EU!R51*Mapping!$C$8,IF(Signals_EU!D51=-1,-Signals_EU!S51*Mapping!$C$8,0))</f>
        <v>5.000000000000001E-2</v>
      </c>
      <c r="I51" s="1">
        <f>IF(Signals_EU!G51=1,Signals_EU!R51*Mapping!$C$9,IF(Signals_EU!G51=-1,-Signals_EU!S51*Mapping!$C$9,0))</f>
        <v>-5.000000000000001E-2</v>
      </c>
      <c r="J51" s="1">
        <f>IF(Signals_EU!H51=1,Signals_EU!R51*Mapping!$C$10,IF(Signals_EU!H51=-1,-Signals_EU!S51*Mapping!$C$10,0))</f>
        <v>0</v>
      </c>
      <c r="K51" s="1">
        <f>IF(Signals_EU!F51=1,Signals_EU!R51*Mapping!$C$11,IF(Signals_EU!F51=-1,-Signals_EU!S51*Mapping!$C$11,0))</f>
        <v>-1.0000000000000002E-2</v>
      </c>
      <c r="L51" s="1">
        <f>IF(Signals_EU!N51=1,Signals_EU!R51*Mapping!$C$12,IF(Signals_EU!N51=-1,-Signals_EU!S51*Mapping!$C$12,0))</f>
        <v>0</v>
      </c>
      <c r="M51" s="1">
        <f>IF(Signals_EU!I51=1,Signals_EU!R51*Mapping!$C$13,IF(Signals_EU!I51=-1,-Signals_EU!S51*Mapping!$C$13,0))</f>
        <v>0</v>
      </c>
      <c r="N51" s="1">
        <f>IF(Signals_EU!E51=1,Signals_EU!R51*Mapping!$C$14,IF(Signals_EU!E51=-1,-Signals_EU!S51*Mapping!$C$14,0))</f>
        <v>0</v>
      </c>
      <c r="O51" s="1">
        <f>0</f>
        <v>0</v>
      </c>
      <c r="P51" s="1">
        <f>0</f>
        <v>0</v>
      </c>
      <c r="Q51" s="1">
        <f>IF(Signals_EU!J51=1,Signals_EU!R51*Mapping!$C$17,IF(Signals_EU!J51=-1,-Signals_EU!S51*Mapping!$C$17,0))</f>
        <v>-5.000000000000001E-2</v>
      </c>
      <c r="R51" s="1">
        <f>IF(Signals_EU!K51=1,Signals_EU!R51*Mapping!$C$18,IF(Signals_EU!K51=-1,-Signals_EU!S51*Mapping!$C$18,0))</f>
        <v>0</v>
      </c>
      <c r="S51" s="1">
        <f>IF(Signals_EU!M51=1,Signals_EU!R51*Mapping!$C$19,IF(Signals_EU!M51=-1,-Signals_EU!S51*Mapping!$C$19,0))</f>
        <v>5.000000000000001E-2</v>
      </c>
      <c r="T51" s="1">
        <f>IF(Signals_EU!L51=1,Signals_EU!R51*Mapping!$C$20,IF(Signals_EU!L51=-1,-Signals_EU!S51*Mapping!$C$20,0))</f>
        <v>0</v>
      </c>
      <c r="U51" s="1">
        <f t="shared" si="0"/>
        <v>0</v>
      </c>
    </row>
    <row r="52" spans="1:21">
      <c r="A52" s="5">
        <f>Signals_EU!B52</f>
        <v>40575</v>
      </c>
      <c r="B52" s="1">
        <f>IF(Signals_EU!O52=1,Signals_EU!R52*Mapping!$C$2,IF(Signals_EU!O52=-1,-Signals_EU!S52*Mapping!$C$2,0))</f>
        <v>5.000000000000001E-2</v>
      </c>
      <c r="C52" s="1">
        <f>IF(Signals_EU!F52=1,Signals_EU!R52*Mapping!$C$3,IF(Signals_EU!F52=-1,-Signals_EU!S52*Mapping!$C$3,0))</f>
        <v>-3.0000000000000006E-2</v>
      </c>
      <c r="D52" s="1">
        <f>IF(Signals_EU!C52=1,Signals_EU!R52*Mapping!$C$4,IF(Signals_EU!C52=-1,-Signals_EU!S52*Mapping!$C$4,0))</f>
        <v>0</v>
      </c>
      <c r="E52" s="1">
        <f>IF(Signals_EU!C52=1,Signals_EU!R52*Mapping!$C$5,IF(Signals_EU!C52=-1,-Signals_EU!S52*Mapping!$C$5,0))</f>
        <v>0</v>
      </c>
      <c r="F52" s="1">
        <f>IF(Signals_EU!H52=1,Signals_EU!R52*Mapping!$C$6,IF(Signals_EU!H52=-1,-Signals_EU!S52*Mapping!$C$6,0))</f>
        <v>0</v>
      </c>
      <c r="G52" s="1">
        <f>IF(Signals_EU!F52=1,Signals_EU!R52*Mapping!$C$7,IF(Signals_EU!F52=-1,-Signals_EU!S52*Mapping!$C$7,0))</f>
        <v>-1.0000000000000002E-2</v>
      </c>
      <c r="H52" s="1">
        <f>IF(Signals_EU!D52=1,Signals_EU!R52*Mapping!$C$8,IF(Signals_EU!D52=-1,-Signals_EU!S52*Mapping!$C$8,0))</f>
        <v>5.000000000000001E-2</v>
      </c>
      <c r="I52" s="1">
        <f>IF(Signals_EU!G52=1,Signals_EU!R52*Mapping!$C$9,IF(Signals_EU!G52=-1,-Signals_EU!S52*Mapping!$C$9,0))</f>
        <v>0</v>
      </c>
      <c r="J52" s="1">
        <f>IF(Signals_EU!H52=1,Signals_EU!R52*Mapping!$C$10,IF(Signals_EU!H52=-1,-Signals_EU!S52*Mapping!$C$10,0))</f>
        <v>0</v>
      </c>
      <c r="K52" s="1">
        <f>IF(Signals_EU!F52=1,Signals_EU!R52*Mapping!$C$11,IF(Signals_EU!F52=-1,-Signals_EU!S52*Mapping!$C$11,0))</f>
        <v>-1.0000000000000002E-2</v>
      </c>
      <c r="L52" s="1">
        <f>IF(Signals_EU!N52=1,Signals_EU!R52*Mapping!$C$12,IF(Signals_EU!N52=-1,-Signals_EU!S52*Mapping!$C$12,0))</f>
        <v>0</v>
      </c>
      <c r="M52" s="1">
        <f>IF(Signals_EU!I52=1,Signals_EU!R52*Mapping!$C$13,IF(Signals_EU!I52=-1,-Signals_EU!S52*Mapping!$C$13,0))</f>
        <v>-5.000000000000001E-2</v>
      </c>
      <c r="N52" s="1">
        <f>IF(Signals_EU!E52=1,Signals_EU!R52*Mapping!$C$14,IF(Signals_EU!E52=-1,-Signals_EU!S52*Mapping!$C$14,0))</f>
        <v>5.000000000000001E-2</v>
      </c>
      <c r="O52" s="1">
        <f>0</f>
        <v>0</v>
      </c>
      <c r="P52" s="1">
        <f>0</f>
        <v>0</v>
      </c>
      <c r="Q52" s="1">
        <f>IF(Signals_EU!J52=1,Signals_EU!R52*Mapping!$C$17,IF(Signals_EU!J52=-1,-Signals_EU!S52*Mapping!$C$17,0))</f>
        <v>-5.000000000000001E-2</v>
      </c>
      <c r="R52" s="1">
        <f>IF(Signals_EU!K52=1,Signals_EU!R52*Mapping!$C$18,IF(Signals_EU!K52=-1,-Signals_EU!S52*Mapping!$C$18,0))</f>
        <v>0</v>
      </c>
      <c r="S52" s="1">
        <f>IF(Signals_EU!M52=1,Signals_EU!R52*Mapping!$C$19,IF(Signals_EU!M52=-1,-Signals_EU!S52*Mapping!$C$19,0))</f>
        <v>0</v>
      </c>
      <c r="T52" s="1">
        <f>IF(Signals_EU!L52=1,Signals_EU!R52*Mapping!$C$20,IF(Signals_EU!L52=-1,-Signals_EU!S52*Mapping!$C$20,0))</f>
        <v>0</v>
      </c>
      <c r="U52" s="1">
        <f t="shared" si="0"/>
        <v>0</v>
      </c>
    </row>
    <row r="53" spans="1:21">
      <c r="A53" s="5">
        <f>Signals_EU!B53</f>
        <v>40603</v>
      </c>
      <c r="B53" s="1">
        <f>IF(Signals_EU!O53=1,Signals_EU!R53*Mapping!$C$2,IF(Signals_EU!O53=-1,-Signals_EU!S53*Mapping!$C$2,0))</f>
        <v>3.3333333333333333E-2</v>
      </c>
      <c r="C53" s="1">
        <f>IF(Signals_EU!F53=1,Signals_EU!R53*Mapping!$C$3,IF(Signals_EU!F53=-1,-Signals_EU!S53*Mapping!$C$3,0))</f>
        <v>-0.03</v>
      </c>
      <c r="D53" s="1">
        <f>IF(Signals_EU!C53=1,Signals_EU!R53*Mapping!$C$4,IF(Signals_EU!C53=-1,-Signals_EU!S53*Mapping!$C$4,0))</f>
        <v>0</v>
      </c>
      <c r="E53" s="1">
        <f>IF(Signals_EU!C53=1,Signals_EU!R53*Mapping!$C$5,IF(Signals_EU!C53=-1,-Signals_EU!S53*Mapping!$C$5,0))</f>
        <v>0</v>
      </c>
      <c r="F53" s="1">
        <f>IF(Signals_EU!H53=1,Signals_EU!R53*Mapping!$C$6,IF(Signals_EU!H53=-1,-Signals_EU!S53*Mapping!$C$6,0))</f>
        <v>0</v>
      </c>
      <c r="G53" s="1">
        <f>IF(Signals_EU!F53=1,Signals_EU!R53*Mapping!$C$7,IF(Signals_EU!F53=-1,-Signals_EU!S53*Mapping!$C$7,0))</f>
        <v>-1.0000000000000002E-2</v>
      </c>
      <c r="H53" s="1">
        <f>IF(Signals_EU!D53=1,Signals_EU!R53*Mapping!$C$8,IF(Signals_EU!D53=-1,-Signals_EU!S53*Mapping!$C$8,0))</f>
        <v>0</v>
      </c>
      <c r="I53" s="1">
        <f>IF(Signals_EU!G53=1,Signals_EU!R53*Mapping!$C$9,IF(Signals_EU!G53=-1,-Signals_EU!S53*Mapping!$C$9,0))</f>
        <v>-0.05</v>
      </c>
      <c r="J53" s="1">
        <f>IF(Signals_EU!H53=1,Signals_EU!R53*Mapping!$C$10,IF(Signals_EU!H53=-1,-Signals_EU!S53*Mapping!$C$10,0))</f>
        <v>0</v>
      </c>
      <c r="K53" s="1">
        <f>IF(Signals_EU!F53=1,Signals_EU!R53*Mapping!$C$11,IF(Signals_EU!F53=-1,-Signals_EU!S53*Mapping!$C$11,0))</f>
        <v>-1.0000000000000002E-2</v>
      </c>
      <c r="L53" s="1">
        <f>IF(Signals_EU!N53=1,Signals_EU!R53*Mapping!$C$12,IF(Signals_EU!N53=-1,-Signals_EU!S53*Mapping!$C$12,0))</f>
        <v>0</v>
      </c>
      <c r="M53" s="1">
        <f>IF(Signals_EU!I53=1,Signals_EU!R53*Mapping!$C$13,IF(Signals_EU!I53=-1,-Signals_EU!S53*Mapping!$C$13,0))</f>
        <v>0</v>
      </c>
      <c r="N53" s="1">
        <f>IF(Signals_EU!E53=1,Signals_EU!R53*Mapping!$C$14,IF(Signals_EU!E53=-1,-Signals_EU!S53*Mapping!$C$14,0))</f>
        <v>3.3333333333333333E-2</v>
      </c>
      <c r="O53" s="1">
        <f>0</f>
        <v>0</v>
      </c>
      <c r="P53" s="1">
        <f>0</f>
        <v>0</v>
      </c>
      <c r="Q53" s="1">
        <f>IF(Signals_EU!J53=1,Signals_EU!R53*Mapping!$C$17,IF(Signals_EU!J53=-1,-Signals_EU!S53*Mapping!$C$17,0))</f>
        <v>3.3333333333333333E-2</v>
      </c>
      <c r="R53" s="1">
        <f>IF(Signals_EU!K53=1,Signals_EU!R53*Mapping!$C$18,IF(Signals_EU!K53=-1,-Signals_EU!S53*Mapping!$C$18,0))</f>
        <v>0</v>
      </c>
      <c r="S53" s="1">
        <f>IF(Signals_EU!M53=1,Signals_EU!R53*Mapping!$C$19,IF(Signals_EU!M53=-1,-Signals_EU!S53*Mapping!$C$19,0))</f>
        <v>0</v>
      </c>
      <c r="T53" s="1">
        <f>IF(Signals_EU!L53=1,Signals_EU!R53*Mapping!$C$20,IF(Signals_EU!L53=-1,-Signals_EU!S53*Mapping!$C$20,0))</f>
        <v>0</v>
      </c>
      <c r="U53" s="1">
        <f t="shared" si="0"/>
        <v>0</v>
      </c>
    </row>
    <row r="54" spans="1:21">
      <c r="A54" s="5">
        <f>Signals_EU!B54</f>
        <v>40634</v>
      </c>
      <c r="B54" s="1">
        <f>IF(Signals_EU!O54=1,Signals_EU!R54*Mapping!$C$2,IF(Signals_EU!O54=-1,-Signals_EU!S54*Mapping!$C$2,0))</f>
        <v>5.000000000000001E-2</v>
      </c>
      <c r="C54" s="1">
        <f>IF(Signals_EU!F54=1,Signals_EU!R54*Mapping!$C$3,IF(Signals_EU!F54=-1,-Signals_EU!S54*Mapping!$C$3,0))</f>
        <v>-3.0000000000000006E-2</v>
      </c>
      <c r="D54" s="1">
        <f>IF(Signals_EU!C54=1,Signals_EU!R54*Mapping!$C$4,IF(Signals_EU!C54=-1,-Signals_EU!S54*Mapping!$C$4,0))</f>
        <v>2.5000000000000005E-2</v>
      </c>
      <c r="E54" s="1">
        <f>IF(Signals_EU!C54=1,Signals_EU!R54*Mapping!$C$5,IF(Signals_EU!C54=-1,-Signals_EU!S54*Mapping!$C$5,0))</f>
        <v>2.5000000000000005E-2</v>
      </c>
      <c r="F54" s="1">
        <f>IF(Signals_EU!H54=1,Signals_EU!R54*Mapping!$C$6,IF(Signals_EU!H54=-1,-Signals_EU!S54*Mapping!$C$6,0))</f>
        <v>0</v>
      </c>
      <c r="G54" s="1">
        <f>IF(Signals_EU!F54=1,Signals_EU!R54*Mapping!$C$7,IF(Signals_EU!F54=-1,-Signals_EU!S54*Mapping!$C$7,0))</f>
        <v>-1.0000000000000002E-2</v>
      </c>
      <c r="H54" s="1">
        <f>IF(Signals_EU!D54=1,Signals_EU!R54*Mapping!$C$8,IF(Signals_EU!D54=-1,-Signals_EU!S54*Mapping!$C$8,0))</f>
        <v>0</v>
      </c>
      <c r="I54" s="1">
        <f>IF(Signals_EU!G54=1,Signals_EU!R54*Mapping!$C$9,IF(Signals_EU!G54=-1,-Signals_EU!S54*Mapping!$C$9,0))</f>
        <v>0</v>
      </c>
      <c r="J54" s="1">
        <f>IF(Signals_EU!H54=1,Signals_EU!R54*Mapping!$C$10,IF(Signals_EU!H54=-1,-Signals_EU!S54*Mapping!$C$10,0))</f>
        <v>0</v>
      </c>
      <c r="K54" s="1">
        <f>IF(Signals_EU!F54=1,Signals_EU!R54*Mapping!$C$11,IF(Signals_EU!F54=-1,-Signals_EU!S54*Mapping!$C$11,0))</f>
        <v>-1.0000000000000002E-2</v>
      </c>
      <c r="L54" s="1">
        <f>IF(Signals_EU!N54=1,Signals_EU!R54*Mapping!$C$12,IF(Signals_EU!N54=-1,-Signals_EU!S54*Mapping!$C$12,0))</f>
        <v>0</v>
      </c>
      <c r="M54" s="1">
        <f>IF(Signals_EU!I54=1,Signals_EU!R54*Mapping!$C$13,IF(Signals_EU!I54=-1,-Signals_EU!S54*Mapping!$C$13,0))</f>
        <v>5.000000000000001E-2</v>
      </c>
      <c r="N54" s="1">
        <f>IF(Signals_EU!E54=1,Signals_EU!R54*Mapping!$C$14,IF(Signals_EU!E54=-1,-Signals_EU!S54*Mapping!$C$14,0))</f>
        <v>0</v>
      </c>
      <c r="O54" s="1">
        <f>0</f>
        <v>0</v>
      </c>
      <c r="P54" s="1">
        <f>0</f>
        <v>0</v>
      </c>
      <c r="Q54" s="1">
        <f>IF(Signals_EU!J54=1,Signals_EU!R54*Mapping!$C$17,IF(Signals_EU!J54=-1,-Signals_EU!S54*Mapping!$C$17,0))</f>
        <v>-5.000000000000001E-2</v>
      </c>
      <c r="R54" s="1">
        <f>IF(Signals_EU!K54=1,Signals_EU!R54*Mapping!$C$18,IF(Signals_EU!K54=-1,-Signals_EU!S54*Mapping!$C$18,0))</f>
        <v>-5.000000000000001E-2</v>
      </c>
      <c r="S54" s="1">
        <f>IF(Signals_EU!M54=1,Signals_EU!R54*Mapping!$C$19,IF(Signals_EU!M54=-1,-Signals_EU!S54*Mapping!$C$19,0))</f>
        <v>0</v>
      </c>
      <c r="T54" s="1">
        <f>IF(Signals_EU!L54=1,Signals_EU!R54*Mapping!$C$20,IF(Signals_EU!L54=-1,-Signals_EU!S54*Mapping!$C$20,0))</f>
        <v>0</v>
      </c>
      <c r="U54" s="1">
        <f t="shared" si="0"/>
        <v>0</v>
      </c>
    </row>
    <row r="55" spans="1:21">
      <c r="A55" s="5">
        <f>Signals_EU!B55</f>
        <v>40664</v>
      </c>
      <c r="B55" s="1">
        <f>IF(Signals_EU!O55=1,Signals_EU!R55*Mapping!$C$2,IF(Signals_EU!O55=-1,-Signals_EU!S55*Mapping!$C$2,0))</f>
        <v>5.000000000000001E-2</v>
      </c>
      <c r="C55" s="1">
        <f>IF(Signals_EU!F55=1,Signals_EU!R55*Mapping!$C$3,IF(Signals_EU!F55=-1,-Signals_EU!S55*Mapping!$C$3,0))</f>
        <v>-3.0000000000000006E-2</v>
      </c>
      <c r="D55" s="1">
        <f>IF(Signals_EU!C55=1,Signals_EU!R55*Mapping!$C$4,IF(Signals_EU!C55=-1,-Signals_EU!S55*Mapping!$C$4,0))</f>
        <v>2.5000000000000005E-2</v>
      </c>
      <c r="E55" s="1">
        <f>IF(Signals_EU!C55=1,Signals_EU!R55*Mapping!$C$5,IF(Signals_EU!C55=-1,-Signals_EU!S55*Mapping!$C$5,0))</f>
        <v>2.5000000000000005E-2</v>
      </c>
      <c r="F55" s="1">
        <f>IF(Signals_EU!H55=1,Signals_EU!R55*Mapping!$C$6,IF(Signals_EU!H55=-1,-Signals_EU!S55*Mapping!$C$6,0))</f>
        <v>0</v>
      </c>
      <c r="G55" s="1">
        <f>IF(Signals_EU!F55=1,Signals_EU!R55*Mapping!$C$7,IF(Signals_EU!F55=-1,-Signals_EU!S55*Mapping!$C$7,0))</f>
        <v>-1.0000000000000002E-2</v>
      </c>
      <c r="H55" s="1">
        <f>IF(Signals_EU!D55=1,Signals_EU!R55*Mapping!$C$8,IF(Signals_EU!D55=-1,-Signals_EU!S55*Mapping!$C$8,0))</f>
        <v>0</v>
      </c>
      <c r="I55" s="1">
        <f>IF(Signals_EU!G55=1,Signals_EU!R55*Mapping!$C$9,IF(Signals_EU!G55=-1,-Signals_EU!S55*Mapping!$C$9,0))</f>
        <v>-5.000000000000001E-2</v>
      </c>
      <c r="J55" s="1">
        <f>IF(Signals_EU!H55=1,Signals_EU!R55*Mapping!$C$10,IF(Signals_EU!H55=-1,-Signals_EU!S55*Mapping!$C$10,0))</f>
        <v>0</v>
      </c>
      <c r="K55" s="1">
        <f>IF(Signals_EU!F55=1,Signals_EU!R55*Mapping!$C$11,IF(Signals_EU!F55=-1,-Signals_EU!S55*Mapping!$C$11,0))</f>
        <v>-1.0000000000000002E-2</v>
      </c>
      <c r="L55" s="1">
        <f>IF(Signals_EU!N55=1,Signals_EU!R55*Mapping!$C$12,IF(Signals_EU!N55=-1,-Signals_EU!S55*Mapping!$C$12,0))</f>
        <v>0</v>
      </c>
      <c r="M55" s="1">
        <f>IF(Signals_EU!I55=1,Signals_EU!R55*Mapping!$C$13,IF(Signals_EU!I55=-1,-Signals_EU!S55*Mapping!$C$13,0))</f>
        <v>5.000000000000001E-2</v>
      </c>
      <c r="N55" s="1">
        <f>IF(Signals_EU!E55=1,Signals_EU!R55*Mapping!$C$14,IF(Signals_EU!E55=-1,-Signals_EU!S55*Mapping!$C$14,0))</f>
        <v>0</v>
      </c>
      <c r="O55" s="1">
        <f>0</f>
        <v>0</v>
      </c>
      <c r="P55" s="1">
        <f>0</f>
        <v>0</v>
      </c>
      <c r="Q55" s="1">
        <f>IF(Signals_EU!J55=1,Signals_EU!R55*Mapping!$C$17,IF(Signals_EU!J55=-1,-Signals_EU!S55*Mapping!$C$17,0))</f>
        <v>-5.000000000000001E-2</v>
      </c>
      <c r="R55" s="1">
        <f>IF(Signals_EU!K55=1,Signals_EU!R55*Mapping!$C$18,IF(Signals_EU!K55=-1,-Signals_EU!S55*Mapping!$C$18,0))</f>
        <v>0</v>
      </c>
      <c r="S55" s="1">
        <f>IF(Signals_EU!M55=1,Signals_EU!R55*Mapping!$C$19,IF(Signals_EU!M55=-1,-Signals_EU!S55*Mapping!$C$19,0))</f>
        <v>0</v>
      </c>
      <c r="T55" s="1">
        <f>IF(Signals_EU!L55=1,Signals_EU!R55*Mapping!$C$20,IF(Signals_EU!L55=-1,-Signals_EU!S55*Mapping!$C$20,0))</f>
        <v>0</v>
      </c>
      <c r="U55" s="1">
        <f t="shared" si="0"/>
        <v>0</v>
      </c>
    </row>
    <row r="56" spans="1:21">
      <c r="A56" s="5">
        <f>Signals_EU!B56</f>
        <v>40695</v>
      </c>
      <c r="B56" s="1">
        <f>IF(Signals_EU!O56=1,Signals_EU!R56*Mapping!$C$2,IF(Signals_EU!O56=-1,-Signals_EU!S56*Mapping!$C$2,0))</f>
        <v>5.000000000000001E-2</v>
      </c>
      <c r="C56" s="1">
        <f>IF(Signals_EU!F56=1,Signals_EU!R56*Mapping!$C$3,IF(Signals_EU!F56=-1,-Signals_EU!S56*Mapping!$C$3,0))</f>
        <v>0</v>
      </c>
      <c r="D56" s="1">
        <f>IF(Signals_EU!C56=1,Signals_EU!R56*Mapping!$C$4,IF(Signals_EU!C56=-1,-Signals_EU!S56*Mapping!$C$4,0))</f>
        <v>0</v>
      </c>
      <c r="E56" s="1">
        <f>IF(Signals_EU!C56=1,Signals_EU!R56*Mapping!$C$5,IF(Signals_EU!C56=-1,-Signals_EU!S56*Mapping!$C$5,0))</f>
        <v>0</v>
      </c>
      <c r="F56" s="1">
        <f>IF(Signals_EU!H56=1,Signals_EU!R56*Mapping!$C$6,IF(Signals_EU!H56=-1,-Signals_EU!S56*Mapping!$C$6,0))</f>
        <v>1.0000000000000002E-2</v>
      </c>
      <c r="G56" s="1">
        <f>IF(Signals_EU!F56=1,Signals_EU!R56*Mapping!$C$7,IF(Signals_EU!F56=-1,-Signals_EU!S56*Mapping!$C$7,0))</f>
        <v>0</v>
      </c>
      <c r="H56" s="1">
        <f>IF(Signals_EU!D56=1,Signals_EU!R56*Mapping!$C$8,IF(Signals_EU!D56=-1,-Signals_EU!S56*Mapping!$C$8,0))</f>
        <v>0</v>
      </c>
      <c r="I56" s="1">
        <f>IF(Signals_EU!G56=1,Signals_EU!R56*Mapping!$C$9,IF(Signals_EU!G56=-1,-Signals_EU!S56*Mapping!$C$9,0))</f>
        <v>0</v>
      </c>
      <c r="J56" s="1">
        <f>IF(Signals_EU!H56=1,Signals_EU!R56*Mapping!$C$10,IF(Signals_EU!H56=-1,-Signals_EU!S56*Mapping!$C$10,0))</f>
        <v>4.0000000000000008E-2</v>
      </c>
      <c r="K56" s="1">
        <f>IF(Signals_EU!F56=1,Signals_EU!R56*Mapping!$C$11,IF(Signals_EU!F56=-1,-Signals_EU!S56*Mapping!$C$11,0))</f>
        <v>0</v>
      </c>
      <c r="L56" s="1">
        <f>IF(Signals_EU!N56=1,Signals_EU!R56*Mapping!$C$12,IF(Signals_EU!N56=-1,-Signals_EU!S56*Mapping!$C$12,0))</f>
        <v>0</v>
      </c>
      <c r="M56" s="1">
        <f>IF(Signals_EU!I56=1,Signals_EU!R56*Mapping!$C$13,IF(Signals_EU!I56=-1,-Signals_EU!S56*Mapping!$C$13,0))</f>
        <v>0</v>
      </c>
      <c r="N56" s="1">
        <f>IF(Signals_EU!E56=1,Signals_EU!R56*Mapping!$C$14,IF(Signals_EU!E56=-1,-Signals_EU!S56*Mapping!$C$14,0))</f>
        <v>5.000000000000001E-2</v>
      </c>
      <c r="O56" s="1">
        <f>0</f>
        <v>0</v>
      </c>
      <c r="P56" s="1">
        <f>0</f>
        <v>0</v>
      </c>
      <c r="Q56" s="1">
        <f>IF(Signals_EU!J56=1,Signals_EU!R56*Mapping!$C$17,IF(Signals_EU!J56=-1,-Signals_EU!S56*Mapping!$C$17,0))</f>
        <v>-5.000000000000001E-2</v>
      </c>
      <c r="R56" s="1">
        <f>IF(Signals_EU!K56=1,Signals_EU!R56*Mapping!$C$18,IF(Signals_EU!K56=-1,-Signals_EU!S56*Mapping!$C$18,0))</f>
        <v>-5.000000000000001E-2</v>
      </c>
      <c r="S56" s="1">
        <f>IF(Signals_EU!M56=1,Signals_EU!R56*Mapping!$C$19,IF(Signals_EU!M56=-1,-Signals_EU!S56*Mapping!$C$19,0))</f>
        <v>0</v>
      </c>
      <c r="T56" s="1">
        <f>IF(Signals_EU!L56=1,Signals_EU!R56*Mapping!$C$20,IF(Signals_EU!L56=-1,-Signals_EU!S56*Mapping!$C$20,0))</f>
        <v>-5.000000000000001E-2</v>
      </c>
      <c r="U56" s="1">
        <f t="shared" si="0"/>
        <v>0</v>
      </c>
    </row>
    <row r="57" spans="1:21">
      <c r="A57" s="5">
        <f>Signals_EU!B57</f>
        <v>40725</v>
      </c>
      <c r="B57" s="1">
        <f>IF(Signals_EU!O57=1,Signals_EU!R57*Mapping!$C$2,IF(Signals_EU!O57=-1,-Signals_EU!S57*Mapping!$C$2,0))</f>
        <v>5.000000000000001E-2</v>
      </c>
      <c r="C57" s="1">
        <f>IF(Signals_EU!F57=1,Signals_EU!R57*Mapping!$C$3,IF(Signals_EU!F57=-1,-Signals_EU!S57*Mapping!$C$3,0))</f>
        <v>-3.0000000000000006E-2</v>
      </c>
      <c r="D57" s="1">
        <f>IF(Signals_EU!C57=1,Signals_EU!R57*Mapping!$C$4,IF(Signals_EU!C57=-1,-Signals_EU!S57*Mapping!$C$4,0))</f>
        <v>2.5000000000000005E-2</v>
      </c>
      <c r="E57" s="1">
        <f>IF(Signals_EU!C57=1,Signals_EU!R57*Mapping!$C$5,IF(Signals_EU!C57=-1,-Signals_EU!S57*Mapping!$C$5,0))</f>
        <v>2.5000000000000005E-2</v>
      </c>
      <c r="F57" s="1">
        <f>IF(Signals_EU!H57=1,Signals_EU!R57*Mapping!$C$6,IF(Signals_EU!H57=-1,-Signals_EU!S57*Mapping!$C$6,0))</f>
        <v>0</v>
      </c>
      <c r="G57" s="1">
        <f>IF(Signals_EU!F57=1,Signals_EU!R57*Mapping!$C$7,IF(Signals_EU!F57=-1,-Signals_EU!S57*Mapping!$C$7,0))</f>
        <v>-1.0000000000000002E-2</v>
      </c>
      <c r="H57" s="1">
        <f>IF(Signals_EU!D57=1,Signals_EU!R57*Mapping!$C$8,IF(Signals_EU!D57=-1,-Signals_EU!S57*Mapping!$C$8,0))</f>
        <v>0</v>
      </c>
      <c r="I57" s="1">
        <f>IF(Signals_EU!G57=1,Signals_EU!R57*Mapping!$C$9,IF(Signals_EU!G57=-1,-Signals_EU!S57*Mapping!$C$9,0))</f>
        <v>0</v>
      </c>
      <c r="J57" s="1">
        <f>IF(Signals_EU!H57=1,Signals_EU!R57*Mapping!$C$10,IF(Signals_EU!H57=-1,-Signals_EU!S57*Mapping!$C$10,0))</f>
        <v>0</v>
      </c>
      <c r="K57" s="1">
        <f>IF(Signals_EU!F57=1,Signals_EU!R57*Mapping!$C$11,IF(Signals_EU!F57=-1,-Signals_EU!S57*Mapping!$C$11,0))</f>
        <v>-1.0000000000000002E-2</v>
      </c>
      <c r="L57" s="1">
        <f>IF(Signals_EU!N57=1,Signals_EU!R57*Mapping!$C$12,IF(Signals_EU!N57=-1,-Signals_EU!S57*Mapping!$C$12,0))</f>
        <v>-5.000000000000001E-2</v>
      </c>
      <c r="M57" s="1">
        <f>IF(Signals_EU!I57=1,Signals_EU!R57*Mapping!$C$13,IF(Signals_EU!I57=-1,-Signals_EU!S57*Mapping!$C$13,0))</f>
        <v>0</v>
      </c>
      <c r="N57" s="1">
        <f>IF(Signals_EU!E57=1,Signals_EU!R57*Mapping!$C$14,IF(Signals_EU!E57=-1,-Signals_EU!S57*Mapping!$C$14,0))</f>
        <v>5.000000000000001E-2</v>
      </c>
      <c r="O57" s="1">
        <f>0</f>
        <v>0</v>
      </c>
      <c r="P57" s="1">
        <f>0</f>
        <v>0</v>
      </c>
      <c r="Q57" s="1">
        <f>IF(Signals_EU!J57=1,Signals_EU!R57*Mapping!$C$17,IF(Signals_EU!J57=-1,-Signals_EU!S57*Mapping!$C$17,0))</f>
        <v>-5.000000000000001E-2</v>
      </c>
      <c r="R57" s="1">
        <f>IF(Signals_EU!K57=1,Signals_EU!R57*Mapping!$C$18,IF(Signals_EU!K57=-1,-Signals_EU!S57*Mapping!$C$18,0))</f>
        <v>0</v>
      </c>
      <c r="S57" s="1">
        <f>IF(Signals_EU!M57=1,Signals_EU!R57*Mapping!$C$19,IF(Signals_EU!M57=-1,-Signals_EU!S57*Mapping!$C$19,0))</f>
        <v>0</v>
      </c>
      <c r="T57" s="1">
        <f>IF(Signals_EU!L57=1,Signals_EU!R57*Mapping!$C$20,IF(Signals_EU!L57=-1,-Signals_EU!S57*Mapping!$C$20,0))</f>
        <v>0</v>
      </c>
      <c r="U57" s="1">
        <f t="shared" si="0"/>
        <v>0</v>
      </c>
    </row>
    <row r="58" spans="1:21">
      <c r="A58" s="5">
        <f>Signals_EU!B58</f>
        <v>40756</v>
      </c>
      <c r="B58" s="1">
        <f>IF(Signals_EU!O58=1,Signals_EU!R58*Mapping!$C$2,IF(Signals_EU!O58=-1,-Signals_EU!S58*Mapping!$C$2,0))</f>
        <v>5.000000000000001E-2</v>
      </c>
      <c r="C58" s="1">
        <f>IF(Signals_EU!F58=1,Signals_EU!R58*Mapping!$C$3,IF(Signals_EU!F58=-1,-Signals_EU!S58*Mapping!$C$3,0))</f>
        <v>-3.0000000000000006E-2</v>
      </c>
      <c r="D58" s="1">
        <f>IF(Signals_EU!C58=1,Signals_EU!R58*Mapping!$C$4,IF(Signals_EU!C58=-1,-Signals_EU!S58*Mapping!$C$4,0))</f>
        <v>0</v>
      </c>
      <c r="E58" s="1">
        <f>IF(Signals_EU!C58=1,Signals_EU!R58*Mapping!$C$5,IF(Signals_EU!C58=-1,-Signals_EU!S58*Mapping!$C$5,0))</f>
        <v>0</v>
      </c>
      <c r="F58" s="1">
        <f>IF(Signals_EU!H58=1,Signals_EU!R58*Mapping!$C$6,IF(Signals_EU!H58=-1,-Signals_EU!S58*Mapping!$C$6,0))</f>
        <v>0</v>
      </c>
      <c r="G58" s="1">
        <f>IF(Signals_EU!F58=1,Signals_EU!R58*Mapping!$C$7,IF(Signals_EU!F58=-1,-Signals_EU!S58*Mapping!$C$7,0))</f>
        <v>-1.0000000000000002E-2</v>
      </c>
      <c r="H58" s="1">
        <f>IF(Signals_EU!D58=1,Signals_EU!R58*Mapping!$C$8,IF(Signals_EU!D58=-1,-Signals_EU!S58*Mapping!$C$8,0))</f>
        <v>5.000000000000001E-2</v>
      </c>
      <c r="I58" s="1">
        <f>IF(Signals_EU!G58=1,Signals_EU!R58*Mapping!$C$9,IF(Signals_EU!G58=-1,-Signals_EU!S58*Mapping!$C$9,0))</f>
        <v>0</v>
      </c>
      <c r="J58" s="1">
        <f>IF(Signals_EU!H58=1,Signals_EU!R58*Mapping!$C$10,IF(Signals_EU!H58=-1,-Signals_EU!S58*Mapping!$C$10,0))</f>
        <v>0</v>
      </c>
      <c r="K58" s="1">
        <f>IF(Signals_EU!F58=1,Signals_EU!R58*Mapping!$C$11,IF(Signals_EU!F58=-1,-Signals_EU!S58*Mapping!$C$11,0))</f>
        <v>-1.0000000000000002E-2</v>
      </c>
      <c r="L58" s="1">
        <f>IF(Signals_EU!N58=1,Signals_EU!R58*Mapping!$C$12,IF(Signals_EU!N58=-1,-Signals_EU!S58*Mapping!$C$12,0))</f>
        <v>0</v>
      </c>
      <c r="M58" s="1">
        <f>IF(Signals_EU!I58=1,Signals_EU!R58*Mapping!$C$13,IF(Signals_EU!I58=-1,-Signals_EU!S58*Mapping!$C$13,0))</f>
        <v>-5.000000000000001E-2</v>
      </c>
      <c r="N58" s="1">
        <f>IF(Signals_EU!E58=1,Signals_EU!R58*Mapping!$C$14,IF(Signals_EU!E58=-1,-Signals_EU!S58*Mapping!$C$14,0))</f>
        <v>5.000000000000001E-2</v>
      </c>
      <c r="O58" s="1">
        <f>0</f>
        <v>0</v>
      </c>
      <c r="P58" s="1">
        <f>0</f>
        <v>0</v>
      </c>
      <c r="Q58" s="1">
        <f>IF(Signals_EU!J58=1,Signals_EU!R58*Mapping!$C$17,IF(Signals_EU!J58=-1,-Signals_EU!S58*Mapping!$C$17,0))</f>
        <v>-5.000000000000001E-2</v>
      </c>
      <c r="R58" s="1">
        <f>IF(Signals_EU!K58=1,Signals_EU!R58*Mapping!$C$18,IF(Signals_EU!K58=-1,-Signals_EU!S58*Mapping!$C$18,0))</f>
        <v>0</v>
      </c>
      <c r="S58" s="1">
        <f>IF(Signals_EU!M58=1,Signals_EU!R58*Mapping!$C$19,IF(Signals_EU!M58=-1,-Signals_EU!S58*Mapping!$C$19,0))</f>
        <v>0</v>
      </c>
      <c r="T58" s="1">
        <f>IF(Signals_EU!L58=1,Signals_EU!R58*Mapping!$C$20,IF(Signals_EU!L58=-1,-Signals_EU!S58*Mapping!$C$20,0))</f>
        <v>0</v>
      </c>
      <c r="U58" s="1">
        <f t="shared" si="0"/>
        <v>0</v>
      </c>
    </row>
    <row r="59" spans="1:21">
      <c r="A59" s="5">
        <f>Signals_EU!B59</f>
        <v>40787</v>
      </c>
      <c r="B59" s="1">
        <f>IF(Signals_EU!O59=1,Signals_EU!R59*Mapping!$C$2,IF(Signals_EU!O59=-1,-Signals_EU!S59*Mapping!$C$2,0))</f>
        <v>5.000000000000001E-2</v>
      </c>
      <c r="C59" s="1">
        <f>IF(Signals_EU!F59=1,Signals_EU!R59*Mapping!$C$3,IF(Signals_EU!F59=-1,-Signals_EU!S59*Mapping!$C$3,0))</f>
        <v>-3.0000000000000006E-2</v>
      </c>
      <c r="D59" s="1">
        <f>IF(Signals_EU!C59=1,Signals_EU!R59*Mapping!$C$4,IF(Signals_EU!C59=-1,-Signals_EU!S59*Mapping!$C$4,0))</f>
        <v>0</v>
      </c>
      <c r="E59" s="1">
        <f>IF(Signals_EU!C59=1,Signals_EU!R59*Mapping!$C$5,IF(Signals_EU!C59=-1,-Signals_EU!S59*Mapping!$C$5,0))</f>
        <v>0</v>
      </c>
      <c r="F59" s="1">
        <f>IF(Signals_EU!H59=1,Signals_EU!R59*Mapping!$C$6,IF(Signals_EU!H59=-1,-Signals_EU!S59*Mapping!$C$6,0))</f>
        <v>0</v>
      </c>
      <c r="G59" s="1">
        <f>IF(Signals_EU!F59=1,Signals_EU!R59*Mapping!$C$7,IF(Signals_EU!F59=-1,-Signals_EU!S59*Mapping!$C$7,0))</f>
        <v>-1.0000000000000002E-2</v>
      </c>
      <c r="H59" s="1">
        <f>IF(Signals_EU!D59=1,Signals_EU!R59*Mapping!$C$8,IF(Signals_EU!D59=-1,-Signals_EU!S59*Mapping!$C$8,0))</f>
        <v>5.000000000000001E-2</v>
      </c>
      <c r="I59" s="1">
        <f>IF(Signals_EU!G59=1,Signals_EU!R59*Mapping!$C$9,IF(Signals_EU!G59=-1,-Signals_EU!S59*Mapping!$C$9,0))</f>
        <v>0</v>
      </c>
      <c r="J59" s="1">
        <f>IF(Signals_EU!H59=1,Signals_EU!R59*Mapping!$C$10,IF(Signals_EU!H59=-1,-Signals_EU!S59*Mapping!$C$10,0))</f>
        <v>0</v>
      </c>
      <c r="K59" s="1">
        <f>IF(Signals_EU!F59=1,Signals_EU!R59*Mapping!$C$11,IF(Signals_EU!F59=-1,-Signals_EU!S59*Mapping!$C$11,0))</f>
        <v>-1.0000000000000002E-2</v>
      </c>
      <c r="L59" s="1">
        <f>IF(Signals_EU!N59=1,Signals_EU!R59*Mapping!$C$12,IF(Signals_EU!N59=-1,-Signals_EU!S59*Mapping!$C$12,0))</f>
        <v>-5.000000000000001E-2</v>
      </c>
      <c r="M59" s="1">
        <f>IF(Signals_EU!I59=1,Signals_EU!R59*Mapping!$C$13,IF(Signals_EU!I59=-1,-Signals_EU!S59*Mapping!$C$13,0))</f>
        <v>0</v>
      </c>
      <c r="N59" s="1">
        <f>IF(Signals_EU!E59=1,Signals_EU!R59*Mapping!$C$14,IF(Signals_EU!E59=-1,-Signals_EU!S59*Mapping!$C$14,0))</f>
        <v>5.000000000000001E-2</v>
      </c>
      <c r="O59" s="1">
        <f>0</f>
        <v>0</v>
      </c>
      <c r="P59" s="1">
        <f>0</f>
        <v>0</v>
      </c>
      <c r="Q59" s="1">
        <f>IF(Signals_EU!J59=1,Signals_EU!R59*Mapping!$C$17,IF(Signals_EU!J59=-1,-Signals_EU!S59*Mapping!$C$17,0))</f>
        <v>-5.000000000000001E-2</v>
      </c>
      <c r="R59" s="1">
        <f>IF(Signals_EU!K59=1,Signals_EU!R59*Mapping!$C$18,IF(Signals_EU!K59=-1,-Signals_EU!S59*Mapping!$C$18,0))</f>
        <v>0</v>
      </c>
      <c r="S59" s="1">
        <f>IF(Signals_EU!M59=1,Signals_EU!R59*Mapping!$C$19,IF(Signals_EU!M59=-1,-Signals_EU!S59*Mapping!$C$19,0))</f>
        <v>0</v>
      </c>
      <c r="T59" s="1">
        <f>IF(Signals_EU!L59=1,Signals_EU!R59*Mapping!$C$20,IF(Signals_EU!L59=-1,-Signals_EU!S59*Mapping!$C$20,0))</f>
        <v>0</v>
      </c>
      <c r="U59" s="1">
        <f t="shared" si="0"/>
        <v>0</v>
      </c>
    </row>
    <row r="60" spans="1:21">
      <c r="A60" s="5">
        <f>Signals_EU!B60</f>
        <v>40817</v>
      </c>
      <c r="B60" s="1">
        <f>IF(Signals_EU!O60=1,Signals_EU!R60*Mapping!$C$2,IF(Signals_EU!O60=-1,-Signals_EU!S60*Mapping!$C$2,0))</f>
        <v>0</v>
      </c>
      <c r="C60" s="1">
        <f>IF(Signals_EU!F60=1,Signals_EU!R60*Mapping!$C$3,IF(Signals_EU!F60=-1,-Signals_EU!S60*Mapping!$C$3,0))</f>
        <v>-3.0000000000000006E-2</v>
      </c>
      <c r="D60" s="1">
        <f>IF(Signals_EU!C60=1,Signals_EU!R60*Mapping!$C$4,IF(Signals_EU!C60=-1,-Signals_EU!S60*Mapping!$C$4,0))</f>
        <v>0</v>
      </c>
      <c r="E60" s="1">
        <f>IF(Signals_EU!C60=1,Signals_EU!R60*Mapping!$C$5,IF(Signals_EU!C60=-1,-Signals_EU!S60*Mapping!$C$5,0))</f>
        <v>0</v>
      </c>
      <c r="F60" s="1">
        <f>IF(Signals_EU!H60=1,Signals_EU!R60*Mapping!$C$6,IF(Signals_EU!H60=-1,-Signals_EU!S60*Mapping!$C$6,0))</f>
        <v>0</v>
      </c>
      <c r="G60" s="1">
        <f>IF(Signals_EU!F60=1,Signals_EU!R60*Mapping!$C$7,IF(Signals_EU!F60=-1,-Signals_EU!S60*Mapping!$C$7,0))</f>
        <v>-1.0000000000000002E-2</v>
      </c>
      <c r="H60" s="1">
        <f>IF(Signals_EU!D60=1,Signals_EU!R60*Mapping!$C$8,IF(Signals_EU!D60=-1,-Signals_EU!S60*Mapping!$C$8,0))</f>
        <v>5.000000000000001E-2</v>
      </c>
      <c r="I60" s="1">
        <f>IF(Signals_EU!G60=1,Signals_EU!R60*Mapping!$C$9,IF(Signals_EU!G60=-1,-Signals_EU!S60*Mapping!$C$9,0))</f>
        <v>5.000000000000001E-2</v>
      </c>
      <c r="J60" s="1">
        <f>IF(Signals_EU!H60=1,Signals_EU!R60*Mapping!$C$10,IF(Signals_EU!H60=-1,-Signals_EU!S60*Mapping!$C$10,0))</f>
        <v>0</v>
      </c>
      <c r="K60" s="1">
        <f>IF(Signals_EU!F60=1,Signals_EU!R60*Mapping!$C$11,IF(Signals_EU!F60=-1,-Signals_EU!S60*Mapping!$C$11,0))</f>
        <v>-1.0000000000000002E-2</v>
      </c>
      <c r="L60" s="1">
        <f>IF(Signals_EU!N60=1,Signals_EU!R60*Mapping!$C$12,IF(Signals_EU!N60=-1,-Signals_EU!S60*Mapping!$C$12,0))</f>
        <v>0</v>
      </c>
      <c r="M60" s="1">
        <f>IF(Signals_EU!I60=1,Signals_EU!R60*Mapping!$C$13,IF(Signals_EU!I60=-1,-Signals_EU!S60*Mapping!$C$13,0))</f>
        <v>0</v>
      </c>
      <c r="N60" s="1">
        <f>IF(Signals_EU!E60=1,Signals_EU!R60*Mapping!$C$14,IF(Signals_EU!E60=-1,-Signals_EU!S60*Mapping!$C$14,0))</f>
        <v>5.000000000000001E-2</v>
      </c>
      <c r="O60" s="1">
        <f>0</f>
        <v>0</v>
      </c>
      <c r="P60" s="1">
        <f>0</f>
        <v>0</v>
      </c>
      <c r="Q60" s="1">
        <f>IF(Signals_EU!J60=1,Signals_EU!R60*Mapping!$C$17,IF(Signals_EU!J60=-1,-Signals_EU!S60*Mapping!$C$17,0))</f>
        <v>-5.000000000000001E-2</v>
      </c>
      <c r="R60" s="1">
        <f>IF(Signals_EU!K60=1,Signals_EU!R60*Mapping!$C$18,IF(Signals_EU!K60=-1,-Signals_EU!S60*Mapping!$C$18,0))</f>
        <v>0</v>
      </c>
      <c r="S60" s="1">
        <f>IF(Signals_EU!M60=1,Signals_EU!R60*Mapping!$C$19,IF(Signals_EU!M60=-1,-Signals_EU!S60*Mapping!$C$19,0))</f>
        <v>0</v>
      </c>
      <c r="T60" s="1">
        <f>IF(Signals_EU!L60=1,Signals_EU!R60*Mapping!$C$20,IF(Signals_EU!L60=-1,-Signals_EU!S60*Mapping!$C$20,0))</f>
        <v>-5.000000000000001E-2</v>
      </c>
      <c r="U60" s="1">
        <f t="shared" si="0"/>
        <v>0</v>
      </c>
    </row>
    <row r="61" spans="1:21">
      <c r="A61" s="5">
        <f>Signals_EU!B61</f>
        <v>40848</v>
      </c>
      <c r="B61" s="1">
        <f>IF(Signals_EU!O61=1,Signals_EU!R61*Mapping!$C$2,IF(Signals_EU!O61=-1,-Signals_EU!S61*Mapping!$C$2,0))</f>
        <v>0</v>
      </c>
      <c r="C61" s="1">
        <f>IF(Signals_EU!F61=1,Signals_EU!R61*Mapping!$C$3,IF(Signals_EU!F61=-1,-Signals_EU!S61*Mapping!$C$3,0))</f>
        <v>0</v>
      </c>
      <c r="D61" s="1">
        <f>IF(Signals_EU!C61=1,Signals_EU!R61*Mapping!$C$4,IF(Signals_EU!C61=-1,-Signals_EU!S61*Mapping!$C$4,0))</f>
        <v>1.6666666666666666E-2</v>
      </c>
      <c r="E61" s="1">
        <f>IF(Signals_EU!C61=1,Signals_EU!R61*Mapping!$C$5,IF(Signals_EU!C61=-1,-Signals_EU!S61*Mapping!$C$5,0))</f>
        <v>1.6666666666666666E-2</v>
      </c>
      <c r="F61" s="1">
        <f>IF(Signals_EU!H61=1,Signals_EU!R61*Mapping!$C$6,IF(Signals_EU!H61=-1,-Signals_EU!S61*Mapping!$C$6,0))</f>
        <v>0</v>
      </c>
      <c r="G61" s="1">
        <f>IF(Signals_EU!F61=1,Signals_EU!R61*Mapping!$C$7,IF(Signals_EU!F61=-1,-Signals_EU!S61*Mapping!$C$7,0))</f>
        <v>0</v>
      </c>
      <c r="H61" s="1">
        <f>IF(Signals_EU!D61=1,Signals_EU!R61*Mapping!$C$8,IF(Signals_EU!D61=-1,-Signals_EU!S61*Mapping!$C$8,0))</f>
        <v>3.3333333333333333E-2</v>
      </c>
      <c r="I61" s="1">
        <f>IF(Signals_EU!G61=1,Signals_EU!R61*Mapping!$C$9,IF(Signals_EU!G61=-1,-Signals_EU!S61*Mapping!$C$9,0))</f>
        <v>0</v>
      </c>
      <c r="J61" s="1">
        <f>IF(Signals_EU!H61=1,Signals_EU!R61*Mapping!$C$10,IF(Signals_EU!H61=-1,-Signals_EU!S61*Mapping!$C$10,0))</f>
        <v>0</v>
      </c>
      <c r="K61" s="1">
        <f>IF(Signals_EU!F61=1,Signals_EU!R61*Mapping!$C$11,IF(Signals_EU!F61=-1,-Signals_EU!S61*Mapping!$C$11,0))</f>
        <v>0</v>
      </c>
      <c r="L61" s="1">
        <f>IF(Signals_EU!N61=1,Signals_EU!R61*Mapping!$C$12,IF(Signals_EU!N61=-1,-Signals_EU!S61*Mapping!$C$12,0))</f>
        <v>0</v>
      </c>
      <c r="M61" s="1">
        <f>IF(Signals_EU!I61=1,Signals_EU!R61*Mapping!$C$13,IF(Signals_EU!I61=-1,-Signals_EU!S61*Mapping!$C$13,0))</f>
        <v>-0.05</v>
      </c>
      <c r="N61" s="1">
        <f>IF(Signals_EU!E61=1,Signals_EU!R61*Mapping!$C$14,IF(Signals_EU!E61=-1,-Signals_EU!S61*Mapping!$C$14,0))</f>
        <v>3.3333333333333333E-2</v>
      </c>
      <c r="O61" s="1">
        <f>0</f>
        <v>0</v>
      </c>
      <c r="P61" s="1">
        <f>0</f>
        <v>0</v>
      </c>
      <c r="Q61" s="1">
        <f>IF(Signals_EU!J61=1,Signals_EU!R61*Mapping!$C$17,IF(Signals_EU!J61=-1,-Signals_EU!S61*Mapping!$C$17,0))</f>
        <v>0</v>
      </c>
      <c r="R61" s="1">
        <f>IF(Signals_EU!K61=1,Signals_EU!R61*Mapping!$C$18,IF(Signals_EU!K61=-1,-Signals_EU!S61*Mapping!$C$18,0))</f>
        <v>0</v>
      </c>
      <c r="S61" s="1">
        <f>IF(Signals_EU!M61=1,Signals_EU!R61*Mapping!$C$19,IF(Signals_EU!M61=-1,-Signals_EU!S61*Mapping!$C$19,0))</f>
        <v>0</v>
      </c>
      <c r="T61" s="1">
        <f>IF(Signals_EU!L61=1,Signals_EU!R61*Mapping!$C$20,IF(Signals_EU!L61=-1,-Signals_EU!S61*Mapping!$C$20,0))</f>
        <v>-0.05</v>
      </c>
      <c r="U61" s="1">
        <f t="shared" si="0"/>
        <v>0</v>
      </c>
    </row>
    <row r="62" spans="1:21">
      <c r="A62" s="5">
        <f>Signals_EU!B62</f>
        <v>40878</v>
      </c>
      <c r="B62" s="1">
        <f>IF(Signals_EU!O62=1,Signals_EU!R62*Mapping!$C$2,IF(Signals_EU!O62=-1,-Signals_EU!S62*Mapping!$C$2,0))</f>
        <v>-5.000000000000001E-2</v>
      </c>
      <c r="C62" s="1">
        <f>IF(Signals_EU!F62=1,Signals_EU!R62*Mapping!$C$3,IF(Signals_EU!F62=-1,-Signals_EU!S62*Mapping!$C$3,0))</f>
        <v>0</v>
      </c>
      <c r="D62" s="1">
        <f>IF(Signals_EU!C62=1,Signals_EU!R62*Mapping!$C$4,IF(Signals_EU!C62=-1,-Signals_EU!S62*Mapping!$C$4,0))</f>
        <v>0</v>
      </c>
      <c r="E62" s="1">
        <f>IF(Signals_EU!C62=1,Signals_EU!R62*Mapping!$C$5,IF(Signals_EU!C62=-1,-Signals_EU!S62*Mapping!$C$5,0))</f>
        <v>0</v>
      </c>
      <c r="F62" s="1">
        <f>IF(Signals_EU!H62=1,Signals_EU!R62*Mapping!$C$6,IF(Signals_EU!H62=-1,-Signals_EU!S62*Mapping!$C$6,0))</f>
        <v>-1.0000000000000002E-2</v>
      </c>
      <c r="G62" s="1">
        <f>IF(Signals_EU!F62=1,Signals_EU!R62*Mapping!$C$7,IF(Signals_EU!F62=-1,-Signals_EU!S62*Mapping!$C$7,0))</f>
        <v>0</v>
      </c>
      <c r="H62" s="1">
        <f>IF(Signals_EU!D62=1,Signals_EU!R62*Mapping!$C$8,IF(Signals_EU!D62=-1,-Signals_EU!S62*Mapping!$C$8,0))</f>
        <v>5.000000000000001E-2</v>
      </c>
      <c r="I62" s="1">
        <f>IF(Signals_EU!G62=1,Signals_EU!R62*Mapping!$C$9,IF(Signals_EU!G62=-1,-Signals_EU!S62*Mapping!$C$9,0))</f>
        <v>0</v>
      </c>
      <c r="J62" s="1">
        <f>IF(Signals_EU!H62=1,Signals_EU!R62*Mapping!$C$10,IF(Signals_EU!H62=-1,-Signals_EU!S62*Mapping!$C$10,0))</f>
        <v>-4.0000000000000008E-2</v>
      </c>
      <c r="K62" s="1">
        <f>IF(Signals_EU!F62=1,Signals_EU!R62*Mapping!$C$11,IF(Signals_EU!F62=-1,-Signals_EU!S62*Mapping!$C$11,0))</f>
        <v>0</v>
      </c>
      <c r="L62" s="1">
        <f>IF(Signals_EU!N62=1,Signals_EU!R62*Mapping!$C$12,IF(Signals_EU!N62=-1,-Signals_EU!S62*Mapping!$C$12,0))</f>
        <v>5.000000000000001E-2</v>
      </c>
      <c r="M62" s="1">
        <f>IF(Signals_EU!I62=1,Signals_EU!R62*Mapping!$C$13,IF(Signals_EU!I62=-1,-Signals_EU!S62*Mapping!$C$13,0))</f>
        <v>-5.000000000000001E-2</v>
      </c>
      <c r="N62" s="1">
        <f>IF(Signals_EU!E62=1,Signals_EU!R62*Mapping!$C$14,IF(Signals_EU!E62=-1,-Signals_EU!S62*Mapping!$C$14,0))</f>
        <v>5.000000000000001E-2</v>
      </c>
      <c r="O62" s="1">
        <f>0</f>
        <v>0</v>
      </c>
      <c r="P62" s="1">
        <f>0</f>
        <v>0</v>
      </c>
      <c r="Q62" s="1">
        <f>IF(Signals_EU!J62=1,Signals_EU!R62*Mapping!$C$17,IF(Signals_EU!J62=-1,-Signals_EU!S62*Mapping!$C$17,0))</f>
        <v>0</v>
      </c>
      <c r="R62" s="1">
        <f>IF(Signals_EU!K62=1,Signals_EU!R62*Mapping!$C$18,IF(Signals_EU!K62=-1,-Signals_EU!S62*Mapping!$C$18,0))</f>
        <v>0</v>
      </c>
      <c r="S62" s="1">
        <f>IF(Signals_EU!M62=1,Signals_EU!R62*Mapping!$C$19,IF(Signals_EU!M62=-1,-Signals_EU!S62*Mapping!$C$19,0))</f>
        <v>0</v>
      </c>
      <c r="T62" s="1">
        <f>IF(Signals_EU!L62=1,Signals_EU!R62*Mapping!$C$20,IF(Signals_EU!L62=-1,-Signals_EU!S62*Mapping!$C$20,0))</f>
        <v>0</v>
      </c>
      <c r="U62" s="1">
        <f t="shared" si="0"/>
        <v>0</v>
      </c>
    </row>
    <row r="63" spans="1:21">
      <c r="A63" s="5">
        <f>Signals_EU!B63</f>
        <v>40909</v>
      </c>
      <c r="B63" s="1">
        <f>IF(Signals_EU!O63=1,Signals_EU!R63*Mapping!$C$2,IF(Signals_EU!O63=-1,-Signals_EU!S63*Mapping!$C$2,0))</f>
        <v>-5.000000000000001E-2</v>
      </c>
      <c r="C63" s="1">
        <f>IF(Signals_EU!F63=1,Signals_EU!R63*Mapping!$C$3,IF(Signals_EU!F63=-1,-Signals_EU!S63*Mapping!$C$3,0))</f>
        <v>0</v>
      </c>
      <c r="D63" s="1">
        <f>IF(Signals_EU!C63=1,Signals_EU!R63*Mapping!$C$4,IF(Signals_EU!C63=-1,-Signals_EU!S63*Mapping!$C$4,0))</f>
        <v>-2.5000000000000005E-2</v>
      </c>
      <c r="E63" s="1">
        <f>IF(Signals_EU!C63=1,Signals_EU!R63*Mapping!$C$5,IF(Signals_EU!C63=-1,-Signals_EU!S63*Mapping!$C$5,0))</f>
        <v>-2.5000000000000005E-2</v>
      </c>
      <c r="F63" s="1">
        <f>IF(Signals_EU!H63=1,Signals_EU!R63*Mapping!$C$6,IF(Signals_EU!H63=-1,-Signals_EU!S63*Mapping!$C$6,0))</f>
        <v>-1.0000000000000002E-2</v>
      </c>
      <c r="G63" s="1">
        <f>IF(Signals_EU!F63=1,Signals_EU!R63*Mapping!$C$7,IF(Signals_EU!F63=-1,-Signals_EU!S63*Mapping!$C$7,0))</f>
        <v>0</v>
      </c>
      <c r="H63" s="1">
        <f>IF(Signals_EU!D63=1,Signals_EU!R63*Mapping!$C$8,IF(Signals_EU!D63=-1,-Signals_EU!S63*Mapping!$C$8,0))</f>
        <v>0</v>
      </c>
      <c r="I63" s="1">
        <f>IF(Signals_EU!G63=1,Signals_EU!R63*Mapping!$C$9,IF(Signals_EU!G63=-1,-Signals_EU!S63*Mapping!$C$9,0))</f>
        <v>0</v>
      </c>
      <c r="J63" s="1">
        <f>IF(Signals_EU!H63=1,Signals_EU!R63*Mapping!$C$10,IF(Signals_EU!H63=-1,-Signals_EU!S63*Mapping!$C$10,0))</f>
        <v>-4.0000000000000008E-2</v>
      </c>
      <c r="K63" s="1">
        <f>IF(Signals_EU!F63=1,Signals_EU!R63*Mapping!$C$11,IF(Signals_EU!F63=-1,-Signals_EU!S63*Mapping!$C$11,0))</f>
        <v>0</v>
      </c>
      <c r="L63" s="1">
        <f>IF(Signals_EU!N63=1,Signals_EU!R63*Mapping!$C$12,IF(Signals_EU!N63=-1,-Signals_EU!S63*Mapping!$C$12,0))</f>
        <v>5.000000000000001E-2</v>
      </c>
      <c r="M63" s="1">
        <f>IF(Signals_EU!I63=1,Signals_EU!R63*Mapping!$C$13,IF(Signals_EU!I63=-1,-Signals_EU!S63*Mapping!$C$13,0))</f>
        <v>0</v>
      </c>
      <c r="N63" s="1">
        <f>IF(Signals_EU!E63=1,Signals_EU!R63*Mapping!$C$14,IF(Signals_EU!E63=-1,-Signals_EU!S63*Mapping!$C$14,0))</f>
        <v>5.000000000000001E-2</v>
      </c>
      <c r="O63" s="1">
        <f>0</f>
        <v>0</v>
      </c>
      <c r="P63" s="1">
        <f>0</f>
        <v>0</v>
      </c>
      <c r="Q63" s="1">
        <f>IF(Signals_EU!J63=1,Signals_EU!R63*Mapping!$C$17,IF(Signals_EU!J63=-1,-Signals_EU!S63*Mapping!$C$17,0))</f>
        <v>0</v>
      </c>
      <c r="R63" s="1">
        <f>IF(Signals_EU!K63=1,Signals_EU!R63*Mapping!$C$18,IF(Signals_EU!K63=-1,-Signals_EU!S63*Mapping!$C$18,0))</f>
        <v>0</v>
      </c>
      <c r="S63" s="1">
        <f>IF(Signals_EU!M63=1,Signals_EU!R63*Mapping!$C$19,IF(Signals_EU!M63=-1,-Signals_EU!S63*Mapping!$C$19,0))</f>
        <v>0</v>
      </c>
      <c r="T63" s="1">
        <f>IF(Signals_EU!L63=1,Signals_EU!R63*Mapping!$C$20,IF(Signals_EU!L63=-1,-Signals_EU!S63*Mapping!$C$20,0))</f>
        <v>5.000000000000001E-2</v>
      </c>
      <c r="U63" s="1">
        <f t="shared" si="0"/>
        <v>0</v>
      </c>
    </row>
    <row r="64" spans="1:21">
      <c r="A64" s="5">
        <f>Signals_EU!B64</f>
        <v>40940</v>
      </c>
      <c r="B64" s="1">
        <f>IF(Signals_EU!O64=1,Signals_EU!R64*Mapping!$C$2,IF(Signals_EU!O64=-1,-Signals_EU!S64*Mapping!$C$2,0))</f>
        <v>-5.000000000000001E-2</v>
      </c>
      <c r="C64" s="1">
        <f>IF(Signals_EU!F64=1,Signals_EU!R64*Mapping!$C$3,IF(Signals_EU!F64=-1,-Signals_EU!S64*Mapping!$C$3,0))</f>
        <v>-3.0000000000000006E-2</v>
      </c>
      <c r="D64" s="1">
        <f>IF(Signals_EU!C64=1,Signals_EU!R64*Mapping!$C$4,IF(Signals_EU!C64=-1,-Signals_EU!S64*Mapping!$C$4,0))</f>
        <v>-2.5000000000000005E-2</v>
      </c>
      <c r="E64" s="1">
        <f>IF(Signals_EU!C64=1,Signals_EU!R64*Mapping!$C$5,IF(Signals_EU!C64=-1,-Signals_EU!S64*Mapping!$C$5,0))</f>
        <v>-2.5000000000000005E-2</v>
      </c>
      <c r="F64" s="1">
        <f>IF(Signals_EU!H64=1,Signals_EU!R64*Mapping!$C$6,IF(Signals_EU!H64=-1,-Signals_EU!S64*Mapping!$C$6,0))</f>
        <v>0</v>
      </c>
      <c r="G64" s="1">
        <f>IF(Signals_EU!F64=1,Signals_EU!R64*Mapping!$C$7,IF(Signals_EU!F64=-1,-Signals_EU!S64*Mapping!$C$7,0))</f>
        <v>-1.0000000000000002E-2</v>
      </c>
      <c r="H64" s="1">
        <f>IF(Signals_EU!D64=1,Signals_EU!R64*Mapping!$C$8,IF(Signals_EU!D64=-1,-Signals_EU!S64*Mapping!$C$8,0))</f>
        <v>5.000000000000001E-2</v>
      </c>
      <c r="I64" s="1">
        <f>IF(Signals_EU!G64=1,Signals_EU!R64*Mapping!$C$9,IF(Signals_EU!G64=-1,-Signals_EU!S64*Mapping!$C$9,0))</f>
        <v>0</v>
      </c>
      <c r="J64" s="1">
        <f>IF(Signals_EU!H64=1,Signals_EU!R64*Mapping!$C$10,IF(Signals_EU!H64=-1,-Signals_EU!S64*Mapping!$C$10,0))</f>
        <v>0</v>
      </c>
      <c r="K64" s="1">
        <f>IF(Signals_EU!F64=1,Signals_EU!R64*Mapping!$C$11,IF(Signals_EU!F64=-1,-Signals_EU!S64*Mapping!$C$11,0))</f>
        <v>-1.0000000000000002E-2</v>
      </c>
      <c r="L64" s="1">
        <f>IF(Signals_EU!N64=1,Signals_EU!R64*Mapping!$C$12,IF(Signals_EU!N64=-1,-Signals_EU!S64*Mapping!$C$12,0))</f>
        <v>5.000000000000001E-2</v>
      </c>
      <c r="M64" s="1">
        <f>IF(Signals_EU!I64=1,Signals_EU!R64*Mapping!$C$13,IF(Signals_EU!I64=-1,-Signals_EU!S64*Mapping!$C$13,0))</f>
        <v>0</v>
      </c>
      <c r="N64" s="1">
        <f>IF(Signals_EU!E64=1,Signals_EU!R64*Mapping!$C$14,IF(Signals_EU!E64=-1,-Signals_EU!S64*Mapping!$C$14,0))</f>
        <v>5.000000000000001E-2</v>
      </c>
      <c r="O64" s="1">
        <f>0</f>
        <v>0</v>
      </c>
      <c r="P64" s="1">
        <f>0</f>
        <v>0</v>
      </c>
      <c r="Q64" s="1">
        <f>IF(Signals_EU!J64=1,Signals_EU!R64*Mapping!$C$17,IF(Signals_EU!J64=-1,-Signals_EU!S64*Mapping!$C$17,0))</f>
        <v>0</v>
      </c>
      <c r="R64" s="1">
        <f>IF(Signals_EU!K64=1,Signals_EU!R64*Mapping!$C$18,IF(Signals_EU!K64=-1,-Signals_EU!S64*Mapping!$C$18,0))</f>
        <v>0</v>
      </c>
      <c r="S64" s="1">
        <f>IF(Signals_EU!M64=1,Signals_EU!R64*Mapping!$C$19,IF(Signals_EU!M64=-1,-Signals_EU!S64*Mapping!$C$19,0))</f>
        <v>0</v>
      </c>
      <c r="T64" s="1">
        <f>IF(Signals_EU!L64=1,Signals_EU!R64*Mapping!$C$20,IF(Signals_EU!L64=-1,-Signals_EU!S64*Mapping!$C$20,0))</f>
        <v>0</v>
      </c>
      <c r="U64" s="1">
        <f t="shared" si="0"/>
        <v>0</v>
      </c>
    </row>
    <row r="65" spans="1:21">
      <c r="A65" s="5">
        <f>Signals_EU!B65</f>
        <v>40969</v>
      </c>
      <c r="B65" s="1">
        <f>IF(Signals_EU!O65=1,Signals_EU!R65*Mapping!$C$2,IF(Signals_EU!O65=-1,-Signals_EU!S65*Mapping!$C$2,0))</f>
        <v>0</v>
      </c>
      <c r="C65" s="1">
        <f>IF(Signals_EU!F65=1,Signals_EU!R65*Mapping!$C$3,IF(Signals_EU!F65=-1,-Signals_EU!S65*Mapping!$C$3,0))</f>
        <v>-3.0000000000000006E-2</v>
      </c>
      <c r="D65" s="1">
        <f>IF(Signals_EU!C65=1,Signals_EU!R65*Mapping!$C$4,IF(Signals_EU!C65=-1,-Signals_EU!S65*Mapping!$C$4,0))</f>
        <v>-2.5000000000000005E-2</v>
      </c>
      <c r="E65" s="1">
        <f>IF(Signals_EU!C65=1,Signals_EU!R65*Mapping!$C$5,IF(Signals_EU!C65=-1,-Signals_EU!S65*Mapping!$C$5,0))</f>
        <v>-2.5000000000000005E-2</v>
      </c>
      <c r="F65" s="1">
        <f>IF(Signals_EU!H65=1,Signals_EU!R65*Mapping!$C$6,IF(Signals_EU!H65=-1,-Signals_EU!S65*Mapping!$C$6,0))</f>
        <v>0</v>
      </c>
      <c r="G65" s="1">
        <f>IF(Signals_EU!F65=1,Signals_EU!R65*Mapping!$C$7,IF(Signals_EU!F65=-1,-Signals_EU!S65*Mapping!$C$7,0))</f>
        <v>-1.0000000000000002E-2</v>
      </c>
      <c r="H65" s="1">
        <f>IF(Signals_EU!D65=1,Signals_EU!R65*Mapping!$C$8,IF(Signals_EU!D65=-1,-Signals_EU!S65*Mapping!$C$8,0))</f>
        <v>5.000000000000001E-2</v>
      </c>
      <c r="I65" s="1">
        <f>IF(Signals_EU!G65=1,Signals_EU!R65*Mapping!$C$9,IF(Signals_EU!G65=-1,-Signals_EU!S65*Mapping!$C$9,0))</f>
        <v>5.000000000000001E-2</v>
      </c>
      <c r="J65" s="1">
        <f>IF(Signals_EU!H65=1,Signals_EU!R65*Mapping!$C$10,IF(Signals_EU!H65=-1,-Signals_EU!S65*Mapping!$C$10,0))</f>
        <v>0</v>
      </c>
      <c r="K65" s="1">
        <f>IF(Signals_EU!F65=1,Signals_EU!R65*Mapping!$C$11,IF(Signals_EU!F65=-1,-Signals_EU!S65*Mapping!$C$11,0))</f>
        <v>-1.0000000000000002E-2</v>
      </c>
      <c r="L65" s="1">
        <f>IF(Signals_EU!N65=1,Signals_EU!R65*Mapping!$C$12,IF(Signals_EU!N65=-1,-Signals_EU!S65*Mapping!$C$12,0))</f>
        <v>5.000000000000001E-2</v>
      </c>
      <c r="M65" s="1">
        <f>IF(Signals_EU!I65=1,Signals_EU!R65*Mapping!$C$13,IF(Signals_EU!I65=-1,-Signals_EU!S65*Mapping!$C$13,0))</f>
        <v>0</v>
      </c>
      <c r="N65" s="1">
        <f>IF(Signals_EU!E65=1,Signals_EU!R65*Mapping!$C$14,IF(Signals_EU!E65=-1,-Signals_EU!S65*Mapping!$C$14,0))</f>
        <v>0</v>
      </c>
      <c r="O65" s="1">
        <f>0</f>
        <v>0</v>
      </c>
      <c r="P65" s="1">
        <f>0</f>
        <v>0</v>
      </c>
      <c r="Q65" s="1">
        <f>IF(Signals_EU!J65=1,Signals_EU!R65*Mapping!$C$17,IF(Signals_EU!J65=-1,-Signals_EU!S65*Mapping!$C$17,0))</f>
        <v>0</v>
      </c>
      <c r="R65" s="1">
        <f>IF(Signals_EU!K65=1,Signals_EU!R65*Mapping!$C$18,IF(Signals_EU!K65=-1,-Signals_EU!S65*Mapping!$C$18,0))</f>
        <v>-5.000000000000001E-2</v>
      </c>
      <c r="S65" s="1">
        <f>IF(Signals_EU!M65=1,Signals_EU!R65*Mapping!$C$19,IF(Signals_EU!M65=-1,-Signals_EU!S65*Mapping!$C$19,0))</f>
        <v>0</v>
      </c>
      <c r="T65" s="1">
        <f>IF(Signals_EU!L65=1,Signals_EU!R65*Mapping!$C$20,IF(Signals_EU!L65=-1,-Signals_EU!S65*Mapping!$C$20,0))</f>
        <v>0</v>
      </c>
      <c r="U65" s="1">
        <f t="shared" si="0"/>
        <v>0</v>
      </c>
    </row>
    <row r="66" spans="1:21">
      <c r="A66" s="5">
        <f>Signals_EU!B66</f>
        <v>41000</v>
      </c>
      <c r="B66" s="1">
        <f>IF(Signals_EU!O66=1,Signals_EU!R66*Mapping!$C$2,IF(Signals_EU!O66=-1,-Signals_EU!S66*Mapping!$C$2,0))</f>
        <v>5.000000000000001E-2</v>
      </c>
      <c r="C66" s="1">
        <f>IF(Signals_EU!F66=1,Signals_EU!R66*Mapping!$C$3,IF(Signals_EU!F66=-1,-Signals_EU!S66*Mapping!$C$3,0))</f>
        <v>0</v>
      </c>
      <c r="D66" s="1">
        <f>IF(Signals_EU!C66=1,Signals_EU!R66*Mapping!$C$4,IF(Signals_EU!C66=-1,-Signals_EU!S66*Mapping!$C$4,0))</f>
        <v>-2.5000000000000005E-2</v>
      </c>
      <c r="E66" s="1">
        <f>IF(Signals_EU!C66=1,Signals_EU!R66*Mapping!$C$5,IF(Signals_EU!C66=-1,-Signals_EU!S66*Mapping!$C$5,0))</f>
        <v>-2.5000000000000005E-2</v>
      </c>
      <c r="F66" s="1">
        <f>IF(Signals_EU!H66=1,Signals_EU!R66*Mapping!$C$6,IF(Signals_EU!H66=-1,-Signals_EU!S66*Mapping!$C$6,0))</f>
        <v>0</v>
      </c>
      <c r="G66" s="1">
        <f>IF(Signals_EU!F66=1,Signals_EU!R66*Mapping!$C$7,IF(Signals_EU!F66=-1,-Signals_EU!S66*Mapping!$C$7,0))</f>
        <v>0</v>
      </c>
      <c r="H66" s="1">
        <f>IF(Signals_EU!D66=1,Signals_EU!R66*Mapping!$C$8,IF(Signals_EU!D66=-1,-Signals_EU!S66*Mapping!$C$8,0))</f>
        <v>5.000000000000001E-2</v>
      </c>
      <c r="I66" s="1">
        <f>IF(Signals_EU!G66=1,Signals_EU!R66*Mapping!$C$9,IF(Signals_EU!G66=-1,-Signals_EU!S66*Mapping!$C$9,0))</f>
        <v>0</v>
      </c>
      <c r="J66" s="1">
        <f>IF(Signals_EU!H66=1,Signals_EU!R66*Mapping!$C$10,IF(Signals_EU!H66=-1,-Signals_EU!S66*Mapping!$C$10,0))</f>
        <v>0</v>
      </c>
      <c r="K66" s="1">
        <f>IF(Signals_EU!F66=1,Signals_EU!R66*Mapping!$C$11,IF(Signals_EU!F66=-1,-Signals_EU!S66*Mapping!$C$11,0))</f>
        <v>0</v>
      </c>
      <c r="L66" s="1">
        <f>IF(Signals_EU!N66=1,Signals_EU!R66*Mapping!$C$12,IF(Signals_EU!N66=-1,-Signals_EU!S66*Mapping!$C$12,0))</f>
        <v>0</v>
      </c>
      <c r="M66" s="1">
        <f>IF(Signals_EU!I66=1,Signals_EU!R66*Mapping!$C$13,IF(Signals_EU!I66=-1,-Signals_EU!S66*Mapping!$C$13,0))</f>
        <v>0</v>
      </c>
      <c r="N66" s="1">
        <f>IF(Signals_EU!E66=1,Signals_EU!R66*Mapping!$C$14,IF(Signals_EU!E66=-1,-Signals_EU!S66*Mapping!$C$14,0))</f>
        <v>5.000000000000001E-2</v>
      </c>
      <c r="O66" s="1">
        <f>0</f>
        <v>0</v>
      </c>
      <c r="P66" s="1">
        <f>0</f>
        <v>0</v>
      </c>
      <c r="Q66" s="1">
        <f>IF(Signals_EU!J66=1,Signals_EU!R66*Mapping!$C$17,IF(Signals_EU!J66=-1,-Signals_EU!S66*Mapping!$C$17,0))</f>
        <v>-5.000000000000001E-2</v>
      </c>
      <c r="R66" s="1">
        <f>IF(Signals_EU!K66=1,Signals_EU!R66*Mapping!$C$18,IF(Signals_EU!K66=-1,-Signals_EU!S66*Mapping!$C$18,0))</f>
        <v>0</v>
      </c>
      <c r="S66" s="1">
        <f>IF(Signals_EU!M66=1,Signals_EU!R66*Mapping!$C$19,IF(Signals_EU!M66=-1,-Signals_EU!S66*Mapping!$C$19,0))</f>
        <v>0</v>
      </c>
      <c r="T66" s="1">
        <f>IF(Signals_EU!L66=1,Signals_EU!R66*Mapping!$C$20,IF(Signals_EU!L66=-1,-Signals_EU!S66*Mapping!$C$20,0))</f>
        <v>-5.000000000000001E-2</v>
      </c>
      <c r="U66" s="1">
        <f t="shared" si="0"/>
        <v>0</v>
      </c>
    </row>
    <row r="67" spans="1:21">
      <c r="A67" s="5">
        <f>Signals_EU!B67</f>
        <v>41030</v>
      </c>
      <c r="B67" s="1">
        <f>IF(Signals_EU!O67=1,Signals_EU!R67*Mapping!$C$2,IF(Signals_EU!O67=-1,-Signals_EU!S67*Mapping!$C$2,0))</f>
        <v>0</v>
      </c>
      <c r="C67" s="1">
        <f>IF(Signals_EU!F67=1,Signals_EU!R67*Mapping!$C$3,IF(Signals_EU!F67=-1,-Signals_EU!S67*Mapping!$C$3,0))</f>
        <v>0</v>
      </c>
      <c r="D67" s="1">
        <f>IF(Signals_EU!C67=1,Signals_EU!R67*Mapping!$C$4,IF(Signals_EU!C67=-1,-Signals_EU!S67*Mapping!$C$4,0))</f>
        <v>-2.5000000000000005E-2</v>
      </c>
      <c r="E67" s="1">
        <f>IF(Signals_EU!C67=1,Signals_EU!R67*Mapping!$C$5,IF(Signals_EU!C67=-1,-Signals_EU!S67*Mapping!$C$5,0))</f>
        <v>-2.5000000000000005E-2</v>
      </c>
      <c r="F67" s="1">
        <f>IF(Signals_EU!H67=1,Signals_EU!R67*Mapping!$C$6,IF(Signals_EU!H67=-1,-Signals_EU!S67*Mapping!$C$6,0))</f>
        <v>0</v>
      </c>
      <c r="G67" s="1">
        <f>IF(Signals_EU!F67=1,Signals_EU!R67*Mapping!$C$7,IF(Signals_EU!F67=-1,-Signals_EU!S67*Mapping!$C$7,0))</f>
        <v>0</v>
      </c>
      <c r="H67" s="1">
        <f>IF(Signals_EU!D67=1,Signals_EU!R67*Mapping!$C$8,IF(Signals_EU!D67=-1,-Signals_EU!S67*Mapping!$C$8,0))</f>
        <v>5.000000000000001E-2</v>
      </c>
      <c r="I67" s="1">
        <f>IF(Signals_EU!G67=1,Signals_EU!R67*Mapping!$C$9,IF(Signals_EU!G67=-1,-Signals_EU!S67*Mapping!$C$9,0))</f>
        <v>0</v>
      </c>
      <c r="J67" s="1">
        <f>IF(Signals_EU!H67=1,Signals_EU!R67*Mapping!$C$10,IF(Signals_EU!H67=-1,-Signals_EU!S67*Mapping!$C$10,0))</f>
        <v>0</v>
      </c>
      <c r="K67" s="1">
        <f>IF(Signals_EU!F67=1,Signals_EU!R67*Mapping!$C$11,IF(Signals_EU!F67=-1,-Signals_EU!S67*Mapping!$C$11,0))</f>
        <v>0</v>
      </c>
      <c r="L67" s="1">
        <f>IF(Signals_EU!N67=1,Signals_EU!R67*Mapping!$C$12,IF(Signals_EU!N67=-1,-Signals_EU!S67*Mapping!$C$12,0))</f>
        <v>5.000000000000001E-2</v>
      </c>
      <c r="M67" s="1">
        <f>IF(Signals_EU!I67=1,Signals_EU!R67*Mapping!$C$13,IF(Signals_EU!I67=-1,-Signals_EU!S67*Mapping!$C$13,0))</f>
        <v>0</v>
      </c>
      <c r="N67" s="1">
        <f>IF(Signals_EU!E67=1,Signals_EU!R67*Mapping!$C$14,IF(Signals_EU!E67=-1,-Signals_EU!S67*Mapping!$C$14,0))</f>
        <v>5.000000000000001E-2</v>
      </c>
      <c r="O67" s="1">
        <f>0</f>
        <v>0</v>
      </c>
      <c r="P67" s="1">
        <f>0</f>
        <v>0</v>
      </c>
      <c r="Q67" s="1">
        <f>IF(Signals_EU!J67=1,Signals_EU!R67*Mapping!$C$17,IF(Signals_EU!J67=-1,-Signals_EU!S67*Mapping!$C$17,0))</f>
        <v>-5.000000000000001E-2</v>
      </c>
      <c r="R67" s="1">
        <f>IF(Signals_EU!K67=1,Signals_EU!R67*Mapping!$C$18,IF(Signals_EU!K67=-1,-Signals_EU!S67*Mapping!$C$18,0))</f>
        <v>-5.000000000000001E-2</v>
      </c>
      <c r="S67" s="1">
        <f>IF(Signals_EU!M67=1,Signals_EU!R67*Mapping!$C$19,IF(Signals_EU!M67=-1,-Signals_EU!S67*Mapping!$C$19,0))</f>
        <v>0</v>
      </c>
      <c r="T67" s="1">
        <f>IF(Signals_EU!L67=1,Signals_EU!R67*Mapping!$C$20,IF(Signals_EU!L67=-1,-Signals_EU!S67*Mapping!$C$20,0))</f>
        <v>0</v>
      </c>
      <c r="U67" s="1">
        <f t="shared" ref="U67:U130" si="1">ROUND(SUM(B67:T67),12)</f>
        <v>0</v>
      </c>
    </row>
    <row r="68" spans="1:21">
      <c r="A68" s="5">
        <f>Signals_EU!B68</f>
        <v>41061</v>
      </c>
      <c r="B68" s="1">
        <f>IF(Signals_EU!O68=1,Signals_EU!R68*Mapping!$C$2,IF(Signals_EU!O68=-1,-Signals_EU!S68*Mapping!$C$2,0))</f>
        <v>0</v>
      </c>
      <c r="C68" s="1">
        <f>IF(Signals_EU!F68=1,Signals_EU!R68*Mapping!$C$3,IF(Signals_EU!F68=-1,-Signals_EU!S68*Mapping!$C$3,0))</f>
        <v>0</v>
      </c>
      <c r="D68" s="1">
        <f>IF(Signals_EU!C68=1,Signals_EU!R68*Mapping!$C$4,IF(Signals_EU!C68=-1,-Signals_EU!S68*Mapping!$C$4,0))</f>
        <v>-2.5000000000000005E-2</v>
      </c>
      <c r="E68" s="1">
        <f>IF(Signals_EU!C68=1,Signals_EU!R68*Mapping!$C$5,IF(Signals_EU!C68=-1,-Signals_EU!S68*Mapping!$C$5,0))</f>
        <v>-2.5000000000000005E-2</v>
      </c>
      <c r="F68" s="1">
        <f>IF(Signals_EU!H68=1,Signals_EU!R68*Mapping!$C$6,IF(Signals_EU!H68=-1,-Signals_EU!S68*Mapping!$C$6,0))</f>
        <v>0</v>
      </c>
      <c r="G68" s="1">
        <f>IF(Signals_EU!F68=1,Signals_EU!R68*Mapping!$C$7,IF(Signals_EU!F68=-1,-Signals_EU!S68*Mapping!$C$7,0))</f>
        <v>0</v>
      </c>
      <c r="H68" s="1">
        <f>IF(Signals_EU!D68=1,Signals_EU!R68*Mapping!$C$8,IF(Signals_EU!D68=-1,-Signals_EU!S68*Mapping!$C$8,0))</f>
        <v>5.000000000000001E-2</v>
      </c>
      <c r="I68" s="1">
        <f>IF(Signals_EU!G68=1,Signals_EU!R68*Mapping!$C$9,IF(Signals_EU!G68=-1,-Signals_EU!S68*Mapping!$C$9,0))</f>
        <v>0</v>
      </c>
      <c r="J68" s="1">
        <f>IF(Signals_EU!H68=1,Signals_EU!R68*Mapping!$C$10,IF(Signals_EU!H68=-1,-Signals_EU!S68*Mapping!$C$10,0))</f>
        <v>0</v>
      </c>
      <c r="K68" s="1">
        <f>IF(Signals_EU!F68=1,Signals_EU!R68*Mapping!$C$11,IF(Signals_EU!F68=-1,-Signals_EU!S68*Mapping!$C$11,0))</f>
        <v>0</v>
      </c>
      <c r="L68" s="1">
        <f>IF(Signals_EU!N68=1,Signals_EU!R68*Mapping!$C$12,IF(Signals_EU!N68=-1,-Signals_EU!S68*Mapping!$C$12,0))</f>
        <v>5.000000000000001E-2</v>
      </c>
      <c r="M68" s="1">
        <f>IF(Signals_EU!I68=1,Signals_EU!R68*Mapping!$C$13,IF(Signals_EU!I68=-1,-Signals_EU!S68*Mapping!$C$13,0))</f>
        <v>0</v>
      </c>
      <c r="N68" s="1">
        <f>IF(Signals_EU!E68=1,Signals_EU!R68*Mapping!$C$14,IF(Signals_EU!E68=-1,-Signals_EU!S68*Mapping!$C$14,0))</f>
        <v>5.000000000000001E-2</v>
      </c>
      <c r="O68" s="1">
        <f>0</f>
        <v>0</v>
      </c>
      <c r="P68" s="1">
        <f>0</f>
        <v>0</v>
      </c>
      <c r="Q68" s="1">
        <f>IF(Signals_EU!J68=1,Signals_EU!R68*Mapping!$C$17,IF(Signals_EU!J68=-1,-Signals_EU!S68*Mapping!$C$17,0))</f>
        <v>0</v>
      </c>
      <c r="R68" s="1">
        <f>IF(Signals_EU!K68=1,Signals_EU!R68*Mapping!$C$18,IF(Signals_EU!K68=-1,-Signals_EU!S68*Mapping!$C$18,0))</f>
        <v>-5.000000000000001E-2</v>
      </c>
      <c r="S68" s="1">
        <f>IF(Signals_EU!M68=1,Signals_EU!R68*Mapping!$C$19,IF(Signals_EU!M68=-1,-Signals_EU!S68*Mapping!$C$19,0))</f>
        <v>0</v>
      </c>
      <c r="T68" s="1">
        <f>IF(Signals_EU!L68=1,Signals_EU!R68*Mapping!$C$20,IF(Signals_EU!L68=-1,-Signals_EU!S68*Mapping!$C$20,0))</f>
        <v>-5.000000000000001E-2</v>
      </c>
      <c r="U68" s="1">
        <f t="shared" si="1"/>
        <v>0</v>
      </c>
    </row>
    <row r="69" spans="1:21">
      <c r="A69" s="5">
        <f>Signals_EU!B69</f>
        <v>41091</v>
      </c>
      <c r="B69" s="1">
        <f>IF(Signals_EU!O69=1,Signals_EU!R69*Mapping!$C$2,IF(Signals_EU!O69=-1,-Signals_EU!S69*Mapping!$C$2,0))</f>
        <v>0</v>
      </c>
      <c r="C69" s="1">
        <f>IF(Signals_EU!F69=1,Signals_EU!R69*Mapping!$C$3,IF(Signals_EU!F69=-1,-Signals_EU!S69*Mapping!$C$3,0))</f>
        <v>-3.0000000000000006E-2</v>
      </c>
      <c r="D69" s="1">
        <f>IF(Signals_EU!C69=1,Signals_EU!R69*Mapping!$C$4,IF(Signals_EU!C69=-1,-Signals_EU!S69*Mapping!$C$4,0))</f>
        <v>-2.5000000000000005E-2</v>
      </c>
      <c r="E69" s="1">
        <f>IF(Signals_EU!C69=1,Signals_EU!R69*Mapping!$C$5,IF(Signals_EU!C69=-1,-Signals_EU!S69*Mapping!$C$5,0))</f>
        <v>-2.5000000000000005E-2</v>
      </c>
      <c r="F69" s="1">
        <f>IF(Signals_EU!H69=1,Signals_EU!R69*Mapping!$C$6,IF(Signals_EU!H69=-1,-Signals_EU!S69*Mapping!$C$6,0))</f>
        <v>1.0000000000000002E-2</v>
      </c>
      <c r="G69" s="1">
        <f>IF(Signals_EU!F69=1,Signals_EU!R69*Mapping!$C$7,IF(Signals_EU!F69=-1,-Signals_EU!S69*Mapping!$C$7,0))</f>
        <v>-1.0000000000000002E-2</v>
      </c>
      <c r="H69" s="1">
        <f>IF(Signals_EU!D69=1,Signals_EU!R69*Mapping!$C$8,IF(Signals_EU!D69=-1,-Signals_EU!S69*Mapping!$C$8,0))</f>
        <v>5.000000000000001E-2</v>
      </c>
      <c r="I69" s="1">
        <f>IF(Signals_EU!G69=1,Signals_EU!R69*Mapping!$C$9,IF(Signals_EU!G69=-1,-Signals_EU!S69*Mapping!$C$9,0))</f>
        <v>0</v>
      </c>
      <c r="J69" s="1">
        <f>IF(Signals_EU!H69=1,Signals_EU!R69*Mapping!$C$10,IF(Signals_EU!H69=-1,-Signals_EU!S69*Mapping!$C$10,0))</f>
        <v>4.0000000000000008E-2</v>
      </c>
      <c r="K69" s="1">
        <f>IF(Signals_EU!F69=1,Signals_EU!R69*Mapping!$C$11,IF(Signals_EU!F69=-1,-Signals_EU!S69*Mapping!$C$11,0))</f>
        <v>-1.0000000000000002E-2</v>
      </c>
      <c r="L69" s="1">
        <f>IF(Signals_EU!N69=1,Signals_EU!R69*Mapping!$C$12,IF(Signals_EU!N69=-1,-Signals_EU!S69*Mapping!$C$12,0))</f>
        <v>0</v>
      </c>
      <c r="M69" s="1">
        <f>IF(Signals_EU!I69=1,Signals_EU!R69*Mapping!$C$13,IF(Signals_EU!I69=-1,-Signals_EU!S69*Mapping!$C$13,0))</f>
        <v>0</v>
      </c>
      <c r="N69" s="1">
        <f>IF(Signals_EU!E69=1,Signals_EU!R69*Mapping!$C$14,IF(Signals_EU!E69=-1,-Signals_EU!S69*Mapping!$C$14,0))</f>
        <v>5.000000000000001E-2</v>
      </c>
      <c r="O69" s="1">
        <f>0</f>
        <v>0</v>
      </c>
      <c r="P69" s="1">
        <f>0</f>
        <v>0</v>
      </c>
      <c r="Q69" s="1">
        <f>IF(Signals_EU!J69=1,Signals_EU!R69*Mapping!$C$17,IF(Signals_EU!J69=-1,-Signals_EU!S69*Mapping!$C$17,0))</f>
        <v>0</v>
      </c>
      <c r="R69" s="1">
        <f>IF(Signals_EU!K69=1,Signals_EU!R69*Mapping!$C$18,IF(Signals_EU!K69=-1,-Signals_EU!S69*Mapping!$C$18,0))</f>
        <v>0</v>
      </c>
      <c r="S69" s="1">
        <f>IF(Signals_EU!M69=1,Signals_EU!R69*Mapping!$C$19,IF(Signals_EU!M69=-1,-Signals_EU!S69*Mapping!$C$19,0))</f>
        <v>0</v>
      </c>
      <c r="T69" s="1">
        <f>IF(Signals_EU!L69=1,Signals_EU!R69*Mapping!$C$20,IF(Signals_EU!L69=-1,-Signals_EU!S69*Mapping!$C$20,0))</f>
        <v>-5.000000000000001E-2</v>
      </c>
      <c r="U69" s="1">
        <f t="shared" si="1"/>
        <v>0</v>
      </c>
    </row>
    <row r="70" spans="1:21">
      <c r="A70" s="5">
        <f>Signals_EU!B70</f>
        <v>41122</v>
      </c>
      <c r="B70" s="1">
        <f>IF(Signals_EU!O70=1,Signals_EU!R70*Mapping!$C$2,IF(Signals_EU!O70=-1,-Signals_EU!S70*Mapping!$C$2,0))</f>
        <v>0</v>
      </c>
      <c r="C70" s="1">
        <f>IF(Signals_EU!F70=1,Signals_EU!R70*Mapping!$C$3,IF(Signals_EU!F70=-1,-Signals_EU!S70*Mapping!$C$3,0))</f>
        <v>0</v>
      </c>
      <c r="D70" s="1">
        <f>IF(Signals_EU!C70=1,Signals_EU!R70*Mapping!$C$4,IF(Signals_EU!C70=-1,-Signals_EU!S70*Mapping!$C$4,0))</f>
        <v>-2.5000000000000005E-2</v>
      </c>
      <c r="E70" s="1">
        <f>IF(Signals_EU!C70=1,Signals_EU!R70*Mapping!$C$5,IF(Signals_EU!C70=-1,-Signals_EU!S70*Mapping!$C$5,0))</f>
        <v>-2.5000000000000005E-2</v>
      </c>
      <c r="F70" s="1">
        <f>IF(Signals_EU!H70=1,Signals_EU!R70*Mapping!$C$6,IF(Signals_EU!H70=-1,-Signals_EU!S70*Mapping!$C$6,0))</f>
        <v>0</v>
      </c>
      <c r="G70" s="1">
        <f>IF(Signals_EU!F70=1,Signals_EU!R70*Mapping!$C$7,IF(Signals_EU!F70=-1,-Signals_EU!S70*Mapping!$C$7,0))</f>
        <v>0</v>
      </c>
      <c r="H70" s="1">
        <f>IF(Signals_EU!D70=1,Signals_EU!R70*Mapping!$C$8,IF(Signals_EU!D70=-1,-Signals_EU!S70*Mapping!$C$8,0))</f>
        <v>5.000000000000001E-2</v>
      </c>
      <c r="I70" s="1">
        <f>IF(Signals_EU!G70=1,Signals_EU!R70*Mapping!$C$9,IF(Signals_EU!G70=-1,-Signals_EU!S70*Mapping!$C$9,0))</f>
        <v>0</v>
      </c>
      <c r="J70" s="1">
        <f>IF(Signals_EU!H70=1,Signals_EU!R70*Mapping!$C$10,IF(Signals_EU!H70=-1,-Signals_EU!S70*Mapping!$C$10,0))</f>
        <v>0</v>
      </c>
      <c r="K70" s="1">
        <f>IF(Signals_EU!F70=1,Signals_EU!R70*Mapping!$C$11,IF(Signals_EU!F70=-1,-Signals_EU!S70*Mapping!$C$11,0))</f>
        <v>0</v>
      </c>
      <c r="L70" s="1">
        <f>IF(Signals_EU!N70=1,Signals_EU!R70*Mapping!$C$12,IF(Signals_EU!N70=-1,-Signals_EU!S70*Mapping!$C$12,0))</f>
        <v>5.000000000000001E-2</v>
      </c>
      <c r="M70" s="1">
        <f>IF(Signals_EU!I70=1,Signals_EU!R70*Mapping!$C$13,IF(Signals_EU!I70=-1,-Signals_EU!S70*Mapping!$C$13,0))</f>
        <v>0</v>
      </c>
      <c r="N70" s="1">
        <f>IF(Signals_EU!E70=1,Signals_EU!R70*Mapping!$C$14,IF(Signals_EU!E70=-1,-Signals_EU!S70*Mapping!$C$14,0))</f>
        <v>5.000000000000001E-2</v>
      </c>
      <c r="O70" s="1">
        <f>0</f>
        <v>0</v>
      </c>
      <c r="P70" s="1">
        <f>0</f>
        <v>0</v>
      </c>
      <c r="Q70" s="1">
        <f>IF(Signals_EU!J70=1,Signals_EU!R70*Mapping!$C$17,IF(Signals_EU!J70=-1,-Signals_EU!S70*Mapping!$C$17,0))</f>
        <v>0</v>
      </c>
      <c r="R70" s="1">
        <f>IF(Signals_EU!K70=1,Signals_EU!R70*Mapping!$C$18,IF(Signals_EU!K70=-1,-Signals_EU!S70*Mapping!$C$18,0))</f>
        <v>-5.000000000000001E-2</v>
      </c>
      <c r="S70" s="1">
        <f>IF(Signals_EU!M70=1,Signals_EU!R70*Mapping!$C$19,IF(Signals_EU!M70=-1,-Signals_EU!S70*Mapping!$C$19,0))</f>
        <v>0</v>
      </c>
      <c r="T70" s="1">
        <f>IF(Signals_EU!L70=1,Signals_EU!R70*Mapping!$C$20,IF(Signals_EU!L70=-1,-Signals_EU!S70*Mapping!$C$20,0))</f>
        <v>-5.000000000000001E-2</v>
      </c>
      <c r="U70" s="1">
        <f t="shared" si="1"/>
        <v>0</v>
      </c>
    </row>
    <row r="71" spans="1:21">
      <c r="A71" s="5">
        <f>Signals_EU!B71</f>
        <v>41153</v>
      </c>
      <c r="B71" s="1">
        <f>IF(Signals_EU!O71=1,Signals_EU!R71*Mapping!$C$2,IF(Signals_EU!O71=-1,-Signals_EU!S71*Mapping!$C$2,0))</f>
        <v>5.000000000000001E-2</v>
      </c>
      <c r="C71" s="1">
        <f>IF(Signals_EU!F71=1,Signals_EU!R71*Mapping!$C$3,IF(Signals_EU!F71=-1,-Signals_EU!S71*Mapping!$C$3,0))</f>
        <v>0</v>
      </c>
      <c r="D71" s="1">
        <f>IF(Signals_EU!C71=1,Signals_EU!R71*Mapping!$C$4,IF(Signals_EU!C71=-1,-Signals_EU!S71*Mapping!$C$4,0))</f>
        <v>-2.5000000000000005E-2</v>
      </c>
      <c r="E71" s="1">
        <f>IF(Signals_EU!C71=1,Signals_EU!R71*Mapping!$C$5,IF(Signals_EU!C71=-1,-Signals_EU!S71*Mapping!$C$5,0))</f>
        <v>-2.5000000000000005E-2</v>
      </c>
      <c r="F71" s="1">
        <f>IF(Signals_EU!H71=1,Signals_EU!R71*Mapping!$C$6,IF(Signals_EU!H71=-1,-Signals_EU!S71*Mapping!$C$6,0))</f>
        <v>1.0000000000000002E-2</v>
      </c>
      <c r="G71" s="1">
        <f>IF(Signals_EU!F71=1,Signals_EU!R71*Mapping!$C$7,IF(Signals_EU!F71=-1,-Signals_EU!S71*Mapping!$C$7,0))</f>
        <v>0</v>
      </c>
      <c r="H71" s="1">
        <f>IF(Signals_EU!D71=1,Signals_EU!R71*Mapping!$C$8,IF(Signals_EU!D71=-1,-Signals_EU!S71*Mapping!$C$8,0))</f>
        <v>0</v>
      </c>
      <c r="I71" s="1">
        <f>IF(Signals_EU!G71=1,Signals_EU!R71*Mapping!$C$9,IF(Signals_EU!G71=-1,-Signals_EU!S71*Mapping!$C$9,0))</f>
        <v>0</v>
      </c>
      <c r="J71" s="1">
        <f>IF(Signals_EU!H71=1,Signals_EU!R71*Mapping!$C$10,IF(Signals_EU!H71=-1,-Signals_EU!S71*Mapping!$C$10,0))</f>
        <v>4.0000000000000008E-2</v>
      </c>
      <c r="K71" s="1">
        <f>IF(Signals_EU!F71=1,Signals_EU!R71*Mapping!$C$11,IF(Signals_EU!F71=-1,-Signals_EU!S71*Mapping!$C$11,0))</f>
        <v>0</v>
      </c>
      <c r="L71" s="1">
        <f>IF(Signals_EU!N71=1,Signals_EU!R71*Mapping!$C$12,IF(Signals_EU!N71=-1,-Signals_EU!S71*Mapping!$C$12,0))</f>
        <v>0</v>
      </c>
      <c r="M71" s="1">
        <f>IF(Signals_EU!I71=1,Signals_EU!R71*Mapping!$C$13,IF(Signals_EU!I71=-1,-Signals_EU!S71*Mapping!$C$13,0))</f>
        <v>0</v>
      </c>
      <c r="N71" s="1">
        <f>IF(Signals_EU!E71=1,Signals_EU!R71*Mapping!$C$14,IF(Signals_EU!E71=-1,-Signals_EU!S71*Mapping!$C$14,0))</f>
        <v>5.000000000000001E-2</v>
      </c>
      <c r="O71" s="1">
        <f>0</f>
        <v>0</v>
      </c>
      <c r="P71" s="1">
        <f>0</f>
        <v>0</v>
      </c>
      <c r="Q71" s="1">
        <f>IF(Signals_EU!J71=1,Signals_EU!R71*Mapping!$C$17,IF(Signals_EU!J71=-1,-Signals_EU!S71*Mapping!$C$17,0))</f>
        <v>0</v>
      </c>
      <c r="R71" s="1">
        <f>IF(Signals_EU!K71=1,Signals_EU!R71*Mapping!$C$18,IF(Signals_EU!K71=-1,-Signals_EU!S71*Mapping!$C$18,0))</f>
        <v>-5.000000000000001E-2</v>
      </c>
      <c r="S71" s="1">
        <f>IF(Signals_EU!M71=1,Signals_EU!R71*Mapping!$C$19,IF(Signals_EU!M71=-1,-Signals_EU!S71*Mapping!$C$19,0))</f>
        <v>0</v>
      </c>
      <c r="T71" s="1">
        <f>IF(Signals_EU!L71=1,Signals_EU!R71*Mapping!$C$20,IF(Signals_EU!L71=-1,-Signals_EU!S71*Mapping!$C$20,0))</f>
        <v>-5.000000000000001E-2</v>
      </c>
      <c r="U71" s="1">
        <f t="shared" si="1"/>
        <v>0</v>
      </c>
    </row>
    <row r="72" spans="1:21">
      <c r="A72" s="5">
        <f>Signals_EU!B72</f>
        <v>41183</v>
      </c>
      <c r="B72" s="1">
        <f>IF(Signals_EU!O72=1,Signals_EU!R72*Mapping!$C$2,IF(Signals_EU!O72=-1,-Signals_EU!S72*Mapping!$C$2,0))</f>
        <v>0</v>
      </c>
      <c r="C72" s="1">
        <f>IF(Signals_EU!F72=1,Signals_EU!R72*Mapping!$C$3,IF(Signals_EU!F72=-1,-Signals_EU!S72*Mapping!$C$3,0))</f>
        <v>0</v>
      </c>
      <c r="D72" s="1">
        <f>IF(Signals_EU!C72=1,Signals_EU!R72*Mapping!$C$4,IF(Signals_EU!C72=-1,-Signals_EU!S72*Mapping!$C$4,0))</f>
        <v>-2.5000000000000005E-2</v>
      </c>
      <c r="E72" s="1">
        <f>IF(Signals_EU!C72=1,Signals_EU!R72*Mapping!$C$5,IF(Signals_EU!C72=-1,-Signals_EU!S72*Mapping!$C$5,0))</f>
        <v>-2.5000000000000005E-2</v>
      </c>
      <c r="F72" s="1">
        <f>IF(Signals_EU!H72=1,Signals_EU!R72*Mapping!$C$6,IF(Signals_EU!H72=-1,-Signals_EU!S72*Mapping!$C$6,0))</f>
        <v>1.0000000000000002E-2</v>
      </c>
      <c r="G72" s="1">
        <f>IF(Signals_EU!F72=1,Signals_EU!R72*Mapping!$C$7,IF(Signals_EU!F72=-1,-Signals_EU!S72*Mapping!$C$7,0))</f>
        <v>0</v>
      </c>
      <c r="H72" s="1">
        <f>IF(Signals_EU!D72=1,Signals_EU!R72*Mapping!$C$8,IF(Signals_EU!D72=-1,-Signals_EU!S72*Mapping!$C$8,0))</f>
        <v>5.000000000000001E-2</v>
      </c>
      <c r="I72" s="1">
        <f>IF(Signals_EU!G72=1,Signals_EU!R72*Mapping!$C$9,IF(Signals_EU!G72=-1,-Signals_EU!S72*Mapping!$C$9,0))</f>
        <v>0</v>
      </c>
      <c r="J72" s="1">
        <f>IF(Signals_EU!H72=1,Signals_EU!R72*Mapping!$C$10,IF(Signals_EU!H72=-1,-Signals_EU!S72*Mapping!$C$10,0))</f>
        <v>4.0000000000000008E-2</v>
      </c>
      <c r="K72" s="1">
        <f>IF(Signals_EU!F72=1,Signals_EU!R72*Mapping!$C$11,IF(Signals_EU!F72=-1,-Signals_EU!S72*Mapping!$C$11,0))</f>
        <v>0</v>
      </c>
      <c r="L72" s="1">
        <f>IF(Signals_EU!N72=1,Signals_EU!R72*Mapping!$C$12,IF(Signals_EU!N72=-1,-Signals_EU!S72*Mapping!$C$12,0))</f>
        <v>0</v>
      </c>
      <c r="M72" s="1">
        <f>IF(Signals_EU!I72=1,Signals_EU!R72*Mapping!$C$13,IF(Signals_EU!I72=-1,-Signals_EU!S72*Mapping!$C$13,0))</f>
        <v>-5.000000000000001E-2</v>
      </c>
      <c r="N72" s="1">
        <f>IF(Signals_EU!E72=1,Signals_EU!R72*Mapping!$C$14,IF(Signals_EU!E72=-1,-Signals_EU!S72*Mapping!$C$14,0))</f>
        <v>5.000000000000001E-2</v>
      </c>
      <c r="O72" s="1">
        <f>0</f>
        <v>0</v>
      </c>
      <c r="P72" s="1">
        <f>0</f>
        <v>0</v>
      </c>
      <c r="Q72" s="1">
        <f>IF(Signals_EU!J72=1,Signals_EU!R72*Mapping!$C$17,IF(Signals_EU!J72=-1,-Signals_EU!S72*Mapping!$C$17,0))</f>
        <v>0</v>
      </c>
      <c r="R72" s="1">
        <f>IF(Signals_EU!K72=1,Signals_EU!R72*Mapping!$C$18,IF(Signals_EU!K72=-1,-Signals_EU!S72*Mapping!$C$18,0))</f>
        <v>-5.000000000000001E-2</v>
      </c>
      <c r="S72" s="1">
        <f>IF(Signals_EU!M72=1,Signals_EU!R72*Mapping!$C$19,IF(Signals_EU!M72=-1,-Signals_EU!S72*Mapping!$C$19,0))</f>
        <v>0</v>
      </c>
      <c r="T72" s="1">
        <f>IF(Signals_EU!L72=1,Signals_EU!R72*Mapping!$C$20,IF(Signals_EU!L72=-1,-Signals_EU!S72*Mapping!$C$20,0))</f>
        <v>0</v>
      </c>
      <c r="U72" s="1">
        <f t="shared" si="1"/>
        <v>0</v>
      </c>
    </row>
    <row r="73" spans="1:21">
      <c r="A73" s="5">
        <f>Signals_EU!B73</f>
        <v>41214</v>
      </c>
      <c r="B73" s="1">
        <f>IF(Signals_EU!O73=1,Signals_EU!R73*Mapping!$C$2,IF(Signals_EU!O73=-1,-Signals_EU!S73*Mapping!$C$2,0))</f>
        <v>0</v>
      </c>
      <c r="C73" s="1">
        <f>IF(Signals_EU!F73=1,Signals_EU!R73*Mapping!$C$3,IF(Signals_EU!F73=-1,-Signals_EU!S73*Mapping!$C$3,0))</f>
        <v>3.0000000000000006E-2</v>
      </c>
      <c r="D73" s="1">
        <f>IF(Signals_EU!C73=1,Signals_EU!R73*Mapping!$C$4,IF(Signals_EU!C73=-1,-Signals_EU!S73*Mapping!$C$4,0))</f>
        <v>-2.5000000000000005E-2</v>
      </c>
      <c r="E73" s="1">
        <f>IF(Signals_EU!C73=1,Signals_EU!R73*Mapping!$C$5,IF(Signals_EU!C73=-1,-Signals_EU!S73*Mapping!$C$5,0))</f>
        <v>-2.5000000000000005E-2</v>
      </c>
      <c r="F73" s="1">
        <f>IF(Signals_EU!H73=1,Signals_EU!R73*Mapping!$C$6,IF(Signals_EU!H73=-1,-Signals_EU!S73*Mapping!$C$6,0))</f>
        <v>1.0000000000000002E-2</v>
      </c>
      <c r="G73" s="1">
        <f>IF(Signals_EU!F73=1,Signals_EU!R73*Mapping!$C$7,IF(Signals_EU!F73=-1,-Signals_EU!S73*Mapping!$C$7,0))</f>
        <v>1.0000000000000002E-2</v>
      </c>
      <c r="H73" s="1">
        <f>IF(Signals_EU!D73=1,Signals_EU!R73*Mapping!$C$8,IF(Signals_EU!D73=-1,-Signals_EU!S73*Mapping!$C$8,0))</f>
        <v>0</v>
      </c>
      <c r="I73" s="1">
        <f>IF(Signals_EU!G73=1,Signals_EU!R73*Mapping!$C$9,IF(Signals_EU!G73=-1,-Signals_EU!S73*Mapping!$C$9,0))</f>
        <v>0</v>
      </c>
      <c r="J73" s="1">
        <f>IF(Signals_EU!H73=1,Signals_EU!R73*Mapping!$C$10,IF(Signals_EU!H73=-1,-Signals_EU!S73*Mapping!$C$10,0))</f>
        <v>4.0000000000000008E-2</v>
      </c>
      <c r="K73" s="1">
        <f>IF(Signals_EU!F73=1,Signals_EU!R73*Mapping!$C$11,IF(Signals_EU!F73=-1,-Signals_EU!S73*Mapping!$C$11,0))</f>
        <v>1.0000000000000002E-2</v>
      </c>
      <c r="L73" s="1">
        <f>IF(Signals_EU!N73=1,Signals_EU!R73*Mapping!$C$12,IF(Signals_EU!N73=-1,-Signals_EU!S73*Mapping!$C$12,0))</f>
        <v>0</v>
      </c>
      <c r="M73" s="1">
        <f>IF(Signals_EU!I73=1,Signals_EU!R73*Mapping!$C$13,IF(Signals_EU!I73=-1,-Signals_EU!S73*Mapping!$C$13,0))</f>
        <v>-5.000000000000001E-2</v>
      </c>
      <c r="N73" s="1">
        <f>IF(Signals_EU!E73=1,Signals_EU!R73*Mapping!$C$14,IF(Signals_EU!E73=-1,-Signals_EU!S73*Mapping!$C$14,0))</f>
        <v>5.000000000000001E-2</v>
      </c>
      <c r="O73" s="1">
        <f>0</f>
        <v>0</v>
      </c>
      <c r="P73" s="1">
        <f>0</f>
        <v>0</v>
      </c>
      <c r="Q73" s="1">
        <f>IF(Signals_EU!J73=1,Signals_EU!R73*Mapping!$C$17,IF(Signals_EU!J73=-1,-Signals_EU!S73*Mapping!$C$17,0))</f>
        <v>0</v>
      </c>
      <c r="R73" s="1">
        <f>IF(Signals_EU!K73=1,Signals_EU!R73*Mapping!$C$18,IF(Signals_EU!K73=-1,-Signals_EU!S73*Mapping!$C$18,0))</f>
        <v>-5.000000000000001E-2</v>
      </c>
      <c r="S73" s="1">
        <f>IF(Signals_EU!M73=1,Signals_EU!R73*Mapping!$C$19,IF(Signals_EU!M73=-1,-Signals_EU!S73*Mapping!$C$19,0))</f>
        <v>0</v>
      </c>
      <c r="T73" s="1">
        <f>IF(Signals_EU!L73=1,Signals_EU!R73*Mapping!$C$20,IF(Signals_EU!L73=-1,-Signals_EU!S73*Mapping!$C$20,0))</f>
        <v>0</v>
      </c>
      <c r="U73" s="1">
        <f t="shared" si="1"/>
        <v>0</v>
      </c>
    </row>
    <row r="74" spans="1:21">
      <c r="A74" s="5">
        <f>Signals_EU!B74</f>
        <v>41244</v>
      </c>
      <c r="B74" s="1">
        <f>IF(Signals_EU!O74=1,Signals_EU!R74*Mapping!$C$2,IF(Signals_EU!O74=-1,-Signals_EU!S74*Mapping!$C$2,0))</f>
        <v>0</v>
      </c>
      <c r="C74" s="1">
        <f>IF(Signals_EU!F74=1,Signals_EU!R74*Mapping!$C$3,IF(Signals_EU!F74=-1,-Signals_EU!S74*Mapping!$C$3,0))</f>
        <v>3.0000000000000006E-2</v>
      </c>
      <c r="D74" s="1">
        <f>IF(Signals_EU!C74=1,Signals_EU!R74*Mapping!$C$4,IF(Signals_EU!C74=-1,-Signals_EU!S74*Mapping!$C$4,0))</f>
        <v>-2.5000000000000005E-2</v>
      </c>
      <c r="E74" s="1">
        <f>IF(Signals_EU!C74=1,Signals_EU!R74*Mapping!$C$5,IF(Signals_EU!C74=-1,-Signals_EU!S74*Mapping!$C$5,0))</f>
        <v>-2.5000000000000005E-2</v>
      </c>
      <c r="F74" s="1">
        <f>IF(Signals_EU!H74=1,Signals_EU!R74*Mapping!$C$6,IF(Signals_EU!H74=-1,-Signals_EU!S74*Mapping!$C$6,0))</f>
        <v>0</v>
      </c>
      <c r="G74" s="1">
        <f>IF(Signals_EU!F74=1,Signals_EU!R74*Mapping!$C$7,IF(Signals_EU!F74=-1,-Signals_EU!S74*Mapping!$C$7,0))</f>
        <v>1.0000000000000002E-2</v>
      </c>
      <c r="H74" s="1">
        <f>IF(Signals_EU!D74=1,Signals_EU!R74*Mapping!$C$8,IF(Signals_EU!D74=-1,-Signals_EU!S74*Mapping!$C$8,0))</f>
        <v>0</v>
      </c>
      <c r="I74" s="1">
        <f>IF(Signals_EU!G74=1,Signals_EU!R74*Mapping!$C$9,IF(Signals_EU!G74=-1,-Signals_EU!S74*Mapping!$C$9,0))</f>
        <v>0</v>
      </c>
      <c r="J74" s="1">
        <f>IF(Signals_EU!H74=1,Signals_EU!R74*Mapping!$C$10,IF(Signals_EU!H74=-1,-Signals_EU!S74*Mapping!$C$10,0))</f>
        <v>0</v>
      </c>
      <c r="K74" s="1">
        <f>IF(Signals_EU!F74=1,Signals_EU!R74*Mapping!$C$11,IF(Signals_EU!F74=-1,-Signals_EU!S74*Mapping!$C$11,0))</f>
        <v>1.0000000000000002E-2</v>
      </c>
      <c r="L74" s="1">
        <f>IF(Signals_EU!N74=1,Signals_EU!R74*Mapping!$C$12,IF(Signals_EU!N74=-1,-Signals_EU!S74*Mapping!$C$12,0))</f>
        <v>0</v>
      </c>
      <c r="M74" s="1">
        <f>IF(Signals_EU!I74=1,Signals_EU!R74*Mapping!$C$13,IF(Signals_EU!I74=-1,-Signals_EU!S74*Mapping!$C$13,0))</f>
        <v>0</v>
      </c>
      <c r="N74" s="1">
        <f>IF(Signals_EU!E74=1,Signals_EU!R74*Mapping!$C$14,IF(Signals_EU!E74=-1,-Signals_EU!S74*Mapping!$C$14,0))</f>
        <v>5.000000000000001E-2</v>
      </c>
      <c r="O74" s="1">
        <f>0</f>
        <v>0</v>
      </c>
      <c r="P74" s="1">
        <f>0</f>
        <v>0</v>
      </c>
      <c r="Q74" s="1">
        <f>IF(Signals_EU!J74=1,Signals_EU!R74*Mapping!$C$17,IF(Signals_EU!J74=-1,-Signals_EU!S74*Mapping!$C$17,0))</f>
        <v>5.000000000000001E-2</v>
      </c>
      <c r="R74" s="1">
        <f>IF(Signals_EU!K74=1,Signals_EU!R74*Mapping!$C$18,IF(Signals_EU!K74=-1,-Signals_EU!S74*Mapping!$C$18,0))</f>
        <v>-5.000000000000001E-2</v>
      </c>
      <c r="S74" s="1">
        <f>IF(Signals_EU!M74=1,Signals_EU!R74*Mapping!$C$19,IF(Signals_EU!M74=-1,-Signals_EU!S74*Mapping!$C$19,0))</f>
        <v>0</v>
      </c>
      <c r="T74" s="1">
        <f>IF(Signals_EU!L74=1,Signals_EU!R74*Mapping!$C$20,IF(Signals_EU!L74=-1,-Signals_EU!S74*Mapping!$C$20,0))</f>
        <v>-5.000000000000001E-2</v>
      </c>
      <c r="U74" s="1">
        <f t="shared" si="1"/>
        <v>0</v>
      </c>
    </row>
    <row r="75" spans="1:21">
      <c r="A75" s="5">
        <f>Signals_EU!B75</f>
        <v>41275</v>
      </c>
      <c r="B75" s="1">
        <f>IF(Signals_EU!O75=1,Signals_EU!R75*Mapping!$C$2,IF(Signals_EU!O75=-1,-Signals_EU!S75*Mapping!$C$2,0))</f>
        <v>0</v>
      </c>
      <c r="C75" s="1">
        <f>IF(Signals_EU!F75=1,Signals_EU!R75*Mapping!$C$3,IF(Signals_EU!F75=-1,-Signals_EU!S75*Mapping!$C$3,0))</f>
        <v>3.0000000000000006E-2</v>
      </c>
      <c r="D75" s="1">
        <f>IF(Signals_EU!C75=1,Signals_EU!R75*Mapping!$C$4,IF(Signals_EU!C75=-1,-Signals_EU!S75*Mapping!$C$4,0))</f>
        <v>0</v>
      </c>
      <c r="E75" s="1">
        <f>IF(Signals_EU!C75=1,Signals_EU!R75*Mapping!$C$5,IF(Signals_EU!C75=-1,-Signals_EU!S75*Mapping!$C$5,0))</f>
        <v>0</v>
      </c>
      <c r="F75" s="1">
        <f>IF(Signals_EU!H75=1,Signals_EU!R75*Mapping!$C$6,IF(Signals_EU!H75=-1,-Signals_EU!S75*Mapping!$C$6,0))</f>
        <v>1.0000000000000002E-2</v>
      </c>
      <c r="G75" s="1">
        <f>IF(Signals_EU!F75=1,Signals_EU!R75*Mapping!$C$7,IF(Signals_EU!F75=-1,-Signals_EU!S75*Mapping!$C$7,0))</f>
        <v>1.0000000000000002E-2</v>
      </c>
      <c r="H75" s="1">
        <f>IF(Signals_EU!D75=1,Signals_EU!R75*Mapping!$C$8,IF(Signals_EU!D75=-1,-Signals_EU!S75*Mapping!$C$8,0))</f>
        <v>0</v>
      </c>
      <c r="I75" s="1">
        <f>IF(Signals_EU!G75=1,Signals_EU!R75*Mapping!$C$9,IF(Signals_EU!G75=-1,-Signals_EU!S75*Mapping!$C$9,0))</f>
        <v>0</v>
      </c>
      <c r="J75" s="1">
        <f>IF(Signals_EU!H75=1,Signals_EU!R75*Mapping!$C$10,IF(Signals_EU!H75=-1,-Signals_EU!S75*Mapping!$C$10,0))</f>
        <v>4.0000000000000008E-2</v>
      </c>
      <c r="K75" s="1">
        <f>IF(Signals_EU!F75=1,Signals_EU!R75*Mapping!$C$11,IF(Signals_EU!F75=-1,-Signals_EU!S75*Mapping!$C$11,0))</f>
        <v>1.0000000000000002E-2</v>
      </c>
      <c r="L75" s="1">
        <f>IF(Signals_EU!N75=1,Signals_EU!R75*Mapping!$C$12,IF(Signals_EU!N75=-1,-Signals_EU!S75*Mapping!$C$12,0))</f>
        <v>0</v>
      </c>
      <c r="M75" s="1">
        <f>IF(Signals_EU!I75=1,Signals_EU!R75*Mapping!$C$13,IF(Signals_EU!I75=-1,-Signals_EU!S75*Mapping!$C$13,0))</f>
        <v>-5.000000000000001E-2</v>
      </c>
      <c r="N75" s="1">
        <f>IF(Signals_EU!E75=1,Signals_EU!R75*Mapping!$C$14,IF(Signals_EU!E75=-1,-Signals_EU!S75*Mapping!$C$14,0))</f>
        <v>5.000000000000001E-2</v>
      </c>
      <c r="O75" s="1">
        <f>0</f>
        <v>0</v>
      </c>
      <c r="P75" s="1">
        <f>0</f>
        <v>0</v>
      </c>
      <c r="Q75" s="1">
        <f>IF(Signals_EU!J75=1,Signals_EU!R75*Mapping!$C$17,IF(Signals_EU!J75=-1,-Signals_EU!S75*Mapping!$C$17,0))</f>
        <v>0</v>
      </c>
      <c r="R75" s="1">
        <f>IF(Signals_EU!K75=1,Signals_EU!R75*Mapping!$C$18,IF(Signals_EU!K75=-1,-Signals_EU!S75*Mapping!$C$18,0))</f>
        <v>-5.000000000000001E-2</v>
      </c>
      <c r="S75" s="1">
        <f>IF(Signals_EU!M75=1,Signals_EU!R75*Mapping!$C$19,IF(Signals_EU!M75=-1,-Signals_EU!S75*Mapping!$C$19,0))</f>
        <v>0</v>
      </c>
      <c r="T75" s="1">
        <f>IF(Signals_EU!L75=1,Signals_EU!R75*Mapping!$C$20,IF(Signals_EU!L75=-1,-Signals_EU!S75*Mapping!$C$20,0))</f>
        <v>-5.000000000000001E-2</v>
      </c>
      <c r="U75" s="1">
        <f t="shared" si="1"/>
        <v>0</v>
      </c>
    </row>
    <row r="76" spans="1:21">
      <c r="A76" s="5">
        <f>Signals_EU!B76</f>
        <v>41306</v>
      </c>
      <c r="B76" s="1">
        <f>IF(Signals_EU!O76=1,Signals_EU!R76*Mapping!$C$2,IF(Signals_EU!O76=-1,-Signals_EU!S76*Mapping!$C$2,0))</f>
        <v>5.000000000000001E-2</v>
      </c>
      <c r="C76" s="1">
        <f>IF(Signals_EU!F76=1,Signals_EU!R76*Mapping!$C$3,IF(Signals_EU!F76=-1,-Signals_EU!S76*Mapping!$C$3,0))</f>
        <v>3.0000000000000006E-2</v>
      </c>
      <c r="D76" s="1">
        <f>IF(Signals_EU!C76=1,Signals_EU!R76*Mapping!$C$4,IF(Signals_EU!C76=-1,-Signals_EU!S76*Mapping!$C$4,0))</f>
        <v>-2.5000000000000005E-2</v>
      </c>
      <c r="E76" s="1">
        <f>IF(Signals_EU!C76=1,Signals_EU!R76*Mapping!$C$5,IF(Signals_EU!C76=-1,-Signals_EU!S76*Mapping!$C$5,0))</f>
        <v>-2.5000000000000005E-2</v>
      </c>
      <c r="F76" s="1">
        <f>IF(Signals_EU!H76=1,Signals_EU!R76*Mapping!$C$6,IF(Signals_EU!H76=-1,-Signals_EU!S76*Mapping!$C$6,0))</f>
        <v>1.0000000000000002E-2</v>
      </c>
      <c r="G76" s="1">
        <f>IF(Signals_EU!F76=1,Signals_EU!R76*Mapping!$C$7,IF(Signals_EU!F76=-1,-Signals_EU!S76*Mapping!$C$7,0))</f>
        <v>1.0000000000000002E-2</v>
      </c>
      <c r="H76" s="1">
        <f>IF(Signals_EU!D76=1,Signals_EU!R76*Mapping!$C$8,IF(Signals_EU!D76=-1,-Signals_EU!S76*Mapping!$C$8,0))</f>
        <v>0</v>
      </c>
      <c r="I76" s="1">
        <f>IF(Signals_EU!G76=1,Signals_EU!R76*Mapping!$C$9,IF(Signals_EU!G76=-1,-Signals_EU!S76*Mapping!$C$9,0))</f>
        <v>-5.000000000000001E-2</v>
      </c>
      <c r="J76" s="1">
        <f>IF(Signals_EU!H76=1,Signals_EU!R76*Mapping!$C$10,IF(Signals_EU!H76=-1,-Signals_EU!S76*Mapping!$C$10,0))</f>
        <v>4.0000000000000008E-2</v>
      </c>
      <c r="K76" s="1">
        <f>IF(Signals_EU!F76=1,Signals_EU!R76*Mapping!$C$11,IF(Signals_EU!F76=-1,-Signals_EU!S76*Mapping!$C$11,0))</f>
        <v>1.0000000000000002E-2</v>
      </c>
      <c r="L76" s="1">
        <f>IF(Signals_EU!N76=1,Signals_EU!R76*Mapping!$C$12,IF(Signals_EU!N76=-1,-Signals_EU!S76*Mapping!$C$12,0))</f>
        <v>0</v>
      </c>
      <c r="M76" s="1">
        <f>IF(Signals_EU!I76=1,Signals_EU!R76*Mapping!$C$13,IF(Signals_EU!I76=-1,-Signals_EU!S76*Mapping!$C$13,0))</f>
        <v>0</v>
      </c>
      <c r="N76" s="1">
        <f>IF(Signals_EU!E76=1,Signals_EU!R76*Mapping!$C$14,IF(Signals_EU!E76=-1,-Signals_EU!S76*Mapping!$C$14,0))</f>
        <v>0</v>
      </c>
      <c r="O76" s="1">
        <f>0</f>
        <v>0</v>
      </c>
      <c r="P76" s="1">
        <f>0</f>
        <v>0</v>
      </c>
      <c r="Q76" s="1">
        <f>IF(Signals_EU!J76=1,Signals_EU!R76*Mapping!$C$17,IF(Signals_EU!J76=-1,-Signals_EU!S76*Mapping!$C$17,0))</f>
        <v>0</v>
      </c>
      <c r="R76" s="1">
        <f>IF(Signals_EU!K76=1,Signals_EU!R76*Mapping!$C$18,IF(Signals_EU!K76=-1,-Signals_EU!S76*Mapping!$C$18,0))</f>
        <v>-5.000000000000001E-2</v>
      </c>
      <c r="S76" s="1">
        <f>IF(Signals_EU!M76=1,Signals_EU!R76*Mapping!$C$19,IF(Signals_EU!M76=-1,-Signals_EU!S76*Mapping!$C$19,0))</f>
        <v>0</v>
      </c>
      <c r="T76" s="1">
        <f>IF(Signals_EU!L76=1,Signals_EU!R76*Mapping!$C$20,IF(Signals_EU!L76=-1,-Signals_EU!S76*Mapping!$C$20,0))</f>
        <v>0</v>
      </c>
      <c r="U76" s="1">
        <f t="shared" si="1"/>
        <v>0</v>
      </c>
    </row>
    <row r="77" spans="1:21">
      <c r="A77" s="5">
        <f>Signals_EU!B77</f>
        <v>41334</v>
      </c>
      <c r="B77" s="1">
        <f>IF(Signals_EU!O77=1,Signals_EU!R77*Mapping!$C$2,IF(Signals_EU!O77=-1,-Signals_EU!S77*Mapping!$C$2,0))</f>
        <v>5.000000000000001E-2</v>
      </c>
      <c r="C77" s="1">
        <f>IF(Signals_EU!F77=1,Signals_EU!R77*Mapping!$C$3,IF(Signals_EU!F77=-1,-Signals_EU!S77*Mapping!$C$3,0))</f>
        <v>3.0000000000000006E-2</v>
      </c>
      <c r="D77" s="1">
        <f>IF(Signals_EU!C77=1,Signals_EU!R77*Mapping!$C$4,IF(Signals_EU!C77=-1,-Signals_EU!S77*Mapping!$C$4,0))</f>
        <v>-2.5000000000000005E-2</v>
      </c>
      <c r="E77" s="1">
        <f>IF(Signals_EU!C77=1,Signals_EU!R77*Mapping!$C$5,IF(Signals_EU!C77=-1,-Signals_EU!S77*Mapping!$C$5,0))</f>
        <v>-2.5000000000000005E-2</v>
      </c>
      <c r="F77" s="1">
        <f>IF(Signals_EU!H77=1,Signals_EU!R77*Mapping!$C$6,IF(Signals_EU!H77=-1,-Signals_EU!S77*Mapping!$C$6,0))</f>
        <v>1.0000000000000002E-2</v>
      </c>
      <c r="G77" s="1">
        <f>IF(Signals_EU!F77=1,Signals_EU!R77*Mapping!$C$7,IF(Signals_EU!F77=-1,-Signals_EU!S77*Mapping!$C$7,0))</f>
        <v>1.0000000000000002E-2</v>
      </c>
      <c r="H77" s="1">
        <f>IF(Signals_EU!D77=1,Signals_EU!R77*Mapping!$C$8,IF(Signals_EU!D77=-1,-Signals_EU!S77*Mapping!$C$8,0))</f>
        <v>0</v>
      </c>
      <c r="I77" s="1">
        <f>IF(Signals_EU!G77=1,Signals_EU!R77*Mapping!$C$9,IF(Signals_EU!G77=-1,-Signals_EU!S77*Mapping!$C$9,0))</f>
        <v>0</v>
      </c>
      <c r="J77" s="1">
        <f>IF(Signals_EU!H77=1,Signals_EU!R77*Mapping!$C$10,IF(Signals_EU!H77=-1,-Signals_EU!S77*Mapping!$C$10,0))</f>
        <v>4.0000000000000008E-2</v>
      </c>
      <c r="K77" s="1">
        <f>IF(Signals_EU!F77=1,Signals_EU!R77*Mapping!$C$11,IF(Signals_EU!F77=-1,-Signals_EU!S77*Mapping!$C$11,0))</f>
        <v>1.0000000000000002E-2</v>
      </c>
      <c r="L77" s="1">
        <f>IF(Signals_EU!N77=1,Signals_EU!R77*Mapping!$C$12,IF(Signals_EU!N77=-1,-Signals_EU!S77*Mapping!$C$12,0))</f>
        <v>0</v>
      </c>
      <c r="M77" s="1">
        <f>IF(Signals_EU!I77=1,Signals_EU!R77*Mapping!$C$13,IF(Signals_EU!I77=-1,-Signals_EU!S77*Mapping!$C$13,0))</f>
        <v>0</v>
      </c>
      <c r="N77" s="1">
        <f>IF(Signals_EU!E77=1,Signals_EU!R77*Mapping!$C$14,IF(Signals_EU!E77=-1,-Signals_EU!S77*Mapping!$C$14,0))</f>
        <v>0</v>
      </c>
      <c r="O77" s="1">
        <f>0</f>
        <v>0</v>
      </c>
      <c r="P77" s="1">
        <f>0</f>
        <v>0</v>
      </c>
      <c r="Q77" s="1">
        <f>IF(Signals_EU!J77=1,Signals_EU!R77*Mapping!$C$17,IF(Signals_EU!J77=-1,-Signals_EU!S77*Mapping!$C$17,0))</f>
        <v>0</v>
      </c>
      <c r="R77" s="1">
        <f>IF(Signals_EU!K77=1,Signals_EU!R77*Mapping!$C$18,IF(Signals_EU!K77=-1,-Signals_EU!S77*Mapping!$C$18,0))</f>
        <v>-5.000000000000001E-2</v>
      </c>
      <c r="S77" s="1">
        <f>IF(Signals_EU!M77=1,Signals_EU!R77*Mapping!$C$19,IF(Signals_EU!M77=-1,-Signals_EU!S77*Mapping!$C$19,0))</f>
        <v>0</v>
      </c>
      <c r="T77" s="1">
        <f>IF(Signals_EU!L77=1,Signals_EU!R77*Mapping!$C$20,IF(Signals_EU!L77=-1,-Signals_EU!S77*Mapping!$C$20,0))</f>
        <v>-5.000000000000001E-2</v>
      </c>
      <c r="U77" s="1">
        <f t="shared" si="1"/>
        <v>0</v>
      </c>
    </row>
    <row r="78" spans="1:21">
      <c r="A78" s="5">
        <f>Signals_EU!B78</f>
        <v>41365</v>
      </c>
      <c r="B78" s="1">
        <f>IF(Signals_EU!O78=1,Signals_EU!R78*Mapping!$C$2,IF(Signals_EU!O78=-1,-Signals_EU!S78*Mapping!$C$2,0))</f>
        <v>5.000000000000001E-2</v>
      </c>
      <c r="C78" s="1">
        <f>IF(Signals_EU!F78=1,Signals_EU!R78*Mapping!$C$3,IF(Signals_EU!F78=-1,-Signals_EU!S78*Mapping!$C$3,0))</f>
        <v>0</v>
      </c>
      <c r="D78" s="1">
        <f>IF(Signals_EU!C78=1,Signals_EU!R78*Mapping!$C$4,IF(Signals_EU!C78=-1,-Signals_EU!S78*Mapping!$C$4,0))</f>
        <v>-2.5000000000000005E-2</v>
      </c>
      <c r="E78" s="1">
        <f>IF(Signals_EU!C78=1,Signals_EU!R78*Mapping!$C$5,IF(Signals_EU!C78=-1,-Signals_EU!S78*Mapping!$C$5,0))</f>
        <v>-2.5000000000000005E-2</v>
      </c>
      <c r="F78" s="1">
        <f>IF(Signals_EU!H78=1,Signals_EU!R78*Mapping!$C$6,IF(Signals_EU!H78=-1,-Signals_EU!S78*Mapping!$C$6,0))</f>
        <v>1.0000000000000002E-2</v>
      </c>
      <c r="G78" s="1">
        <f>IF(Signals_EU!F78=1,Signals_EU!R78*Mapping!$C$7,IF(Signals_EU!F78=-1,-Signals_EU!S78*Mapping!$C$7,0))</f>
        <v>0</v>
      </c>
      <c r="H78" s="1">
        <f>IF(Signals_EU!D78=1,Signals_EU!R78*Mapping!$C$8,IF(Signals_EU!D78=-1,-Signals_EU!S78*Mapping!$C$8,0))</f>
        <v>0</v>
      </c>
      <c r="I78" s="1">
        <f>IF(Signals_EU!G78=1,Signals_EU!R78*Mapping!$C$9,IF(Signals_EU!G78=-1,-Signals_EU!S78*Mapping!$C$9,0))</f>
        <v>0</v>
      </c>
      <c r="J78" s="1">
        <f>IF(Signals_EU!H78=1,Signals_EU!R78*Mapping!$C$10,IF(Signals_EU!H78=-1,-Signals_EU!S78*Mapping!$C$10,0))</f>
        <v>4.0000000000000008E-2</v>
      </c>
      <c r="K78" s="1">
        <f>IF(Signals_EU!F78=1,Signals_EU!R78*Mapping!$C$11,IF(Signals_EU!F78=-1,-Signals_EU!S78*Mapping!$C$11,0))</f>
        <v>0</v>
      </c>
      <c r="L78" s="1">
        <f>IF(Signals_EU!N78=1,Signals_EU!R78*Mapping!$C$12,IF(Signals_EU!N78=-1,-Signals_EU!S78*Mapping!$C$12,0))</f>
        <v>0</v>
      </c>
      <c r="M78" s="1">
        <f>IF(Signals_EU!I78=1,Signals_EU!R78*Mapping!$C$13,IF(Signals_EU!I78=-1,-Signals_EU!S78*Mapping!$C$13,0))</f>
        <v>0</v>
      </c>
      <c r="N78" s="1">
        <f>IF(Signals_EU!E78=1,Signals_EU!R78*Mapping!$C$14,IF(Signals_EU!E78=-1,-Signals_EU!S78*Mapping!$C$14,0))</f>
        <v>5.000000000000001E-2</v>
      </c>
      <c r="O78" s="1">
        <f>0</f>
        <v>0</v>
      </c>
      <c r="P78" s="1">
        <f>0</f>
        <v>0</v>
      </c>
      <c r="Q78" s="1">
        <f>IF(Signals_EU!J78=1,Signals_EU!R78*Mapping!$C$17,IF(Signals_EU!J78=-1,-Signals_EU!S78*Mapping!$C$17,0))</f>
        <v>0</v>
      </c>
      <c r="R78" s="1">
        <f>IF(Signals_EU!K78=1,Signals_EU!R78*Mapping!$C$18,IF(Signals_EU!K78=-1,-Signals_EU!S78*Mapping!$C$18,0))</f>
        <v>-5.000000000000001E-2</v>
      </c>
      <c r="S78" s="1">
        <f>IF(Signals_EU!M78=1,Signals_EU!R78*Mapping!$C$19,IF(Signals_EU!M78=-1,-Signals_EU!S78*Mapping!$C$19,0))</f>
        <v>0</v>
      </c>
      <c r="T78" s="1">
        <f>IF(Signals_EU!L78=1,Signals_EU!R78*Mapping!$C$20,IF(Signals_EU!L78=-1,-Signals_EU!S78*Mapping!$C$20,0))</f>
        <v>-5.000000000000001E-2</v>
      </c>
      <c r="U78" s="1">
        <f t="shared" si="1"/>
        <v>0</v>
      </c>
    </row>
    <row r="79" spans="1:21">
      <c r="A79" s="5">
        <f>Signals_EU!B79</f>
        <v>41395</v>
      </c>
      <c r="B79" s="1">
        <f>IF(Signals_EU!O79=1,Signals_EU!R79*Mapping!$C$2,IF(Signals_EU!O79=-1,-Signals_EU!S79*Mapping!$C$2,0))</f>
        <v>5.000000000000001E-2</v>
      </c>
      <c r="C79" s="1">
        <f>IF(Signals_EU!F79=1,Signals_EU!R79*Mapping!$C$3,IF(Signals_EU!F79=-1,-Signals_EU!S79*Mapping!$C$3,0))</f>
        <v>0</v>
      </c>
      <c r="D79" s="1">
        <f>IF(Signals_EU!C79=1,Signals_EU!R79*Mapping!$C$4,IF(Signals_EU!C79=-1,-Signals_EU!S79*Mapping!$C$4,0))</f>
        <v>0</v>
      </c>
      <c r="E79" s="1">
        <f>IF(Signals_EU!C79=1,Signals_EU!R79*Mapping!$C$5,IF(Signals_EU!C79=-1,-Signals_EU!S79*Mapping!$C$5,0))</f>
        <v>0</v>
      </c>
      <c r="F79" s="1">
        <f>IF(Signals_EU!H79=1,Signals_EU!R79*Mapping!$C$6,IF(Signals_EU!H79=-1,-Signals_EU!S79*Mapping!$C$6,0))</f>
        <v>1.0000000000000002E-2</v>
      </c>
      <c r="G79" s="1">
        <f>IF(Signals_EU!F79=1,Signals_EU!R79*Mapping!$C$7,IF(Signals_EU!F79=-1,-Signals_EU!S79*Mapping!$C$7,0))</f>
        <v>0</v>
      </c>
      <c r="H79" s="1">
        <f>IF(Signals_EU!D79=1,Signals_EU!R79*Mapping!$C$8,IF(Signals_EU!D79=-1,-Signals_EU!S79*Mapping!$C$8,0))</f>
        <v>0</v>
      </c>
      <c r="I79" s="1">
        <f>IF(Signals_EU!G79=1,Signals_EU!R79*Mapping!$C$9,IF(Signals_EU!G79=-1,-Signals_EU!S79*Mapping!$C$9,0))</f>
        <v>0</v>
      </c>
      <c r="J79" s="1">
        <f>IF(Signals_EU!H79=1,Signals_EU!R79*Mapping!$C$10,IF(Signals_EU!H79=-1,-Signals_EU!S79*Mapping!$C$10,0))</f>
        <v>4.0000000000000008E-2</v>
      </c>
      <c r="K79" s="1">
        <f>IF(Signals_EU!F79=1,Signals_EU!R79*Mapping!$C$11,IF(Signals_EU!F79=-1,-Signals_EU!S79*Mapping!$C$11,0))</f>
        <v>0</v>
      </c>
      <c r="L79" s="1">
        <f>IF(Signals_EU!N79=1,Signals_EU!R79*Mapping!$C$12,IF(Signals_EU!N79=-1,-Signals_EU!S79*Mapping!$C$12,0))</f>
        <v>0</v>
      </c>
      <c r="M79" s="1">
        <f>IF(Signals_EU!I79=1,Signals_EU!R79*Mapping!$C$13,IF(Signals_EU!I79=-1,-Signals_EU!S79*Mapping!$C$13,0))</f>
        <v>-5.000000000000001E-2</v>
      </c>
      <c r="N79" s="1">
        <f>IF(Signals_EU!E79=1,Signals_EU!R79*Mapping!$C$14,IF(Signals_EU!E79=-1,-Signals_EU!S79*Mapping!$C$14,0))</f>
        <v>5.000000000000001E-2</v>
      </c>
      <c r="O79" s="1">
        <f>0</f>
        <v>0</v>
      </c>
      <c r="P79" s="1">
        <f>0</f>
        <v>0</v>
      </c>
      <c r="Q79" s="1">
        <f>IF(Signals_EU!J79=1,Signals_EU!R79*Mapping!$C$17,IF(Signals_EU!J79=-1,-Signals_EU!S79*Mapping!$C$17,0))</f>
        <v>0</v>
      </c>
      <c r="R79" s="1">
        <f>IF(Signals_EU!K79=1,Signals_EU!R79*Mapping!$C$18,IF(Signals_EU!K79=-1,-Signals_EU!S79*Mapping!$C$18,0))</f>
        <v>-5.000000000000001E-2</v>
      </c>
      <c r="S79" s="1">
        <f>IF(Signals_EU!M79=1,Signals_EU!R79*Mapping!$C$19,IF(Signals_EU!M79=-1,-Signals_EU!S79*Mapping!$C$19,0))</f>
        <v>0</v>
      </c>
      <c r="T79" s="1">
        <f>IF(Signals_EU!L79=1,Signals_EU!R79*Mapping!$C$20,IF(Signals_EU!L79=-1,-Signals_EU!S79*Mapping!$C$20,0))</f>
        <v>-5.000000000000001E-2</v>
      </c>
      <c r="U79" s="1">
        <f t="shared" si="1"/>
        <v>0</v>
      </c>
    </row>
    <row r="80" spans="1:21">
      <c r="A80" s="5">
        <f>Signals_EU!B80</f>
        <v>41426</v>
      </c>
      <c r="B80" s="1">
        <f>IF(Signals_EU!O80=1,Signals_EU!R80*Mapping!$C$2,IF(Signals_EU!O80=-1,-Signals_EU!S80*Mapping!$C$2,0))</f>
        <v>0</v>
      </c>
      <c r="C80" s="1">
        <f>IF(Signals_EU!F80=1,Signals_EU!R80*Mapping!$C$3,IF(Signals_EU!F80=-1,-Signals_EU!S80*Mapping!$C$3,0))</f>
        <v>3.0000000000000006E-2</v>
      </c>
      <c r="D80" s="1">
        <f>IF(Signals_EU!C80=1,Signals_EU!R80*Mapping!$C$4,IF(Signals_EU!C80=-1,-Signals_EU!S80*Mapping!$C$4,0))</f>
        <v>0</v>
      </c>
      <c r="E80" s="1">
        <f>IF(Signals_EU!C80=1,Signals_EU!R80*Mapping!$C$5,IF(Signals_EU!C80=-1,-Signals_EU!S80*Mapping!$C$5,0))</f>
        <v>0</v>
      </c>
      <c r="F80" s="1">
        <f>IF(Signals_EU!H80=1,Signals_EU!R80*Mapping!$C$6,IF(Signals_EU!H80=-1,-Signals_EU!S80*Mapping!$C$6,0))</f>
        <v>1.0000000000000002E-2</v>
      </c>
      <c r="G80" s="1">
        <f>IF(Signals_EU!F80=1,Signals_EU!R80*Mapping!$C$7,IF(Signals_EU!F80=-1,-Signals_EU!S80*Mapping!$C$7,0))</f>
        <v>1.0000000000000002E-2</v>
      </c>
      <c r="H80" s="1">
        <f>IF(Signals_EU!D80=1,Signals_EU!R80*Mapping!$C$8,IF(Signals_EU!D80=-1,-Signals_EU!S80*Mapping!$C$8,0))</f>
        <v>0</v>
      </c>
      <c r="I80" s="1">
        <f>IF(Signals_EU!G80=1,Signals_EU!R80*Mapping!$C$9,IF(Signals_EU!G80=-1,-Signals_EU!S80*Mapping!$C$9,0))</f>
        <v>-5.000000000000001E-2</v>
      </c>
      <c r="J80" s="1">
        <f>IF(Signals_EU!H80=1,Signals_EU!R80*Mapping!$C$10,IF(Signals_EU!H80=-1,-Signals_EU!S80*Mapping!$C$10,0))</f>
        <v>4.0000000000000008E-2</v>
      </c>
      <c r="K80" s="1">
        <f>IF(Signals_EU!F80=1,Signals_EU!R80*Mapping!$C$11,IF(Signals_EU!F80=-1,-Signals_EU!S80*Mapping!$C$11,0))</f>
        <v>1.0000000000000002E-2</v>
      </c>
      <c r="L80" s="1">
        <f>IF(Signals_EU!N80=1,Signals_EU!R80*Mapping!$C$12,IF(Signals_EU!N80=-1,-Signals_EU!S80*Mapping!$C$12,0))</f>
        <v>0</v>
      </c>
      <c r="M80" s="1">
        <f>IF(Signals_EU!I80=1,Signals_EU!R80*Mapping!$C$13,IF(Signals_EU!I80=-1,-Signals_EU!S80*Mapping!$C$13,0))</f>
        <v>-5.000000000000001E-2</v>
      </c>
      <c r="N80" s="1">
        <f>IF(Signals_EU!E80=1,Signals_EU!R80*Mapping!$C$14,IF(Signals_EU!E80=-1,-Signals_EU!S80*Mapping!$C$14,0))</f>
        <v>5.000000000000001E-2</v>
      </c>
      <c r="O80" s="1">
        <f>0</f>
        <v>0</v>
      </c>
      <c r="P80" s="1">
        <f>0</f>
        <v>0</v>
      </c>
      <c r="Q80" s="1">
        <f>IF(Signals_EU!J80=1,Signals_EU!R80*Mapping!$C$17,IF(Signals_EU!J80=-1,-Signals_EU!S80*Mapping!$C$17,0))</f>
        <v>0</v>
      </c>
      <c r="R80" s="1">
        <f>IF(Signals_EU!K80=1,Signals_EU!R80*Mapping!$C$18,IF(Signals_EU!K80=-1,-Signals_EU!S80*Mapping!$C$18,0))</f>
        <v>0</v>
      </c>
      <c r="S80" s="1">
        <f>IF(Signals_EU!M80=1,Signals_EU!R80*Mapping!$C$19,IF(Signals_EU!M80=-1,-Signals_EU!S80*Mapping!$C$19,0))</f>
        <v>0</v>
      </c>
      <c r="T80" s="1">
        <f>IF(Signals_EU!L80=1,Signals_EU!R80*Mapping!$C$20,IF(Signals_EU!L80=-1,-Signals_EU!S80*Mapping!$C$20,0))</f>
        <v>-5.000000000000001E-2</v>
      </c>
      <c r="U80" s="1">
        <f t="shared" si="1"/>
        <v>0</v>
      </c>
    </row>
    <row r="81" spans="1:21">
      <c r="A81" s="5">
        <f>Signals_EU!B81</f>
        <v>41456</v>
      </c>
      <c r="B81" s="1">
        <f>IF(Signals_EU!O81=1,Signals_EU!R81*Mapping!$C$2,IF(Signals_EU!O81=-1,-Signals_EU!S81*Mapping!$C$2,0))</f>
        <v>5.000000000000001E-2</v>
      </c>
      <c r="C81" s="1">
        <f>IF(Signals_EU!F81=1,Signals_EU!R81*Mapping!$C$3,IF(Signals_EU!F81=-1,-Signals_EU!S81*Mapping!$C$3,0))</f>
        <v>3.0000000000000006E-2</v>
      </c>
      <c r="D81" s="1">
        <f>IF(Signals_EU!C81=1,Signals_EU!R81*Mapping!$C$4,IF(Signals_EU!C81=-1,-Signals_EU!S81*Mapping!$C$4,0))</f>
        <v>-2.5000000000000005E-2</v>
      </c>
      <c r="E81" s="1">
        <f>IF(Signals_EU!C81=1,Signals_EU!R81*Mapping!$C$5,IF(Signals_EU!C81=-1,-Signals_EU!S81*Mapping!$C$5,0))</f>
        <v>-2.5000000000000005E-2</v>
      </c>
      <c r="F81" s="1">
        <f>IF(Signals_EU!H81=1,Signals_EU!R81*Mapping!$C$6,IF(Signals_EU!H81=-1,-Signals_EU!S81*Mapping!$C$6,0))</f>
        <v>0</v>
      </c>
      <c r="G81" s="1">
        <f>IF(Signals_EU!F81=1,Signals_EU!R81*Mapping!$C$7,IF(Signals_EU!F81=-1,-Signals_EU!S81*Mapping!$C$7,0))</f>
        <v>1.0000000000000002E-2</v>
      </c>
      <c r="H81" s="1">
        <f>IF(Signals_EU!D81=1,Signals_EU!R81*Mapping!$C$8,IF(Signals_EU!D81=-1,-Signals_EU!S81*Mapping!$C$8,0))</f>
        <v>0</v>
      </c>
      <c r="I81" s="1">
        <f>IF(Signals_EU!G81=1,Signals_EU!R81*Mapping!$C$9,IF(Signals_EU!G81=-1,-Signals_EU!S81*Mapping!$C$9,0))</f>
        <v>0</v>
      </c>
      <c r="J81" s="1">
        <f>IF(Signals_EU!H81=1,Signals_EU!R81*Mapping!$C$10,IF(Signals_EU!H81=-1,-Signals_EU!S81*Mapping!$C$10,0))</f>
        <v>0</v>
      </c>
      <c r="K81" s="1">
        <f>IF(Signals_EU!F81=1,Signals_EU!R81*Mapping!$C$11,IF(Signals_EU!F81=-1,-Signals_EU!S81*Mapping!$C$11,0))</f>
        <v>1.0000000000000002E-2</v>
      </c>
      <c r="L81" s="1">
        <f>IF(Signals_EU!N81=1,Signals_EU!R81*Mapping!$C$12,IF(Signals_EU!N81=-1,-Signals_EU!S81*Mapping!$C$12,0))</f>
        <v>0</v>
      </c>
      <c r="M81" s="1">
        <f>IF(Signals_EU!I81=1,Signals_EU!R81*Mapping!$C$13,IF(Signals_EU!I81=-1,-Signals_EU!S81*Mapping!$C$13,0))</f>
        <v>0</v>
      </c>
      <c r="N81" s="1">
        <f>IF(Signals_EU!E81=1,Signals_EU!R81*Mapping!$C$14,IF(Signals_EU!E81=-1,-Signals_EU!S81*Mapping!$C$14,0))</f>
        <v>5.000000000000001E-2</v>
      </c>
      <c r="O81" s="1">
        <f>0</f>
        <v>0</v>
      </c>
      <c r="P81" s="1">
        <f>0</f>
        <v>0</v>
      </c>
      <c r="Q81" s="1">
        <f>IF(Signals_EU!J81=1,Signals_EU!R81*Mapping!$C$17,IF(Signals_EU!J81=-1,-Signals_EU!S81*Mapping!$C$17,0))</f>
        <v>-5.000000000000001E-2</v>
      </c>
      <c r="R81" s="1">
        <f>IF(Signals_EU!K81=1,Signals_EU!R81*Mapping!$C$18,IF(Signals_EU!K81=-1,-Signals_EU!S81*Mapping!$C$18,0))</f>
        <v>-5.000000000000001E-2</v>
      </c>
      <c r="S81" s="1">
        <f>IF(Signals_EU!M81=1,Signals_EU!R81*Mapping!$C$19,IF(Signals_EU!M81=-1,-Signals_EU!S81*Mapping!$C$19,0))</f>
        <v>0</v>
      </c>
      <c r="T81" s="1">
        <f>IF(Signals_EU!L81=1,Signals_EU!R81*Mapping!$C$20,IF(Signals_EU!L81=-1,-Signals_EU!S81*Mapping!$C$20,0))</f>
        <v>0</v>
      </c>
      <c r="U81" s="1">
        <f t="shared" si="1"/>
        <v>0</v>
      </c>
    </row>
    <row r="82" spans="1:21">
      <c r="A82" s="5">
        <f>Signals_EU!B82</f>
        <v>41487</v>
      </c>
      <c r="B82" s="1">
        <f>IF(Signals_EU!O82=1,Signals_EU!R82*Mapping!$C$2,IF(Signals_EU!O82=-1,-Signals_EU!S82*Mapping!$C$2,0))</f>
        <v>5.000000000000001E-2</v>
      </c>
      <c r="C82" s="1">
        <f>IF(Signals_EU!F82=1,Signals_EU!R82*Mapping!$C$3,IF(Signals_EU!F82=-1,-Signals_EU!S82*Mapping!$C$3,0))</f>
        <v>3.0000000000000006E-2</v>
      </c>
      <c r="D82" s="1">
        <f>IF(Signals_EU!C82=1,Signals_EU!R82*Mapping!$C$4,IF(Signals_EU!C82=-1,-Signals_EU!S82*Mapping!$C$4,0))</f>
        <v>-2.5000000000000005E-2</v>
      </c>
      <c r="E82" s="1">
        <f>IF(Signals_EU!C82=1,Signals_EU!R82*Mapping!$C$5,IF(Signals_EU!C82=-1,-Signals_EU!S82*Mapping!$C$5,0))</f>
        <v>-2.5000000000000005E-2</v>
      </c>
      <c r="F82" s="1">
        <f>IF(Signals_EU!H82=1,Signals_EU!R82*Mapping!$C$6,IF(Signals_EU!H82=-1,-Signals_EU!S82*Mapping!$C$6,0))</f>
        <v>0</v>
      </c>
      <c r="G82" s="1">
        <f>IF(Signals_EU!F82=1,Signals_EU!R82*Mapping!$C$7,IF(Signals_EU!F82=-1,-Signals_EU!S82*Mapping!$C$7,0))</f>
        <v>1.0000000000000002E-2</v>
      </c>
      <c r="H82" s="1">
        <f>IF(Signals_EU!D82=1,Signals_EU!R82*Mapping!$C$8,IF(Signals_EU!D82=-1,-Signals_EU!S82*Mapping!$C$8,0))</f>
        <v>0</v>
      </c>
      <c r="I82" s="1">
        <f>IF(Signals_EU!G82=1,Signals_EU!R82*Mapping!$C$9,IF(Signals_EU!G82=-1,-Signals_EU!S82*Mapping!$C$9,0))</f>
        <v>0</v>
      </c>
      <c r="J82" s="1">
        <f>IF(Signals_EU!H82=1,Signals_EU!R82*Mapping!$C$10,IF(Signals_EU!H82=-1,-Signals_EU!S82*Mapping!$C$10,0))</f>
        <v>0</v>
      </c>
      <c r="K82" s="1">
        <f>IF(Signals_EU!F82=1,Signals_EU!R82*Mapping!$C$11,IF(Signals_EU!F82=-1,-Signals_EU!S82*Mapping!$C$11,0))</f>
        <v>1.0000000000000002E-2</v>
      </c>
      <c r="L82" s="1">
        <f>IF(Signals_EU!N82=1,Signals_EU!R82*Mapping!$C$12,IF(Signals_EU!N82=-1,-Signals_EU!S82*Mapping!$C$12,0))</f>
        <v>0</v>
      </c>
      <c r="M82" s="1">
        <f>IF(Signals_EU!I82=1,Signals_EU!R82*Mapping!$C$13,IF(Signals_EU!I82=-1,-Signals_EU!S82*Mapping!$C$13,0))</f>
        <v>-5.000000000000001E-2</v>
      </c>
      <c r="N82" s="1">
        <f>IF(Signals_EU!E82=1,Signals_EU!R82*Mapping!$C$14,IF(Signals_EU!E82=-1,-Signals_EU!S82*Mapping!$C$14,0))</f>
        <v>5.000000000000001E-2</v>
      </c>
      <c r="O82" s="1">
        <f>0</f>
        <v>0</v>
      </c>
      <c r="P82" s="1">
        <f>0</f>
        <v>0</v>
      </c>
      <c r="Q82" s="1">
        <f>IF(Signals_EU!J82=1,Signals_EU!R82*Mapping!$C$17,IF(Signals_EU!J82=-1,-Signals_EU!S82*Mapping!$C$17,0))</f>
        <v>-5.000000000000001E-2</v>
      </c>
      <c r="R82" s="1">
        <f>IF(Signals_EU!K82=1,Signals_EU!R82*Mapping!$C$18,IF(Signals_EU!K82=-1,-Signals_EU!S82*Mapping!$C$18,0))</f>
        <v>0</v>
      </c>
      <c r="S82" s="1">
        <f>IF(Signals_EU!M82=1,Signals_EU!R82*Mapping!$C$19,IF(Signals_EU!M82=-1,-Signals_EU!S82*Mapping!$C$19,0))</f>
        <v>0</v>
      </c>
      <c r="T82" s="1">
        <f>IF(Signals_EU!L82=1,Signals_EU!R82*Mapping!$C$20,IF(Signals_EU!L82=-1,-Signals_EU!S82*Mapping!$C$20,0))</f>
        <v>0</v>
      </c>
      <c r="U82" s="1">
        <f t="shared" si="1"/>
        <v>0</v>
      </c>
    </row>
    <row r="83" spans="1:21">
      <c r="A83" s="5">
        <f>Signals_EU!B83</f>
        <v>41518</v>
      </c>
      <c r="B83" s="1">
        <f>IF(Signals_EU!O83=1,Signals_EU!R83*Mapping!$C$2,IF(Signals_EU!O83=-1,-Signals_EU!S83*Mapping!$C$2,0))</f>
        <v>5.000000000000001E-2</v>
      </c>
      <c r="C83" s="1">
        <f>IF(Signals_EU!F83=1,Signals_EU!R83*Mapping!$C$3,IF(Signals_EU!F83=-1,-Signals_EU!S83*Mapping!$C$3,0))</f>
        <v>0</v>
      </c>
      <c r="D83" s="1">
        <f>IF(Signals_EU!C83=1,Signals_EU!R83*Mapping!$C$4,IF(Signals_EU!C83=-1,-Signals_EU!S83*Mapping!$C$4,0))</f>
        <v>-2.5000000000000005E-2</v>
      </c>
      <c r="E83" s="1">
        <f>IF(Signals_EU!C83=1,Signals_EU!R83*Mapping!$C$5,IF(Signals_EU!C83=-1,-Signals_EU!S83*Mapping!$C$5,0))</f>
        <v>-2.5000000000000005E-2</v>
      </c>
      <c r="F83" s="1">
        <f>IF(Signals_EU!H83=1,Signals_EU!R83*Mapping!$C$6,IF(Signals_EU!H83=-1,-Signals_EU!S83*Mapping!$C$6,0))</f>
        <v>1.0000000000000002E-2</v>
      </c>
      <c r="G83" s="1">
        <f>IF(Signals_EU!F83=1,Signals_EU!R83*Mapping!$C$7,IF(Signals_EU!F83=-1,-Signals_EU!S83*Mapping!$C$7,0))</f>
        <v>0</v>
      </c>
      <c r="H83" s="1">
        <f>IF(Signals_EU!D83=1,Signals_EU!R83*Mapping!$C$8,IF(Signals_EU!D83=-1,-Signals_EU!S83*Mapping!$C$8,0))</f>
        <v>0</v>
      </c>
      <c r="I83" s="1">
        <f>IF(Signals_EU!G83=1,Signals_EU!R83*Mapping!$C$9,IF(Signals_EU!G83=-1,-Signals_EU!S83*Mapping!$C$9,0))</f>
        <v>0</v>
      </c>
      <c r="J83" s="1">
        <f>IF(Signals_EU!H83=1,Signals_EU!R83*Mapping!$C$10,IF(Signals_EU!H83=-1,-Signals_EU!S83*Mapping!$C$10,0))</f>
        <v>4.0000000000000008E-2</v>
      </c>
      <c r="K83" s="1">
        <f>IF(Signals_EU!F83=1,Signals_EU!R83*Mapping!$C$11,IF(Signals_EU!F83=-1,-Signals_EU!S83*Mapping!$C$11,0))</f>
        <v>0</v>
      </c>
      <c r="L83" s="1">
        <f>IF(Signals_EU!N83=1,Signals_EU!R83*Mapping!$C$12,IF(Signals_EU!N83=-1,-Signals_EU!S83*Mapping!$C$12,0))</f>
        <v>0</v>
      </c>
      <c r="M83" s="1">
        <f>IF(Signals_EU!I83=1,Signals_EU!R83*Mapping!$C$13,IF(Signals_EU!I83=-1,-Signals_EU!S83*Mapping!$C$13,0))</f>
        <v>0</v>
      </c>
      <c r="N83" s="1">
        <f>IF(Signals_EU!E83=1,Signals_EU!R83*Mapping!$C$14,IF(Signals_EU!E83=-1,-Signals_EU!S83*Mapping!$C$14,0))</f>
        <v>5.000000000000001E-2</v>
      </c>
      <c r="O83" s="1">
        <f>0</f>
        <v>0</v>
      </c>
      <c r="P83" s="1">
        <f>0</f>
        <v>0</v>
      </c>
      <c r="Q83" s="1">
        <f>IF(Signals_EU!J83=1,Signals_EU!R83*Mapping!$C$17,IF(Signals_EU!J83=-1,-Signals_EU!S83*Mapping!$C$17,0))</f>
        <v>-5.000000000000001E-2</v>
      </c>
      <c r="R83" s="1">
        <f>IF(Signals_EU!K83=1,Signals_EU!R83*Mapping!$C$18,IF(Signals_EU!K83=-1,-Signals_EU!S83*Mapping!$C$18,0))</f>
        <v>-5.000000000000001E-2</v>
      </c>
      <c r="S83" s="1">
        <f>IF(Signals_EU!M83=1,Signals_EU!R83*Mapping!$C$19,IF(Signals_EU!M83=-1,-Signals_EU!S83*Mapping!$C$19,0))</f>
        <v>0</v>
      </c>
      <c r="T83" s="1">
        <f>IF(Signals_EU!L83=1,Signals_EU!R83*Mapping!$C$20,IF(Signals_EU!L83=-1,-Signals_EU!S83*Mapping!$C$20,0))</f>
        <v>0</v>
      </c>
      <c r="U83" s="1">
        <f t="shared" si="1"/>
        <v>0</v>
      </c>
    </row>
    <row r="84" spans="1:21">
      <c r="A84" s="5">
        <f>Signals_EU!B84</f>
        <v>41548</v>
      </c>
      <c r="B84" s="1">
        <f>IF(Signals_EU!O84=1,Signals_EU!R84*Mapping!$C$2,IF(Signals_EU!O84=-1,-Signals_EU!S84*Mapping!$C$2,0))</f>
        <v>5.000000000000001E-2</v>
      </c>
      <c r="C84" s="1">
        <f>IF(Signals_EU!F84=1,Signals_EU!R84*Mapping!$C$3,IF(Signals_EU!F84=-1,-Signals_EU!S84*Mapping!$C$3,0))</f>
        <v>0</v>
      </c>
      <c r="D84" s="1">
        <f>IF(Signals_EU!C84=1,Signals_EU!R84*Mapping!$C$4,IF(Signals_EU!C84=-1,-Signals_EU!S84*Mapping!$C$4,0))</f>
        <v>-2.5000000000000005E-2</v>
      </c>
      <c r="E84" s="1">
        <f>IF(Signals_EU!C84=1,Signals_EU!R84*Mapping!$C$5,IF(Signals_EU!C84=-1,-Signals_EU!S84*Mapping!$C$5,0))</f>
        <v>-2.5000000000000005E-2</v>
      </c>
      <c r="F84" s="1">
        <f>IF(Signals_EU!H84=1,Signals_EU!R84*Mapping!$C$6,IF(Signals_EU!H84=-1,-Signals_EU!S84*Mapping!$C$6,0))</f>
        <v>1.0000000000000002E-2</v>
      </c>
      <c r="G84" s="1">
        <f>IF(Signals_EU!F84=1,Signals_EU!R84*Mapping!$C$7,IF(Signals_EU!F84=-1,-Signals_EU!S84*Mapping!$C$7,0))</f>
        <v>0</v>
      </c>
      <c r="H84" s="1">
        <f>IF(Signals_EU!D84=1,Signals_EU!R84*Mapping!$C$8,IF(Signals_EU!D84=-1,-Signals_EU!S84*Mapping!$C$8,0))</f>
        <v>0</v>
      </c>
      <c r="I84" s="1">
        <f>IF(Signals_EU!G84=1,Signals_EU!R84*Mapping!$C$9,IF(Signals_EU!G84=-1,-Signals_EU!S84*Mapping!$C$9,0))</f>
        <v>0</v>
      </c>
      <c r="J84" s="1">
        <f>IF(Signals_EU!H84=1,Signals_EU!R84*Mapping!$C$10,IF(Signals_EU!H84=-1,-Signals_EU!S84*Mapping!$C$10,0))</f>
        <v>4.0000000000000008E-2</v>
      </c>
      <c r="K84" s="1">
        <f>IF(Signals_EU!F84=1,Signals_EU!R84*Mapping!$C$11,IF(Signals_EU!F84=-1,-Signals_EU!S84*Mapping!$C$11,0))</f>
        <v>0</v>
      </c>
      <c r="L84" s="1">
        <f>IF(Signals_EU!N84=1,Signals_EU!R84*Mapping!$C$12,IF(Signals_EU!N84=-1,-Signals_EU!S84*Mapping!$C$12,0))</f>
        <v>-5.000000000000001E-2</v>
      </c>
      <c r="M84" s="1">
        <f>IF(Signals_EU!I84=1,Signals_EU!R84*Mapping!$C$13,IF(Signals_EU!I84=-1,-Signals_EU!S84*Mapping!$C$13,0))</f>
        <v>0</v>
      </c>
      <c r="N84" s="1">
        <f>IF(Signals_EU!E84=1,Signals_EU!R84*Mapping!$C$14,IF(Signals_EU!E84=-1,-Signals_EU!S84*Mapping!$C$14,0))</f>
        <v>5.000000000000001E-2</v>
      </c>
      <c r="O84" s="1">
        <f>0</f>
        <v>0</v>
      </c>
      <c r="P84" s="1">
        <f>0</f>
        <v>0</v>
      </c>
      <c r="Q84" s="1">
        <f>IF(Signals_EU!J84=1,Signals_EU!R84*Mapping!$C$17,IF(Signals_EU!J84=-1,-Signals_EU!S84*Mapping!$C$17,0))</f>
        <v>0</v>
      </c>
      <c r="R84" s="1">
        <f>IF(Signals_EU!K84=1,Signals_EU!R84*Mapping!$C$18,IF(Signals_EU!K84=-1,-Signals_EU!S84*Mapping!$C$18,0))</f>
        <v>-5.000000000000001E-2</v>
      </c>
      <c r="S84" s="1">
        <f>IF(Signals_EU!M84=1,Signals_EU!R84*Mapping!$C$19,IF(Signals_EU!M84=-1,-Signals_EU!S84*Mapping!$C$19,0))</f>
        <v>0</v>
      </c>
      <c r="T84" s="1">
        <f>IF(Signals_EU!L84=1,Signals_EU!R84*Mapping!$C$20,IF(Signals_EU!L84=-1,-Signals_EU!S84*Mapping!$C$20,0))</f>
        <v>0</v>
      </c>
      <c r="U84" s="1">
        <f t="shared" si="1"/>
        <v>0</v>
      </c>
    </row>
    <row r="85" spans="1:21">
      <c r="A85" s="5">
        <f>Signals_EU!B85</f>
        <v>41579</v>
      </c>
      <c r="B85" s="1">
        <f>IF(Signals_EU!O85=1,Signals_EU!R85*Mapping!$C$2,IF(Signals_EU!O85=-1,-Signals_EU!S85*Mapping!$C$2,0))</f>
        <v>5.000000000000001E-2</v>
      </c>
      <c r="C85" s="1">
        <f>IF(Signals_EU!F85=1,Signals_EU!R85*Mapping!$C$3,IF(Signals_EU!F85=-1,-Signals_EU!S85*Mapping!$C$3,0))</f>
        <v>0</v>
      </c>
      <c r="D85" s="1">
        <f>IF(Signals_EU!C85=1,Signals_EU!R85*Mapping!$C$4,IF(Signals_EU!C85=-1,-Signals_EU!S85*Mapping!$C$4,0))</f>
        <v>-2.5000000000000005E-2</v>
      </c>
      <c r="E85" s="1">
        <f>IF(Signals_EU!C85=1,Signals_EU!R85*Mapping!$C$5,IF(Signals_EU!C85=-1,-Signals_EU!S85*Mapping!$C$5,0))</f>
        <v>-2.5000000000000005E-2</v>
      </c>
      <c r="F85" s="1">
        <f>IF(Signals_EU!H85=1,Signals_EU!R85*Mapping!$C$6,IF(Signals_EU!H85=-1,-Signals_EU!S85*Mapping!$C$6,0))</f>
        <v>1.0000000000000002E-2</v>
      </c>
      <c r="G85" s="1">
        <f>IF(Signals_EU!F85=1,Signals_EU!R85*Mapping!$C$7,IF(Signals_EU!F85=-1,-Signals_EU!S85*Mapping!$C$7,0))</f>
        <v>0</v>
      </c>
      <c r="H85" s="1">
        <f>IF(Signals_EU!D85=1,Signals_EU!R85*Mapping!$C$8,IF(Signals_EU!D85=-1,-Signals_EU!S85*Mapping!$C$8,0))</f>
        <v>0</v>
      </c>
      <c r="I85" s="1">
        <f>IF(Signals_EU!G85=1,Signals_EU!R85*Mapping!$C$9,IF(Signals_EU!G85=-1,-Signals_EU!S85*Mapping!$C$9,0))</f>
        <v>0</v>
      </c>
      <c r="J85" s="1">
        <f>IF(Signals_EU!H85=1,Signals_EU!R85*Mapping!$C$10,IF(Signals_EU!H85=-1,-Signals_EU!S85*Mapping!$C$10,0))</f>
        <v>4.0000000000000008E-2</v>
      </c>
      <c r="K85" s="1">
        <f>IF(Signals_EU!F85=1,Signals_EU!R85*Mapping!$C$11,IF(Signals_EU!F85=-1,-Signals_EU!S85*Mapping!$C$11,0))</f>
        <v>0</v>
      </c>
      <c r="L85" s="1">
        <f>IF(Signals_EU!N85=1,Signals_EU!R85*Mapping!$C$12,IF(Signals_EU!N85=-1,-Signals_EU!S85*Mapping!$C$12,0))</f>
        <v>0</v>
      </c>
      <c r="M85" s="1">
        <f>IF(Signals_EU!I85=1,Signals_EU!R85*Mapping!$C$13,IF(Signals_EU!I85=-1,-Signals_EU!S85*Mapping!$C$13,0))</f>
        <v>-5.000000000000001E-2</v>
      </c>
      <c r="N85" s="1">
        <f>IF(Signals_EU!E85=1,Signals_EU!R85*Mapping!$C$14,IF(Signals_EU!E85=-1,-Signals_EU!S85*Mapping!$C$14,0))</f>
        <v>5.000000000000001E-2</v>
      </c>
      <c r="O85" s="1">
        <f>0</f>
        <v>0</v>
      </c>
      <c r="P85" s="1">
        <f>0</f>
        <v>0</v>
      </c>
      <c r="Q85" s="1">
        <f>IF(Signals_EU!J85=1,Signals_EU!R85*Mapping!$C$17,IF(Signals_EU!J85=-1,-Signals_EU!S85*Mapping!$C$17,0))</f>
        <v>-5.000000000000001E-2</v>
      </c>
      <c r="R85" s="1">
        <f>IF(Signals_EU!K85=1,Signals_EU!R85*Mapping!$C$18,IF(Signals_EU!K85=-1,-Signals_EU!S85*Mapping!$C$18,0))</f>
        <v>0</v>
      </c>
      <c r="S85" s="1">
        <f>IF(Signals_EU!M85=1,Signals_EU!R85*Mapping!$C$19,IF(Signals_EU!M85=-1,-Signals_EU!S85*Mapping!$C$19,0))</f>
        <v>0</v>
      </c>
      <c r="T85" s="1">
        <f>IF(Signals_EU!L85=1,Signals_EU!R85*Mapping!$C$20,IF(Signals_EU!L85=-1,-Signals_EU!S85*Mapping!$C$20,0))</f>
        <v>0</v>
      </c>
      <c r="U85" s="1">
        <f t="shared" si="1"/>
        <v>0</v>
      </c>
    </row>
    <row r="86" spans="1:21">
      <c r="A86" s="5">
        <f>Signals_EU!B86</f>
        <v>41609</v>
      </c>
      <c r="B86" s="1">
        <f>IF(Signals_EU!O86=1,Signals_EU!R86*Mapping!$C$2,IF(Signals_EU!O86=-1,-Signals_EU!S86*Mapping!$C$2,0))</f>
        <v>5.000000000000001E-2</v>
      </c>
      <c r="C86" s="1">
        <f>IF(Signals_EU!F86=1,Signals_EU!R86*Mapping!$C$3,IF(Signals_EU!F86=-1,-Signals_EU!S86*Mapping!$C$3,0))</f>
        <v>0</v>
      </c>
      <c r="D86" s="1">
        <f>IF(Signals_EU!C86=1,Signals_EU!R86*Mapping!$C$4,IF(Signals_EU!C86=-1,-Signals_EU!S86*Mapping!$C$4,0))</f>
        <v>-2.5000000000000005E-2</v>
      </c>
      <c r="E86" s="1">
        <f>IF(Signals_EU!C86=1,Signals_EU!R86*Mapping!$C$5,IF(Signals_EU!C86=-1,-Signals_EU!S86*Mapping!$C$5,0))</f>
        <v>-2.5000000000000005E-2</v>
      </c>
      <c r="F86" s="1">
        <f>IF(Signals_EU!H86=1,Signals_EU!R86*Mapping!$C$6,IF(Signals_EU!H86=-1,-Signals_EU!S86*Mapping!$C$6,0))</f>
        <v>0</v>
      </c>
      <c r="G86" s="1">
        <f>IF(Signals_EU!F86=1,Signals_EU!R86*Mapping!$C$7,IF(Signals_EU!F86=-1,-Signals_EU!S86*Mapping!$C$7,0))</f>
        <v>0</v>
      </c>
      <c r="H86" s="1">
        <f>IF(Signals_EU!D86=1,Signals_EU!R86*Mapping!$C$8,IF(Signals_EU!D86=-1,-Signals_EU!S86*Mapping!$C$8,0))</f>
        <v>0</v>
      </c>
      <c r="I86" s="1">
        <f>IF(Signals_EU!G86=1,Signals_EU!R86*Mapping!$C$9,IF(Signals_EU!G86=-1,-Signals_EU!S86*Mapping!$C$9,0))</f>
        <v>0</v>
      </c>
      <c r="J86" s="1">
        <f>IF(Signals_EU!H86=1,Signals_EU!R86*Mapping!$C$10,IF(Signals_EU!H86=-1,-Signals_EU!S86*Mapping!$C$10,0))</f>
        <v>0</v>
      </c>
      <c r="K86" s="1">
        <f>IF(Signals_EU!F86=1,Signals_EU!R86*Mapping!$C$11,IF(Signals_EU!F86=-1,-Signals_EU!S86*Mapping!$C$11,0))</f>
        <v>0</v>
      </c>
      <c r="L86" s="1">
        <f>IF(Signals_EU!N86=1,Signals_EU!R86*Mapping!$C$12,IF(Signals_EU!N86=-1,-Signals_EU!S86*Mapping!$C$12,0))</f>
        <v>0</v>
      </c>
      <c r="M86" s="1">
        <f>IF(Signals_EU!I86=1,Signals_EU!R86*Mapping!$C$13,IF(Signals_EU!I86=-1,-Signals_EU!S86*Mapping!$C$13,0))</f>
        <v>-5.000000000000001E-2</v>
      </c>
      <c r="N86" s="1">
        <f>IF(Signals_EU!E86=1,Signals_EU!R86*Mapping!$C$14,IF(Signals_EU!E86=-1,-Signals_EU!S86*Mapping!$C$14,0))</f>
        <v>5.000000000000001E-2</v>
      </c>
      <c r="O86" s="1">
        <f>0</f>
        <v>0</v>
      </c>
      <c r="P86" s="1">
        <f>0</f>
        <v>0</v>
      </c>
      <c r="Q86" s="1">
        <f>IF(Signals_EU!J86=1,Signals_EU!R86*Mapping!$C$17,IF(Signals_EU!J86=-1,-Signals_EU!S86*Mapping!$C$17,0))</f>
        <v>-5.000000000000001E-2</v>
      </c>
      <c r="R86" s="1">
        <f>IF(Signals_EU!K86=1,Signals_EU!R86*Mapping!$C$18,IF(Signals_EU!K86=-1,-Signals_EU!S86*Mapping!$C$18,0))</f>
        <v>5.000000000000001E-2</v>
      </c>
      <c r="S86" s="1">
        <f>IF(Signals_EU!M86=1,Signals_EU!R86*Mapping!$C$19,IF(Signals_EU!M86=-1,-Signals_EU!S86*Mapping!$C$19,0))</f>
        <v>0</v>
      </c>
      <c r="T86" s="1">
        <f>IF(Signals_EU!L86=1,Signals_EU!R86*Mapping!$C$20,IF(Signals_EU!L86=-1,-Signals_EU!S86*Mapping!$C$20,0))</f>
        <v>0</v>
      </c>
      <c r="U86" s="1">
        <f t="shared" si="1"/>
        <v>0</v>
      </c>
    </row>
    <row r="87" spans="1:21">
      <c r="A87" s="5">
        <f>Signals_EU!B87</f>
        <v>41640</v>
      </c>
      <c r="B87" s="1">
        <f>IF(Signals_EU!O87=1,Signals_EU!R87*Mapping!$C$2,IF(Signals_EU!O87=-1,-Signals_EU!S87*Mapping!$C$2,0))</f>
        <v>5.000000000000001E-2</v>
      </c>
      <c r="C87" s="1">
        <f>IF(Signals_EU!F87=1,Signals_EU!R87*Mapping!$C$3,IF(Signals_EU!F87=-1,-Signals_EU!S87*Mapping!$C$3,0))</f>
        <v>0</v>
      </c>
      <c r="D87" s="1">
        <f>IF(Signals_EU!C87=1,Signals_EU!R87*Mapping!$C$4,IF(Signals_EU!C87=-1,-Signals_EU!S87*Mapping!$C$4,0))</f>
        <v>-2.5000000000000005E-2</v>
      </c>
      <c r="E87" s="1">
        <f>IF(Signals_EU!C87=1,Signals_EU!R87*Mapping!$C$5,IF(Signals_EU!C87=-1,-Signals_EU!S87*Mapping!$C$5,0))</f>
        <v>-2.5000000000000005E-2</v>
      </c>
      <c r="F87" s="1">
        <f>IF(Signals_EU!H87=1,Signals_EU!R87*Mapping!$C$6,IF(Signals_EU!H87=-1,-Signals_EU!S87*Mapping!$C$6,0))</f>
        <v>0</v>
      </c>
      <c r="G87" s="1">
        <f>IF(Signals_EU!F87=1,Signals_EU!R87*Mapping!$C$7,IF(Signals_EU!F87=-1,-Signals_EU!S87*Mapping!$C$7,0))</f>
        <v>0</v>
      </c>
      <c r="H87" s="1">
        <f>IF(Signals_EU!D87=1,Signals_EU!R87*Mapping!$C$8,IF(Signals_EU!D87=-1,-Signals_EU!S87*Mapping!$C$8,0))</f>
        <v>0</v>
      </c>
      <c r="I87" s="1">
        <f>IF(Signals_EU!G87=1,Signals_EU!R87*Mapping!$C$9,IF(Signals_EU!G87=-1,-Signals_EU!S87*Mapping!$C$9,0))</f>
        <v>-5.000000000000001E-2</v>
      </c>
      <c r="J87" s="1">
        <f>IF(Signals_EU!H87=1,Signals_EU!R87*Mapping!$C$10,IF(Signals_EU!H87=-1,-Signals_EU!S87*Mapping!$C$10,0))</f>
        <v>0</v>
      </c>
      <c r="K87" s="1">
        <f>IF(Signals_EU!F87=1,Signals_EU!R87*Mapping!$C$11,IF(Signals_EU!F87=-1,-Signals_EU!S87*Mapping!$C$11,0))</f>
        <v>0</v>
      </c>
      <c r="L87" s="1">
        <f>IF(Signals_EU!N87=1,Signals_EU!R87*Mapping!$C$12,IF(Signals_EU!N87=-1,-Signals_EU!S87*Mapping!$C$12,0))</f>
        <v>0</v>
      </c>
      <c r="M87" s="1">
        <f>IF(Signals_EU!I87=1,Signals_EU!R87*Mapping!$C$13,IF(Signals_EU!I87=-1,-Signals_EU!S87*Mapping!$C$13,0))</f>
        <v>0</v>
      </c>
      <c r="N87" s="1">
        <f>IF(Signals_EU!E87=1,Signals_EU!R87*Mapping!$C$14,IF(Signals_EU!E87=-1,-Signals_EU!S87*Mapping!$C$14,0))</f>
        <v>5.000000000000001E-2</v>
      </c>
      <c r="O87" s="1">
        <f>0</f>
        <v>0</v>
      </c>
      <c r="P87" s="1">
        <f>0</f>
        <v>0</v>
      </c>
      <c r="Q87" s="1">
        <f>IF(Signals_EU!J87=1,Signals_EU!R87*Mapping!$C$17,IF(Signals_EU!J87=-1,-Signals_EU!S87*Mapping!$C$17,0))</f>
        <v>-5.000000000000001E-2</v>
      </c>
      <c r="R87" s="1">
        <f>IF(Signals_EU!K87=1,Signals_EU!R87*Mapping!$C$18,IF(Signals_EU!K87=-1,-Signals_EU!S87*Mapping!$C$18,0))</f>
        <v>0</v>
      </c>
      <c r="S87" s="1">
        <f>IF(Signals_EU!M87=1,Signals_EU!R87*Mapping!$C$19,IF(Signals_EU!M87=-1,-Signals_EU!S87*Mapping!$C$19,0))</f>
        <v>0</v>
      </c>
      <c r="T87" s="1">
        <f>IF(Signals_EU!L87=1,Signals_EU!R87*Mapping!$C$20,IF(Signals_EU!L87=-1,-Signals_EU!S87*Mapping!$C$20,0))</f>
        <v>5.000000000000001E-2</v>
      </c>
      <c r="U87" s="1">
        <f t="shared" si="1"/>
        <v>0</v>
      </c>
    </row>
    <row r="88" spans="1:21">
      <c r="A88" s="5">
        <f>Signals_EU!B88</f>
        <v>41671</v>
      </c>
      <c r="B88" s="1">
        <f>IF(Signals_EU!O88=1,Signals_EU!R88*Mapping!$C$2,IF(Signals_EU!O88=-1,-Signals_EU!S88*Mapping!$C$2,0))</f>
        <v>5.000000000000001E-2</v>
      </c>
      <c r="C88" s="1">
        <f>IF(Signals_EU!F88=1,Signals_EU!R88*Mapping!$C$3,IF(Signals_EU!F88=-1,-Signals_EU!S88*Mapping!$C$3,0))</f>
        <v>0</v>
      </c>
      <c r="D88" s="1">
        <f>IF(Signals_EU!C88=1,Signals_EU!R88*Mapping!$C$4,IF(Signals_EU!C88=-1,-Signals_EU!S88*Mapping!$C$4,0))</f>
        <v>-2.5000000000000005E-2</v>
      </c>
      <c r="E88" s="1">
        <f>IF(Signals_EU!C88=1,Signals_EU!R88*Mapping!$C$5,IF(Signals_EU!C88=-1,-Signals_EU!S88*Mapping!$C$5,0))</f>
        <v>-2.5000000000000005E-2</v>
      </c>
      <c r="F88" s="1">
        <f>IF(Signals_EU!H88=1,Signals_EU!R88*Mapping!$C$6,IF(Signals_EU!H88=-1,-Signals_EU!S88*Mapping!$C$6,0))</f>
        <v>1.0000000000000002E-2</v>
      </c>
      <c r="G88" s="1">
        <f>IF(Signals_EU!F88=1,Signals_EU!R88*Mapping!$C$7,IF(Signals_EU!F88=-1,-Signals_EU!S88*Mapping!$C$7,0))</f>
        <v>0</v>
      </c>
      <c r="H88" s="1">
        <f>IF(Signals_EU!D88=1,Signals_EU!R88*Mapping!$C$8,IF(Signals_EU!D88=-1,-Signals_EU!S88*Mapping!$C$8,0))</f>
        <v>0</v>
      </c>
      <c r="I88" s="1">
        <f>IF(Signals_EU!G88=1,Signals_EU!R88*Mapping!$C$9,IF(Signals_EU!G88=-1,-Signals_EU!S88*Mapping!$C$9,0))</f>
        <v>0</v>
      </c>
      <c r="J88" s="1">
        <f>IF(Signals_EU!H88=1,Signals_EU!R88*Mapping!$C$10,IF(Signals_EU!H88=-1,-Signals_EU!S88*Mapping!$C$10,0))</f>
        <v>4.0000000000000008E-2</v>
      </c>
      <c r="K88" s="1">
        <f>IF(Signals_EU!F88=1,Signals_EU!R88*Mapping!$C$11,IF(Signals_EU!F88=-1,-Signals_EU!S88*Mapping!$C$11,0))</f>
        <v>0</v>
      </c>
      <c r="L88" s="1">
        <f>IF(Signals_EU!N88=1,Signals_EU!R88*Mapping!$C$12,IF(Signals_EU!N88=-1,-Signals_EU!S88*Mapping!$C$12,0))</f>
        <v>0</v>
      </c>
      <c r="M88" s="1">
        <f>IF(Signals_EU!I88=1,Signals_EU!R88*Mapping!$C$13,IF(Signals_EU!I88=-1,-Signals_EU!S88*Mapping!$C$13,0))</f>
        <v>-5.000000000000001E-2</v>
      </c>
      <c r="N88" s="1">
        <f>IF(Signals_EU!E88=1,Signals_EU!R88*Mapping!$C$14,IF(Signals_EU!E88=-1,-Signals_EU!S88*Mapping!$C$14,0))</f>
        <v>5.000000000000001E-2</v>
      </c>
      <c r="O88" s="1">
        <f>0</f>
        <v>0</v>
      </c>
      <c r="P88" s="1">
        <f>0</f>
        <v>0</v>
      </c>
      <c r="Q88" s="1">
        <f>IF(Signals_EU!J88=1,Signals_EU!R88*Mapping!$C$17,IF(Signals_EU!J88=-1,-Signals_EU!S88*Mapping!$C$17,0))</f>
        <v>-5.000000000000001E-2</v>
      </c>
      <c r="R88" s="1">
        <f>IF(Signals_EU!K88=1,Signals_EU!R88*Mapping!$C$18,IF(Signals_EU!K88=-1,-Signals_EU!S88*Mapping!$C$18,0))</f>
        <v>0</v>
      </c>
      <c r="S88" s="1">
        <f>IF(Signals_EU!M88=1,Signals_EU!R88*Mapping!$C$19,IF(Signals_EU!M88=-1,-Signals_EU!S88*Mapping!$C$19,0))</f>
        <v>0</v>
      </c>
      <c r="T88" s="1">
        <f>IF(Signals_EU!L88=1,Signals_EU!R88*Mapping!$C$20,IF(Signals_EU!L88=-1,-Signals_EU!S88*Mapping!$C$20,0))</f>
        <v>0</v>
      </c>
      <c r="U88" s="1">
        <f t="shared" si="1"/>
        <v>0</v>
      </c>
    </row>
    <row r="89" spans="1:21">
      <c r="A89" s="5">
        <f>Signals_EU!B89</f>
        <v>41699</v>
      </c>
      <c r="B89" s="1">
        <f>IF(Signals_EU!O89=1,Signals_EU!R89*Mapping!$C$2,IF(Signals_EU!O89=-1,-Signals_EU!S89*Mapping!$C$2,0))</f>
        <v>5.000000000000001E-2</v>
      </c>
      <c r="C89" s="1">
        <f>IF(Signals_EU!F89=1,Signals_EU!R89*Mapping!$C$3,IF(Signals_EU!F89=-1,-Signals_EU!S89*Mapping!$C$3,0))</f>
        <v>0</v>
      </c>
      <c r="D89" s="1">
        <f>IF(Signals_EU!C89=1,Signals_EU!R89*Mapping!$C$4,IF(Signals_EU!C89=-1,-Signals_EU!S89*Mapping!$C$4,0))</f>
        <v>-2.5000000000000005E-2</v>
      </c>
      <c r="E89" s="1">
        <f>IF(Signals_EU!C89=1,Signals_EU!R89*Mapping!$C$5,IF(Signals_EU!C89=-1,-Signals_EU!S89*Mapping!$C$5,0))</f>
        <v>-2.5000000000000005E-2</v>
      </c>
      <c r="F89" s="1">
        <f>IF(Signals_EU!H89=1,Signals_EU!R89*Mapping!$C$6,IF(Signals_EU!H89=-1,-Signals_EU!S89*Mapping!$C$6,0))</f>
        <v>1.0000000000000002E-2</v>
      </c>
      <c r="G89" s="1">
        <f>IF(Signals_EU!F89=1,Signals_EU!R89*Mapping!$C$7,IF(Signals_EU!F89=-1,-Signals_EU!S89*Mapping!$C$7,0))</f>
        <v>0</v>
      </c>
      <c r="H89" s="1">
        <f>IF(Signals_EU!D89=1,Signals_EU!R89*Mapping!$C$8,IF(Signals_EU!D89=-1,-Signals_EU!S89*Mapping!$C$8,0))</f>
        <v>0</v>
      </c>
      <c r="I89" s="1">
        <f>IF(Signals_EU!G89=1,Signals_EU!R89*Mapping!$C$9,IF(Signals_EU!G89=-1,-Signals_EU!S89*Mapping!$C$9,0))</f>
        <v>0</v>
      </c>
      <c r="J89" s="1">
        <f>IF(Signals_EU!H89=1,Signals_EU!R89*Mapping!$C$10,IF(Signals_EU!H89=-1,-Signals_EU!S89*Mapping!$C$10,0))</f>
        <v>4.0000000000000008E-2</v>
      </c>
      <c r="K89" s="1">
        <f>IF(Signals_EU!F89=1,Signals_EU!R89*Mapping!$C$11,IF(Signals_EU!F89=-1,-Signals_EU!S89*Mapping!$C$11,0))</f>
        <v>0</v>
      </c>
      <c r="L89" s="1">
        <f>IF(Signals_EU!N89=1,Signals_EU!R89*Mapping!$C$12,IF(Signals_EU!N89=-1,-Signals_EU!S89*Mapping!$C$12,0))</f>
        <v>0</v>
      </c>
      <c r="M89" s="1">
        <f>IF(Signals_EU!I89=1,Signals_EU!R89*Mapping!$C$13,IF(Signals_EU!I89=-1,-Signals_EU!S89*Mapping!$C$13,0))</f>
        <v>-5.000000000000001E-2</v>
      </c>
      <c r="N89" s="1">
        <f>IF(Signals_EU!E89=1,Signals_EU!R89*Mapping!$C$14,IF(Signals_EU!E89=-1,-Signals_EU!S89*Mapping!$C$14,0))</f>
        <v>0</v>
      </c>
      <c r="O89" s="1">
        <f>0</f>
        <v>0</v>
      </c>
      <c r="P89" s="1">
        <f>0</f>
        <v>0</v>
      </c>
      <c r="Q89" s="1">
        <f>IF(Signals_EU!J89=1,Signals_EU!R89*Mapping!$C$17,IF(Signals_EU!J89=-1,-Signals_EU!S89*Mapping!$C$17,0))</f>
        <v>0</v>
      </c>
      <c r="R89" s="1">
        <f>IF(Signals_EU!K89=1,Signals_EU!R89*Mapping!$C$18,IF(Signals_EU!K89=-1,-Signals_EU!S89*Mapping!$C$18,0))</f>
        <v>5.000000000000001E-2</v>
      </c>
      <c r="S89" s="1">
        <f>IF(Signals_EU!M89=1,Signals_EU!R89*Mapping!$C$19,IF(Signals_EU!M89=-1,-Signals_EU!S89*Mapping!$C$19,0))</f>
        <v>0</v>
      </c>
      <c r="T89" s="1">
        <f>IF(Signals_EU!L89=1,Signals_EU!R89*Mapping!$C$20,IF(Signals_EU!L89=-1,-Signals_EU!S89*Mapping!$C$20,0))</f>
        <v>-5.000000000000001E-2</v>
      </c>
      <c r="U89" s="1">
        <f t="shared" si="1"/>
        <v>0</v>
      </c>
    </row>
    <row r="90" spans="1:21">
      <c r="A90" s="5">
        <f>Signals_EU!B90</f>
        <v>41730</v>
      </c>
      <c r="B90" s="1">
        <f>IF(Signals_EU!O90=1,Signals_EU!R90*Mapping!$C$2,IF(Signals_EU!O90=-1,-Signals_EU!S90*Mapping!$C$2,0))</f>
        <v>5.000000000000001E-2</v>
      </c>
      <c r="C90" s="1">
        <f>IF(Signals_EU!F90=1,Signals_EU!R90*Mapping!$C$3,IF(Signals_EU!F90=-1,-Signals_EU!S90*Mapping!$C$3,0))</f>
        <v>0</v>
      </c>
      <c r="D90" s="1">
        <f>IF(Signals_EU!C90=1,Signals_EU!R90*Mapping!$C$4,IF(Signals_EU!C90=-1,-Signals_EU!S90*Mapping!$C$4,0))</f>
        <v>-2.5000000000000005E-2</v>
      </c>
      <c r="E90" s="1">
        <f>IF(Signals_EU!C90=1,Signals_EU!R90*Mapping!$C$5,IF(Signals_EU!C90=-1,-Signals_EU!S90*Mapping!$C$5,0))</f>
        <v>-2.5000000000000005E-2</v>
      </c>
      <c r="F90" s="1">
        <f>IF(Signals_EU!H90=1,Signals_EU!R90*Mapping!$C$6,IF(Signals_EU!H90=-1,-Signals_EU!S90*Mapping!$C$6,0))</f>
        <v>0</v>
      </c>
      <c r="G90" s="1">
        <f>IF(Signals_EU!F90=1,Signals_EU!R90*Mapping!$C$7,IF(Signals_EU!F90=-1,-Signals_EU!S90*Mapping!$C$7,0))</f>
        <v>0</v>
      </c>
      <c r="H90" s="1">
        <f>IF(Signals_EU!D90=1,Signals_EU!R90*Mapping!$C$8,IF(Signals_EU!D90=-1,-Signals_EU!S90*Mapping!$C$8,0))</f>
        <v>0</v>
      </c>
      <c r="I90" s="1">
        <f>IF(Signals_EU!G90=1,Signals_EU!R90*Mapping!$C$9,IF(Signals_EU!G90=-1,-Signals_EU!S90*Mapping!$C$9,0))</f>
        <v>5.000000000000001E-2</v>
      </c>
      <c r="J90" s="1">
        <f>IF(Signals_EU!H90=1,Signals_EU!R90*Mapping!$C$10,IF(Signals_EU!H90=-1,-Signals_EU!S90*Mapping!$C$10,0))</f>
        <v>0</v>
      </c>
      <c r="K90" s="1">
        <f>IF(Signals_EU!F90=1,Signals_EU!R90*Mapping!$C$11,IF(Signals_EU!F90=-1,-Signals_EU!S90*Mapping!$C$11,0))</f>
        <v>0</v>
      </c>
      <c r="L90" s="1">
        <f>IF(Signals_EU!N90=1,Signals_EU!R90*Mapping!$C$12,IF(Signals_EU!N90=-1,-Signals_EU!S90*Mapping!$C$12,0))</f>
        <v>0</v>
      </c>
      <c r="M90" s="1">
        <f>IF(Signals_EU!I90=1,Signals_EU!R90*Mapping!$C$13,IF(Signals_EU!I90=-1,-Signals_EU!S90*Mapping!$C$13,0))</f>
        <v>-5.000000000000001E-2</v>
      </c>
      <c r="N90" s="1">
        <f>IF(Signals_EU!E90=1,Signals_EU!R90*Mapping!$C$14,IF(Signals_EU!E90=-1,-Signals_EU!S90*Mapping!$C$14,0))</f>
        <v>0</v>
      </c>
      <c r="O90" s="1">
        <f>0</f>
        <v>0</v>
      </c>
      <c r="P90" s="1">
        <f>0</f>
        <v>0</v>
      </c>
      <c r="Q90" s="1">
        <f>IF(Signals_EU!J90=1,Signals_EU!R90*Mapping!$C$17,IF(Signals_EU!J90=-1,-Signals_EU!S90*Mapping!$C$17,0))</f>
        <v>-5.000000000000001E-2</v>
      </c>
      <c r="R90" s="1">
        <f>IF(Signals_EU!K90=1,Signals_EU!R90*Mapping!$C$18,IF(Signals_EU!K90=-1,-Signals_EU!S90*Mapping!$C$18,0))</f>
        <v>5.000000000000001E-2</v>
      </c>
      <c r="S90" s="1">
        <f>IF(Signals_EU!M90=1,Signals_EU!R90*Mapping!$C$19,IF(Signals_EU!M90=-1,-Signals_EU!S90*Mapping!$C$19,0))</f>
        <v>0</v>
      </c>
      <c r="T90" s="1">
        <f>IF(Signals_EU!L90=1,Signals_EU!R90*Mapping!$C$20,IF(Signals_EU!L90=-1,-Signals_EU!S90*Mapping!$C$20,0))</f>
        <v>0</v>
      </c>
      <c r="U90" s="1">
        <f t="shared" si="1"/>
        <v>0</v>
      </c>
    </row>
    <row r="91" spans="1:21">
      <c r="A91" s="5">
        <f>Signals_EU!B91</f>
        <v>41760</v>
      </c>
      <c r="B91" s="1">
        <f>IF(Signals_EU!O91=1,Signals_EU!R91*Mapping!$C$2,IF(Signals_EU!O91=-1,-Signals_EU!S91*Mapping!$C$2,0))</f>
        <v>5.000000000000001E-2</v>
      </c>
      <c r="C91" s="1">
        <f>IF(Signals_EU!F91=1,Signals_EU!R91*Mapping!$C$3,IF(Signals_EU!F91=-1,-Signals_EU!S91*Mapping!$C$3,0))</f>
        <v>0</v>
      </c>
      <c r="D91" s="1">
        <f>IF(Signals_EU!C91=1,Signals_EU!R91*Mapping!$C$4,IF(Signals_EU!C91=-1,-Signals_EU!S91*Mapping!$C$4,0))</f>
        <v>-2.5000000000000005E-2</v>
      </c>
      <c r="E91" s="1">
        <f>IF(Signals_EU!C91=1,Signals_EU!R91*Mapping!$C$5,IF(Signals_EU!C91=-1,-Signals_EU!S91*Mapping!$C$5,0))</f>
        <v>-2.5000000000000005E-2</v>
      </c>
      <c r="F91" s="1">
        <f>IF(Signals_EU!H91=1,Signals_EU!R91*Mapping!$C$6,IF(Signals_EU!H91=-1,-Signals_EU!S91*Mapping!$C$6,0))</f>
        <v>1.0000000000000002E-2</v>
      </c>
      <c r="G91" s="1">
        <f>IF(Signals_EU!F91=1,Signals_EU!R91*Mapping!$C$7,IF(Signals_EU!F91=-1,-Signals_EU!S91*Mapping!$C$7,0))</f>
        <v>0</v>
      </c>
      <c r="H91" s="1">
        <f>IF(Signals_EU!D91=1,Signals_EU!R91*Mapping!$C$8,IF(Signals_EU!D91=-1,-Signals_EU!S91*Mapping!$C$8,0))</f>
        <v>0</v>
      </c>
      <c r="I91" s="1">
        <f>IF(Signals_EU!G91=1,Signals_EU!R91*Mapping!$C$9,IF(Signals_EU!G91=-1,-Signals_EU!S91*Mapping!$C$9,0))</f>
        <v>0</v>
      </c>
      <c r="J91" s="1">
        <f>IF(Signals_EU!H91=1,Signals_EU!R91*Mapping!$C$10,IF(Signals_EU!H91=-1,-Signals_EU!S91*Mapping!$C$10,0))</f>
        <v>4.0000000000000008E-2</v>
      </c>
      <c r="K91" s="1">
        <f>IF(Signals_EU!F91=1,Signals_EU!R91*Mapping!$C$11,IF(Signals_EU!F91=-1,-Signals_EU!S91*Mapping!$C$11,0))</f>
        <v>0</v>
      </c>
      <c r="L91" s="1">
        <f>IF(Signals_EU!N91=1,Signals_EU!R91*Mapping!$C$12,IF(Signals_EU!N91=-1,-Signals_EU!S91*Mapping!$C$12,0))</f>
        <v>5.000000000000001E-2</v>
      </c>
      <c r="M91" s="1">
        <f>IF(Signals_EU!I91=1,Signals_EU!R91*Mapping!$C$13,IF(Signals_EU!I91=-1,-Signals_EU!S91*Mapping!$C$13,0))</f>
        <v>-5.000000000000001E-2</v>
      </c>
      <c r="N91" s="1">
        <f>IF(Signals_EU!E91=1,Signals_EU!R91*Mapping!$C$14,IF(Signals_EU!E91=-1,-Signals_EU!S91*Mapping!$C$14,0))</f>
        <v>0</v>
      </c>
      <c r="O91" s="1">
        <f>0</f>
        <v>0</v>
      </c>
      <c r="P91" s="1">
        <f>0</f>
        <v>0</v>
      </c>
      <c r="Q91" s="1">
        <f>IF(Signals_EU!J91=1,Signals_EU!R91*Mapping!$C$17,IF(Signals_EU!J91=-1,-Signals_EU!S91*Mapping!$C$17,0))</f>
        <v>-5.000000000000001E-2</v>
      </c>
      <c r="R91" s="1">
        <f>IF(Signals_EU!K91=1,Signals_EU!R91*Mapping!$C$18,IF(Signals_EU!K91=-1,-Signals_EU!S91*Mapping!$C$18,0))</f>
        <v>0</v>
      </c>
      <c r="S91" s="1">
        <f>IF(Signals_EU!M91=1,Signals_EU!R91*Mapping!$C$19,IF(Signals_EU!M91=-1,-Signals_EU!S91*Mapping!$C$19,0))</f>
        <v>0</v>
      </c>
      <c r="T91" s="1">
        <f>IF(Signals_EU!L91=1,Signals_EU!R91*Mapping!$C$20,IF(Signals_EU!L91=-1,-Signals_EU!S91*Mapping!$C$20,0))</f>
        <v>0</v>
      </c>
      <c r="U91" s="1">
        <f t="shared" si="1"/>
        <v>0</v>
      </c>
    </row>
    <row r="92" spans="1:21">
      <c r="A92" s="5">
        <f>Signals_EU!B92</f>
        <v>41791</v>
      </c>
      <c r="B92" s="1">
        <f>IF(Signals_EU!O92=1,Signals_EU!R92*Mapping!$C$2,IF(Signals_EU!O92=-1,-Signals_EU!S92*Mapping!$C$2,0))</f>
        <v>5.000000000000001E-2</v>
      </c>
      <c r="C92" s="1">
        <f>IF(Signals_EU!F92=1,Signals_EU!R92*Mapping!$C$3,IF(Signals_EU!F92=-1,-Signals_EU!S92*Mapping!$C$3,0))</f>
        <v>0</v>
      </c>
      <c r="D92" s="1">
        <f>IF(Signals_EU!C92=1,Signals_EU!R92*Mapping!$C$4,IF(Signals_EU!C92=-1,-Signals_EU!S92*Mapping!$C$4,0))</f>
        <v>-2.5000000000000005E-2</v>
      </c>
      <c r="E92" s="1">
        <f>IF(Signals_EU!C92=1,Signals_EU!R92*Mapping!$C$5,IF(Signals_EU!C92=-1,-Signals_EU!S92*Mapping!$C$5,0))</f>
        <v>-2.5000000000000005E-2</v>
      </c>
      <c r="F92" s="1">
        <f>IF(Signals_EU!H92=1,Signals_EU!R92*Mapping!$C$6,IF(Signals_EU!H92=-1,-Signals_EU!S92*Mapping!$C$6,0))</f>
        <v>1.0000000000000002E-2</v>
      </c>
      <c r="G92" s="1">
        <f>IF(Signals_EU!F92=1,Signals_EU!R92*Mapping!$C$7,IF(Signals_EU!F92=-1,-Signals_EU!S92*Mapping!$C$7,0))</f>
        <v>0</v>
      </c>
      <c r="H92" s="1">
        <f>IF(Signals_EU!D92=1,Signals_EU!R92*Mapping!$C$8,IF(Signals_EU!D92=-1,-Signals_EU!S92*Mapping!$C$8,0))</f>
        <v>0</v>
      </c>
      <c r="I92" s="1">
        <f>IF(Signals_EU!G92=1,Signals_EU!R92*Mapping!$C$9,IF(Signals_EU!G92=-1,-Signals_EU!S92*Mapping!$C$9,0))</f>
        <v>0</v>
      </c>
      <c r="J92" s="1">
        <f>IF(Signals_EU!H92=1,Signals_EU!R92*Mapping!$C$10,IF(Signals_EU!H92=-1,-Signals_EU!S92*Mapping!$C$10,0))</f>
        <v>4.0000000000000008E-2</v>
      </c>
      <c r="K92" s="1">
        <f>IF(Signals_EU!F92=1,Signals_EU!R92*Mapping!$C$11,IF(Signals_EU!F92=-1,-Signals_EU!S92*Mapping!$C$11,0))</f>
        <v>0</v>
      </c>
      <c r="L92" s="1">
        <f>IF(Signals_EU!N92=1,Signals_EU!R92*Mapping!$C$12,IF(Signals_EU!N92=-1,-Signals_EU!S92*Mapping!$C$12,0))</f>
        <v>-5.000000000000001E-2</v>
      </c>
      <c r="M92" s="1">
        <f>IF(Signals_EU!I92=1,Signals_EU!R92*Mapping!$C$13,IF(Signals_EU!I92=-1,-Signals_EU!S92*Mapping!$C$13,0))</f>
        <v>-5.000000000000001E-2</v>
      </c>
      <c r="N92" s="1">
        <f>IF(Signals_EU!E92=1,Signals_EU!R92*Mapping!$C$14,IF(Signals_EU!E92=-1,-Signals_EU!S92*Mapping!$C$14,0))</f>
        <v>0</v>
      </c>
      <c r="O92" s="1">
        <f>0</f>
        <v>0</v>
      </c>
      <c r="P92" s="1">
        <f>0</f>
        <v>0</v>
      </c>
      <c r="Q92" s="1">
        <f>IF(Signals_EU!J92=1,Signals_EU!R92*Mapping!$C$17,IF(Signals_EU!J92=-1,-Signals_EU!S92*Mapping!$C$17,0))</f>
        <v>0</v>
      </c>
      <c r="R92" s="1">
        <f>IF(Signals_EU!K92=1,Signals_EU!R92*Mapping!$C$18,IF(Signals_EU!K92=-1,-Signals_EU!S92*Mapping!$C$18,0))</f>
        <v>5.000000000000001E-2</v>
      </c>
      <c r="S92" s="1">
        <f>IF(Signals_EU!M92=1,Signals_EU!R92*Mapping!$C$19,IF(Signals_EU!M92=-1,-Signals_EU!S92*Mapping!$C$19,0))</f>
        <v>0</v>
      </c>
      <c r="T92" s="1">
        <f>IF(Signals_EU!L92=1,Signals_EU!R92*Mapping!$C$20,IF(Signals_EU!L92=-1,-Signals_EU!S92*Mapping!$C$20,0))</f>
        <v>0</v>
      </c>
      <c r="U92" s="1">
        <f t="shared" si="1"/>
        <v>0</v>
      </c>
    </row>
    <row r="93" spans="1:21">
      <c r="A93" s="5">
        <f>Signals_EU!B93</f>
        <v>41821</v>
      </c>
      <c r="B93" s="1">
        <f>IF(Signals_EU!O93=1,Signals_EU!R93*Mapping!$C$2,IF(Signals_EU!O93=-1,-Signals_EU!S93*Mapping!$C$2,0))</f>
        <v>5.000000000000001E-2</v>
      </c>
      <c r="C93" s="1">
        <f>IF(Signals_EU!F93=1,Signals_EU!R93*Mapping!$C$3,IF(Signals_EU!F93=-1,-Signals_EU!S93*Mapping!$C$3,0))</f>
        <v>0</v>
      </c>
      <c r="D93" s="1">
        <f>IF(Signals_EU!C93=1,Signals_EU!R93*Mapping!$C$4,IF(Signals_EU!C93=-1,-Signals_EU!S93*Mapping!$C$4,0))</f>
        <v>-2.5000000000000005E-2</v>
      </c>
      <c r="E93" s="1">
        <f>IF(Signals_EU!C93=1,Signals_EU!R93*Mapping!$C$5,IF(Signals_EU!C93=-1,-Signals_EU!S93*Mapping!$C$5,0))</f>
        <v>-2.5000000000000005E-2</v>
      </c>
      <c r="F93" s="1">
        <f>IF(Signals_EU!H93=1,Signals_EU!R93*Mapping!$C$6,IF(Signals_EU!H93=-1,-Signals_EU!S93*Mapping!$C$6,0))</f>
        <v>1.0000000000000002E-2</v>
      </c>
      <c r="G93" s="1">
        <f>IF(Signals_EU!F93=1,Signals_EU!R93*Mapping!$C$7,IF(Signals_EU!F93=-1,-Signals_EU!S93*Mapping!$C$7,0))</f>
        <v>0</v>
      </c>
      <c r="H93" s="1">
        <f>IF(Signals_EU!D93=1,Signals_EU!R93*Mapping!$C$8,IF(Signals_EU!D93=-1,-Signals_EU!S93*Mapping!$C$8,0))</f>
        <v>0</v>
      </c>
      <c r="I93" s="1">
        <f>IF(Signals_EU!G93=1,Signals_EU!R93*Mapping!$C$9,IF(Signals_EU!G93=-1,-Signals_EU!S93*Mapping!$C$9,0))</f>
        <v>0</v>
      </c>
      <c r="J93" s="1">
        <f>IF(Signals_EU!H93=1,Signals_EU!R93*Mapping!$C$10,IF(Signals_EU!H93=-1,-Signals_EU!S93*Mapping!$C$10,0))</f>
        <v>4.0000000000000008E-2</v>
      </c>
      <c r="K93" s="1">
        <f>IF(Signals_EU!F93=1,Signals_EU!R93*Mapping!$C$11,IF(Signals_EU!F93=-1,-Signals_EU!S93*Mapping!$C$11,0))</f>
        <v>0</v>
      </c>
      <c r="L93" s="1">
        <f>IF(Signals_EU!N93=1,Signals_EU!R93*Mapping!$C$12,IF(Signals_EU!N93=-1,-Signals_EU!S93*Mapping!$C$12,0))</f>
        <v>-5.000000000000001E-2</v>
      </c>
      <c r="M93" s="1">
        <f>IF(Signals_EU!I93=1,Signals_EU!R93*Mapping!$C$13,IF(Signals_EU!I93=-1,-Signals_EU!S93*Mapping!$C$13,0))</f>
        <v>-5.000000000000001E-2</v>
      </c>
      <c r="N93" s="1">
        <f>IF(Signals_EU!E93=1,Signals_EU!R93*Mapping!$C$14,IF(Signals_EU!E93=-1,-Signals_EU!S93*Mapping!$C$14,0))</f>
        <v>0</v>
      </c>
      <c r="O93" s="1">
        <f>0</f>
        <v>0</v>
      </c>
      <c r="P93" s="1">
        <f>0</f>
        <v>0</v>
      </c>
      <c r="Q93" s="1">
        <f>IF(Signals_EU!J93=1,Signals_EU!R93*Mapping!$C$17,IF(Signals_EU!J93=-1,-Signals_EU!S93*Mapping!$C$17,0))</f>
        <v>0</v>
      </c>
      <c r="R93" s="1">
        <f>IF(Signals_EU!K93=1,Signals_EU!R93*Mapping!$C$18,IF(Signals_EU!K93=-1,-Signals_EU!S93*Mapping!$C$18,0))</f>
        <v>5.000000000000001E-2</v>
      </c>
      <c r="S93" s="1">
        <f>IF(Signals_EU!M93=1,Signals_EU!R93*Mapping!$C$19,IF(Signals_EU!M93=-1,-Signals_EU!S93*Mapping!$C$19,0))</f>
        <v>0</v>
      </c>
      <c r="T93" s="1">
        <f>IF(Signals_EU!L93=1,Signals_EU!R93*Mapping!$C$20,IF(Signals_EU!L93=-1,-Signals_EU!S93*Mapping!$C$20,0))</f>
        <v>0</v>
      </c>
      <c r="U93" s="1">
        <f t="shared" si="1"/>
        <v>0</v>
      </c>
    </row>
    <row r="94" spans="1:21">
      <c r="A94" s="5">
        <f>Signals_EU!B94</f>
        <v>41852</v>
      </c>
      <c r="B94" s="1">
        <f>IF(Signals_EU!O94=1,Signals_EU!R94*Mapping!$C$2,IF(Signals_EU!O94=-1,-Signals_EU!S94*Mapping!$C$2,0))</f>
        <v>5.000000000000001E-2</v>
      </c>
      <c r="C94" s="1">
        <f>IF(Signals_EU!F94=1,Signals_EU!R94*Mapping!$C$3,IF(Signals_EU!F94=-1,-Signals_EU!S94*Mapping!$C$3,0))</f>
        <v>0</v>
      </c>
      <c r="D94" s="1">
        <f>IF(Signals_EU!C94=1,Signals_EU!R94*Mapping!$C$4,IF(Signals_EU!C94=-1,-Signals_EU!S94*Mapping!$C$4,0))</f>
        <v>-2.5000000000000005E-2</v>
      </c>
      <c r="E94" s="1">
        <f>IF(Signals_EU!C94=1,Signals_EU!R94*Mapping!$C$5,IF(Signals_EU!C94=-1,-Signals_EU!S94*Mapping!$C$5,0))</f>
        <v>-2.5000000000000005E-2</v>
      </c>
      <c r="F94" s="1">
        <f>IF(Signals_EU!H94=1,Signals_EU!R94*Mapping!$C$6,IF(Signals_EU!H94=-1,-Signals_EU!S94*Mapping!$C$6,0))</f>
        <v>0</v>
      </c>
      <c r="G94" s="1">
        <f>IF(Signals_EU!F94=1,Signals_EU!R94*Mapping!$C$7,IF(Signals_EU!F94=-1,-Signals_EU!S94*Mapping!$C$7,0))</f>
        <v>0</v>
      </c>
      <c r="H94" s="1">
        <f>IF(Signals_EU!D94=1,Signals_EU!R94*Mapping!$C$8,IF(Signals_EU!D94=-1,-Signals_EU!S94*Mapping!$C$8,0))</f>
        <v>5.000000000000001E-2</v>
      </c>
      <c r="I94" s="1">
        <f>IF(Signals_EU!G94=1,Signals_EU!R94*Mapping!$C$9,IF(Signals_EU!G94=-1,-Signals_EU!S94*Mapping!$C$9,0))</f>
        <v>0</v>
      </c>
      <c r="J94" s="1">
        <f>IF(Signals_EU!H94=1,Signals_EU!R94*Mapping!$C$10,IF(Signals_EU!H94=-1,-Signals_EU!S94*Mapping!$C$10,0))</f>
        <v>0</v>
      </c>
      <c r="K94" s="1">
        <f>IF(Signals_EU!F94=1,Signals_EU!R94*Mapping!$C$11,IF(Signals_EU!F94=-1,-Signals_EU!S94*Mapping!$C$11,0))</f>
        <v>0</v>
      </c>
      <c r="L94" s="1">
        <f>IF(Signals_EU!N94=1,Signals_EU!R94*Mapping!$C$12,IF(Signals_EU!N94=-1,-Signals_EU!S94*Mapping!$C$12,0))</f>
        <v>-5.000000000000001E-2</v>
      </c>
      <c r="M94" s="1">
        <f>IF(Signals_EU!I94=1,Signals_EU!R94*Mapping!$C$13,IF(Signals_EU!I94=-1,-Signals_EU!S94*Mapping!$C$13,0))</f>
        <v>-5.000000000000001E-2</v>
      </c>
      <c r="N94" s="1">
        <f>IF(Signals_EU!E94=1,Signals_EU!R94*Mapping!$C$14,IF(Signals_EU!E94=-1,-Signals_EU!S94*Mapping!$C$14,0))</f>
        <v>0</v>
      </c>
      <c r="O94" s="1">
        <f>0</f>
        <v>0</v>
      </c>
      <c r="P94" s="1">
        <f>0</f>
        <v>0</v>
      </c>
      <c r="Q94" s="1">
        <f>IF(Signals_EU!J94=1,Signals_EU!R94*Mapping!$C$17,IF(Signals_EU!J94=-1,-Signals_EU!S94*Mapping!$C$17,0))</f>
        <v>0</v>
      </c>
      <c r="R94" s="1">
        <f>IF(Signals_EU!K94=1,Signals_EU!R94*Mapping!$C$18,IF(Signals_EU!K94=-1,-Signals_EU!S94*Mapping!$C$18,0))</f>
        <v>5.000000000000001E-2</v>
      </c>
      <c r="S94" s="1">
        <f>IF(Signals_EU!M94=1,Signals_EU!R94*Mapping!$C$19,IF(Signals_EU!M94=-1,-Signals_EU!S94*Mapping!$C$19,0))</f>
        <v>0</v>
      </c>
      <c r="T94" s="1">
        <f>IF(Signals_EU!L94=1,Signals_EU!R94*Mapping!$C$20,IF(Signals_EU!L94=-1,-Signals_EU!S94*Mapping!$C$20,0))</f>
        <v>0</v>
      </c>
      <c r="U94" s="1">
        <f t="shared" si="1"/>
        <v>0</v>
      </c>
    </row>
    <row r="95" spans="1:21">
      <c r="A95" s="5">
        <f>Signals_EU!B95</f>
        <v>41883</v>
      </c>
      <c r="B95" s="1">
        <f>IF(Signals_EU!O95=1,Signals_EU!R95*Mapping!$C$2,IF(Signals_EU!O95=-1,-Signals_EU!S95*Mapping!$C$2,0))</f>
        <v>5.000000000000001E-2</v>
      </c>
      <c r="C95" s="1">
        <f>IF(Signals_EU!F95=1,Signals_EU!R95*Mapping!$C$3,IF(Signals_EU!F95=-1,-Signals_EU!S95*Mapping!$C$3,0))</f>
        <v>0</v>
      </c>
      <c r="D95" s="1">
        <f>IF(Signals_EU!C95=1,Signals_EU!R95*Mapping!$C$4,IF(Signals_EU!C95=-1,-Signals_EU!S95*Mapping!$C$4,0))</f>
        <v>0</v>
      </c>
      <c r="E95" s="1">
        <f>IF(Signals_EU!C95=1,Signals_EU!R95*Mapping!$C$5,IF(Signals_EU!C95=-1,-Signals_EU!S95*Mapping!$C$5,0))</f>
        <v>0</v>
      </c>
      <c r="F95" s="1">
        <f>IF(Signals_EU!H95=1,Signals_EU!R95*Mapping!$C$6,IF(Signals_EU!H95=-1,-Signals_EU!S95*Mapping!$C$6,0))</f>
        <v>0</v>
      </c>
      <c r="G95" s="1">
        <f>IF(Signals_EU!F95=1,Signals_EU!R95*Mapping!$C$7,IF(Signals_EU!F95=-1,-Signals_EU!S95*Mapping!$C$7,0))</f>
        <v>0</v>
      </c>
      <c r="H95" s="1">
        <f>IF(Signals_EU!D95=1,Signals_EU!R95*Mapping!$C$8,IF(Signals_EU!D95=-1,-Signals_EU!S95*Mapping!$C$8,0))</f>
        <v>-5.000000000000001E-2</v>
      </c>
      <c r="I95" s="1">
        <f>IF(Signals_EU!G95=1,Signals_EU!R95*Mapping!$C$9,IF(Signals_EU!G95=-1,-Signals_EU!S95*Mapping!$C$9,0))</f>
        <v>0</v>
      </c>
      <c r="J95" s="1">
        <f>IF(Signals_EU!H95=1,Signals_EU!R95*Mapping!$C$10,IF(Signals_EU!H95=-1,-Signals_EU!S95*Mapping!$C$10,0))</f>
        <v>0</v>
      </c>
      <c r="K95" s="1">
        <f>IF(Signals_EU!F95=1,Signals_EU!R95*Mapping!$C$11,IF(Signals_EU!F95=-1,-Signals_EU!S95*Mapping!$C$11,0))</f>
        <v>0</v>
      </c>
      <c r="L95" s="1">
        <f>IF(Signals_EU!N95=1,Signals_EU!R95*Mapping!$C$12,IF(Signals_EU!N95=-1,-Signals_EU!S95*Mapping!$C$12,0))</f>
        <v>0</v>
      </c>
      <c r="M95" s="1">
        <f>IF(Signals_EU!I95=1,Signals_EU!R95*Mapping!$C$13,IF(Signals_EU!I95=-1,-Signals_EU!S95*Mapping!$C$13,0))</f>
        <v>-5.000000000000001E-2</v>
      </c>
      <c r="N95" s="1">
        <f>IF(Signals_EU!E95=1,Signals_EU!R95*Mapping!$C$14,IF(Signals_EU!E95=-1,-Signals_EU!S95*Mapping!$C$14,0))</f>
        <v>-5.000000000000001E-2</v>
      </c>
      <c r="O95" s="1">
        <f>0</f>
        <v>0</v>
      </c>
      <c r="P95" s="1">
        <f>0</f>
        <v>0</v>
      </c>
      <c r="Q95" s="1">
        <f>IF(Signals_EU!J95=1,Signals_EU!R95*Mapping!$C$17,IF(Signals_EU!J95=-1,-Signals_EU!S95*Mapping!$C$17,0))</f>
        <v>5.000000000000001E-2</v>
      </c>
      <c r="R95" s="1">
        <f>IF(Signals_EU!K95=1,Signals_EU!R95*Mapping!$C$18,IF(Signals_EU!K95=-1,-Signals_EU!S95*Mapping!$C$18,0))</f>
        <v>5.000000000000001E-2</v>
      </c>
      <c r="S95" s="1">
        <f>IF(Signals_EU!M95=1,Signals_EU!R95*Mapping!$C$19,IF(Signals_EU!M95=-1,-Signals_EU!S95*Mapping!$C$19,0))</f>
        <v>0</v>
      </c>
      <c r="T95" s="1">
        <f>IF(Signals_EU!L95=1,Signals_EU!R95*Mapping!$C$20,IF(Signals_EU!L95=-1,-Signals_EU!S95*Mapping!$C$20,0))</f>
        <v>0</v>
      </c>
      <c r="U95" s="1">
        <f t="shared" si="1"/>
        <v>0</v>
      </c>
    </row>
    <row r="96" spans="1:21">
      <c r="A96" s="5">
        <f>Signals_EU!B96</f>
        <v>41913</v>
      </c>
      <c r="B96" s="1">
        <f>IF(Signals_EU!O96=1,Signals_EU!R96*Mapping!$C$2,IF(Signals_EU!O96=-1,-Signals_EU!S96*Mapping!$C$2,0))</f>
        <v>5.000000000000001E-2</v>
      </c>
      <c r="C96" s="1">
        <f>IF(Signals_EU!F96=1,Signals_EU!R96*Mapping!$C$3,IF(Signals_EU!F96=-1,-Signals_EU!S96*Mapping!$C$3,0))</f>
        <v>0</v>
      </c>
      <c r="D96" s="1">
        <f>IF(Signals_EU!C96=1,Signals_EU!R96*Mapping!$C$4,IF(Signals_EU!C96=-1,-Signals_EU!S96*Mapping!$C$4,0))</f>
        <v>0</v>
      </c>
      <c r="E96" s="1">
        <f>IF(Signals_EU!C96=1,Signals_EU!R96*Mapping!$C$5,IF(Signals_EU!C96=-1,-Signals_EU!S96*Mapping!$C$5,0))</f>
        <v>0</v>
      </c>
      <c r="F96" s="1">
        <f>IF(Signals_EU!H96=1,Signals_EU!R96*Mapping!$C$6,IF(Signals_EU!H96=-1,-Signals_EU!S96*Mapping!$C$6,0))</f>
        <v>0</v>
      </c>
      <c r="G96" s="1">
        <f>IF(Signals_EU!F96=1,Signals_EU!R96*Mapping!$C$7,IF(Signals_EU!F96=-1,-Signals_EU!S96*Mapping!$C$7,0))</f>
        <v>0</v>
      </c>
      <c r="H96" s="1">
        <f>IF(Signals_EU!D96=1,Signals_EU!R96*Mapping!$C$8,IF(Signals_EU!D96=-1,-Signals_EU!S96*Mapping!$C$8,0))</f>
        <v>-5.000000000000001E-2</v>
      </c>
      <c r="I96" s="1">
        <f>IF(Signals_EU!G96=1,Signals_EU!R96*Mapping!$C$9,IF(Signals_EU!G96=-1,-Signals_EU!S96*Mapping!$C$9,0))</f>
        <v>-5.000000000000001E-2</v>
      </c>
      <c r="J96" s="1">
        <f>IF(Signals_EU!H96=1,Signals_EU!R96*Mapping!$C$10,IF(Signals_EU!H96=-1,-Signals_EU!S96*Mapping!$C$10,0))</f>
        <v>0</v>
      </c>
      <c r="K96" s="1">
        <f>IF(Signals_EU!F96=1,Signals_EU!R96*Mapping!$C$11,IF(Signals_EU!F96=-1,-Signals_EU!S96*Mapping!$C$11,0))</f>
        <v>0</v>
      </c>
      <c r="L96" s="1">
        <f>IF(Signals_EU!N96=1,Signals_EU!R96*Mapping!$C$12,IF(Signals_EU!N96=-1,-Signals_EU!S96*Mapping!$C$12,0))</f>
        <v>0</v>
      </c>
      <c r="M96" s="1">
        <f>IF(Signals_EU!I96=1,Signals_EU!R96*Mapping!$C$13,IF(Signals_EU!I96=-1,-Signals_EU!S96*Mapping!$C$13,0))</f>
        <v>0</v>
      </c>
      <c r="N96" s="1">
        <f>IF(Signals_EU!E96=1,Signals_EU!R96*Mapping!$C$14,IF(Signals_EU!E96=-1,-Signals_EU!S96*Mapping!$C$14,0))</f>
        <v>-5.000000000000001E-2</v>
      </c>
      <c r="O96" s="1">
        <f>0</f>
        <v>0</v>
      </c>
      <c r="P96" s="1">
        <f>0</f>
        <v>0</v>
      </c>
      <c r="Q96" s="1">
        <f>IF(Signals_EU!J96=1,Signals_EU!R96*Mapping!$C$17,IF(Signals_EU!J96=-1,-Signals_EU!S96*Mapping!$C$17,0))</f>
        <v>5.000000000000001E-2</v>
      </c>
      <c r="R96" s="1">
        <f>IF(Signals_EU!K96=1,Signals_EU!R96*Mapping!$C$18,IF(Signals_EU!K96=-1,-Signals_EU!S96*Mapping!$C$18,0))</f>
        <v>5.000000000000001E-2</v>
      </c>
      <c r="S96" s="1">
        <f>IF(Signals_EU!M96=1,Signals_EU!R96*Mapping!$C$19,IF(Signals_EU!M96=-1,-Signals_EU!S96*Mapping!$C$19,0))</f>
        <v>0</v>
      </c>
      <c r="T96" s="1">
        <f>IF(Signals_EU!L96=1,Signals_EU!R96*Mapping!$C$20,IF(Signals_EU!L96=-1,-Signals_EU!S96*Mapping!$C$20,0))</f>
        <v>0</v>
      </c>
      <c r="U96" s="1">
        <f t="shared" si="1"/>
        <v>0</v>
      </c>
    </row>
    <row r="97" spans="1:21">
      <c r="A97" s="5">
        <f>Signals_EU!B97</f>
        <v>41944</v>
      </c>
      <c r="B97" s="1">
        <f>IF(Signals_EU!O97=1,Signals_EU!R97*Mapping!$C$2,IF(Signals_EU!O97=-1,-Signals_EU!S97*Mapping!$C$2,0))</f>
        <v>5.000000000000001E-2</v>
      </c>
      <c r="C97" s="1">
        <f>IF(Signals_EU!F97=1,Signals_EU!R97*Mapping!$C$3,IF(Signals_EU!F97=-1,-Signals_EU!S97*Mapping!$C$3,0))</f>
        <v>0</v>
      </c>
      <c r="D97" s="1">
        <f>IF(Signals_EU!C97=1,Signals_EU!R97*Mapping!$C$4,IF(Signals_EU!C97=-1,-Signals_EU!S97*Mapping!$C$4,0))</f>
        <v>0</v>
      </c>
      <c r="E97" s="1">
        <f>IF(Signals_EU!C97=1,Signals_EU!R97*Mapping!$C$5,IF(Signals_EU!C97=-1,-Signals_EU!S97*Mapping!$C$5,0))</f>
        <v>0</v>
      </c>
      <c r="F97" s="1">
        <f>IF(Signals_EU!H97=1,Signals_EU!R97*Mapping!$C$6,IF(Signals_EU!H97=-1,-Signals_EU!S97*Mapping!$C$6,0))</f>
        <v>0</v>
      </c>
      <c r="G97" s="1">
        <f>IF(Signals_EU!F97=1,Signals_EU!R97*Mapping!$C$7,IF(Signals_EU!F97=-1,-Signals_EU!S97*Mapping!$C$7,0))</f>
        <v>0</v>
      </c>
      <c r="H97" s="1">
        <f>IF(Signals_EU!D97=1,Signals_EU!R97*Mapping!$C$8,IF(Signals_EU!D97=-1,-Signals_EU!S97*Mapping!$C$8,0))</f>
        <v>0</v>
      </c>
      <c r="I97" s="1">
        <f>IF(Signals_EU!G97=1,Signals_EU!R97*Mapping!$C$9,IF(Signals_EU!G97=-1,-Signals_EU!S97*Mapping!$C$9,0))</f>
        <v>-5.000000000000001E-2</v>
      </c>
      <c r="J97" s="1">
        <f>IF(Signals_EU!H97=1,Signals_EU!R97*Mapping!$C$10,IF(Signals_EU!H97=-1,-Signals_EU!S97*Mapping!$C$10,0))</f>
        <v>0</v>
      </c>
      <c r="K97" s="1">
        <f>IF(Signals_EU!F97=1,Signals_EU!R97*Mapping!$C$11,IF(Signals_EU!F97=-1,-Signals_EU!S97*Mapping!$C$11,0))</f>
        <v>0</v>
      </c>
      <c r="L97" s="1">
        <f>IF(Signals_EU!N97=1,Signals_EU!R97*Mapping!$C$12,IF(Signals_EU!N97=-1,-Signals_EU!S97*Mapping!$C$12,0))</f>
        <v>0</v>
      </c>
      <c r="M97" s="1">
        <f>IF(Signals_EU!I97=1,Signals_EU!R97*Mapping!$C$13,IF(Signals_EU!I97=-1,-Signals_EU!S97*Mapping!$C$13,0))</f>
        <v>-5.000000000000001E-2</v>
      </c>
      <c r="N97" s="1">
        <f>IF(Signals_EU!E97=1,Signals_EU!R97*Mapping!$C$14,IF(Signals_EU!E97=-1,-Signals_EU!S97*Mapping!$C$14,0))</f>
        <v>-5.000000000000001E-2</v>
      </c>
      <c r="O97" s="1">
        <f>0</f>
        <v>0</v>
      </c>
      <c r="P97" s="1">
        <f>0</f>
        <v>0</v>
      </c>
      <c r="Q97" s="1">
        <f>IF(Signals_EU!J97=1,Signals_EU!R97*Mapping!$C$17,IF(Signals_EU!J97=-1,-Signals_EU!S97*Mapping!$C$17,0))</f>
        <v>5.000000000000001E-2</v>
      </c>
      <c r="R97" s="1">
        <f>IF(Signals_EU!K97=1,Signals_EU!R97*Mapping!$C$18,IF(Signals_EU!K97=-1,-Signals_EU!S97*Mapping!$C$18,0))</f>
        <v>5.000000000000001E-2</v>
      </c>
      <c r="S97" s="1">
        <f>IF(Signals_EU!M97=1,Signals_EU!R97*Mapping!$C$19,IF(Signals_EU!M97=-1,-Signals_EU!S97*Mapping!$C$19,0))</f>
        <v>0</v>
      </c>
      <c r="T97" s="1">
        <f>IF(Signals_EU!L97=1,Signals_EU!R97*Mapping!$C$20,IF(Signals_EU!L97=-1,-Signals_EU!S97*Mapping!$C$20,0))</f>
        <v>0</v>
      </c>
      <c r="U97" s="1">
        <f t="shared" si="1"/>
        <v>0</v>
      </c>
    </row>
    <row r="98" spans="1:21">
      <c r="A98" s="5">
        <f>Signals_EU!B98</f>
        <v>41974</v>
      </c>
      <c r="B98" s="1">
        <f>IF(Signals_EU!O98=1,Signals_EU!R98*Mapping!$C$2,IF(Signals_EU!O98=-1,-Signals_EU!S98*Mapping!$C$2,0))</f>
        <v>0</v>
      </c>
      <c r="C98" s="1">
        <f>IF(Signals_EU!F98=1,Signals_EU!R98*Mapping!$C$3,IF(Signals_EU!F98=-1,-Signals_EU!S98*Mapping!$C$3,0))</f>
        <v>0</v>
      </c>
      <c r="D98" s="1">
        <f>IF(Signals_EU!C98=1,Signals_EU!R98*Mapping!$C$4,IF(Signals_EU!C98=-1,-Signals_EU!S98*Mapping!$C$4,0))</f>
        <v>0</v>
      </c>
      <c r="E98" s="1">
        <f>IF(Signals_EU!C98=1,Signals_EU!R98*Mapping!$C$5,IF(Signals_EU!C98=-1,-Signals_EU!S98*Mapping!$C$5,0))</f>
        <v>0</v>
      </c>
      <c r="F98" s="1">
        <f>IF(Signals_EU!H98=1,Signals_EU!R98*Mapping!$C$6,IF(Signals_EU!H98=-1,-Signals_EU!S98*Mapping!$C$6,0))</f>
        <v>0</v>
      </c>
      <c r="G98" s="1">
        <f>IF(Signals_EU!F98=1,Signals_EU!R98*Mapping!$C$7,IF(Signals_EU!F98=-1,-Signals_EU!S98*Mapping!$C$7,0))</f>
        <v>0</v>
      </c>
      <c r="H98" s="1">
        <f>IF(Signals_EU!D98=1,Signals_EU!R98*Mapping!$C$8,IF(Signals_EU!D98=-1,-Signals_EU!S98*Mapping!$C$8,0))</f>
        <v>-5.000000000000001E-2</v>
      </c>
      <c r="I98" s="1">
        <f>IF(Signals_EU!G98=1,Signals_EU!R98*Mapping!$C$9,IF(Signals_EU!G98=-1,-Signals_EU!S98*Mapping!$C$9,0))</f>
        <v>0</v>
      </c>
      <c r="J98" s="1">
        <f>IF(Signals_EU!H98=1,Signals_EU!R98*Mapping!$C$10,IF(Signals_EU!H98=-1,-Signals_EU!S98*Mapping!$C$10,0))</f>
        <v>0</v>
      </c>
      <c r="K98" s="1">
        <f>IF(Signals_EU!F98=1,Signals_EU!R98*Mapping!$C$11,IF(Signals_EU!F98=-1,-Signals_EU!S98*Mapping!$C$11,0))</f>
        <v>0</v>
      </c>
      <c r="L98" s="1">
        <f>IF(Signals_EU!N98=1,Signals_EU!R98*Mapping!$C$12,IF(Signals_EU!N98=-1,-Signals_EU!S98*Mapping!$C$12,0))</f>
        <v>0</v>
      </c>
      <c r="M98" s="1">
        <f>IF(Signals_EU!I98=1,Signals_EU!R98*Mapping!$C$13,IF(Signals_EU!I98=-1,-Signals_EU!S98*Mapping!$C$13,0))</f>
        <v>-5.000000000000001E-2</v>
      </c>
      <c r="N98" s="1">
        <f>IF(Signals_EU!E98=1,Signals_EU!R98*Mapping!$C$14,IF(Signals_EU!E98=-1,-Signals_EU!S98*Mapping!$C$14,0))</f>
        <v>-5.000000000000001E-2</v>
      </c>
      <c r="O98" s="1">
        <f>0</f>
        <v>0</v>
      </c>
      <c r="P98" s="1">
        <f>0</f>
        <v>0</v>
      </c>
      <c r="Q98" s="1">
        <f>IF(Signals_EU!J98=1,Signals_EU!R98*Mapping!$C$17,IF(Signals_EU!J98=-1,-Signals_EU!S98*Mapping!$C$17,0))</f>
        <v>5.000000000000001E-2</v>
      </c>
      <c r="R98" s="1">
        <f>IF(Signals_EU!K98=1,Signals_EU!R98*Mapping!$C$18,IF(Signals_EU!K98=-1,-Signals_EU!S98*Mapping!$C$18,0))</f>
        <v>5.000000000000001E-2</v>
      </c>
      <c r="S98" s="1">
        <f>IF(Signals_EU!M98=1,Signals_EU!R98*Mapping!$C$19,IF(Signals_EU!M98=-1,-Signals_EU!S98*Mapping!$C$19,0))</f>
        <v>0</v>
      </c>
      <c r="T98" s="1">
        <f>IF(Signals_EU!L98=1,Signals_EU!R98*Mapping!$C$20,IF(Signals_EU!L98=-1,-Signals_EU!S98*Mapping!$C$20,0))</f>
        <v>5.000000000000001E-2</v>
      </c>
      <c r="U98" s="1">
        <f t="shared" si="1"/>
        <v>0</v>
      </c>
    </row>
    <row r="99" spans="1:21">
      <c r="A99" s="5">
        <f>Signals_EU!B99</f>
        <v>42005</v>
      </c>
      <c r="B99" s="1">
        <f>IF(Signals_EU!O99=1,Signals_EU!R99*Mapping!$C$2,IF(Signals_EU!O99=-1,-Signals_EU!S99*Mapping!$C$2,0))</f>
        <v>0</v>
      </c>
      <c r="C99" s="1">
        <f>IF(Signals_EU!F99=1,Signals_EU!R99*Mapping!$C$3,IF(Signals_EU!F99=-1,-Signals_EU!S99*Mapping!$C$3,0))</f>
        <v>0</v>
      </c>
      <c r="D99" s="1">
        <f>IF(Signals_EU!C99=1,Signals_EU!R99*Mapping!$C$4,IF(Signals_EU!C99=-1,-Signals_EU!S99*Mapping!$C$4,0))</f>
        <v>0</v>
      </c>
      <c r="E99" s="1">
        <f>IF(Signals_EU!C99=1,Signals_EU!R99*Mapping!$C$5,IF(Signals_EU!C99=-1,-Signals_EU!S99*Mapping!$C$5,0))</f>
        <v>0</v>
      </c>
      <c r="F99" s="1">
        <f>IF(Signals_EU!H99=1,Signals_EU!R99*Mapping!$C$6,IF(Signals_EU!H99=-1,-Signals_EU!S99*Mapping!$C$6,0))</f>
        <v>1.0000000000000002E-2</v>
      </c>
      <c r="G99" s="1">
        <f>IF(Signals_EU!F99=1,Signals_EU!R99*Mapping!$C$7,IF(Signals_EU!F99=-1,-Signals_EU!S99*Mapping!$C$7,0))</f>
        <v>0</v>
      </c>
      <c r="H99" s="1">
        <f>IF(Signals_EU!D99=1,Signals_EU!R99*Mapping!$C$8,IF(Signals_EU!D99=-1,-Signals_EU!S99*Mapping!$C$8,0))</f>
        <v>0</v>
      </c>
      <c r="I99" s="1">
        <f>IF(Signals_EU!G99=1,Signals_EU!R99*Mapping!$C$9,IF(Signals_EU!G99=-1,-Signals_EU!S99*Mapping!$C$9,0))</f>
        <v>-5.000000000000001E-2</v>
      </c>
      <c r="J99" s="1">
        <f>IF(Signals_EU!H99=1,Signals_EU!R99*Mapping!$C$10,IF(Signals_EU!H99=-1,-Signals_EU!S99*Mapping!$C$10,0))</f>
        <v>4.0000000000000008E-2</v>
      </c>
      <c r="K99" s="1">
        <f>IF(Signals_EU!F99=1,Signals_EU!R99*Mapping!$C$11,IF(Signals_EU!F99=-1,-Signals_EU!S99*Mapping!$C$11,0))</f>
        <v>0</v>
      </c>
      <c r="L99" s="1">
        <f>IF(Signals_EU!N99=1,Signals_EU!R99*Mapping!$C$12,IF(Signals_EU!N99=-1,-Signals_EU!S99*Mapping!$C$12,0))</f>
        <v>0</v>
      </c>
      <c r="M99" s="1">
        <f>IF(Signals_EU!I99=1,Signals_EU!R99*Mapping!$C$13,IF(Signals_EU!I99=-1,-Signals_EU!S99*Mapping!$C$13,0))</f>
        <v>-5.000000000000001E-2</v>
      </c>
      <c r="N99" s="1">
        <f>IF(Signals_EU!E99=1,Signals_EU!R99*Mapping!$C$14,IF(Signals_EU!E99=-1,-Signals_EU!S99*Mapping!$C$14,0))</f>
        <v>-5.000000000000001E-2</v>
      </c>
      <c r="O99" s="1">
        <f>0</f>
        <v>0</v>
      </c>
      <c r="P99" s="1">
        <f>0</f>
        <v>0</v>
      </c>
      <c r="Q99" s="1">
        <f>IF(Signals_EU!J99=1,Signals_EU!R99*Mapping!$C$17,IF(Signals_EU!J99=-1,-Signals_EU!S99*Mapping!$C$17,0))</f>
        <v>5.000000000000001E-2</v>
      </c>
      <c r="R99" s="1">
        <f>IF(Signals_EU!K99=1,Signals_EU!R99*Mapping!$C$18,IF(Signals_EU!K99=-1,-Signals_EU!S99*Mapping!$C$18,0))</f>
        <v>0</v>
      </c>
      <c r="S99" s="1">
        <f>IF(Signals_EU!M99=1,Signals_EU!R99*Mapping!$C$19,IF(Signals_EU!M99=-1,-Signals_EU!S99*Mapping!$C$19,0))</f>
        <v>0</v>
      </c>
      <c r="T99" s="1">
        <f>IF(Signals_EU!L99=1,Signals_EU!R99*Mapping!$C$20,IF(Signals_EU!L99=-1,-Signals_EU!S99*Mapping!$C$20,0))</f>
        <v>5.000000000000001E-2</v>
      </c>
      <c r="U99" s="1">
        <f t="shared" si="1"/>
        <v>0</v>
      </c>
    </row>
    <row r="100" spans="1:21">
      <c r="A100" s="5">
        <f>Signals_EU!B100</f>
        <v>42036</v>
      </c>
      <c r="B100" s="1">
        <f>IF(Signals_EU!O100=1,Signals_EU!R100*Mapping!$C$2,IF(Signals_EU!O100=-1,-Signals_EU!S100*Mapping!$C$2,0))</f>
        <v>0</v>
      </c>
      <c r="C100" s="1">
        <f>IF(Signals_EU!F100=1,Signals_EU!R100*Mapping!$C$3,IF(Signals_EU!F100=-1,-Signals_EU!S100*Mapping!$C$3,0))</f>
        <v>0</v>
      </c>
      <c r="D100" s="1">
        <f>IF(Signals_EU!C100=1,Signals_EU!R100*Mapping!$C$4,IF(Signals_EU!C100=-1,-Signals_EU!S100*Mapping!$C$4,0))</f>
        <v>-2.5000000000000005E-2</v>
      </c>
      <c r="E100" s="1">
        <f>IF(Signals_EU!C100=1,Signals_EU!R100*Mapping!$C$5,IF(Signals_EU!C100=-1,-Signals_EU!S100*Mapping!$C$5,0))</f>
        <v>-2.5000000000000005E-2</v>
      </c>
      <c r="F100" s="1">
        <f>IF(Signals_EU!H100=1,Signals_EU!R100*Mapping!$C$6,IF(Signals_EU!H100=-1,-Signals_EU!S100*Mapping!$C$6,0))</f>
        <v>1.0000000000000002E-2</v>
      </c>
      <c r="G100" s="1">
        <f>IF(Signals_EU!F100=1,Signals_EU!R100*Mapping!$C$7,IF(Signals_EU!F100=-1,-Signals_EU!S100*Mapping!$C$7,0))</f>
        <v>0</v>
      </c>
      <c r="H100" s="1">
        <f>IF(Signals_EU!D100=1,Signals_EU!R100*Mapping!$C$8,IF(Signals_EU!D100=-1,-Signals_EU!S100*Mapping!$C$8,0))</f>
        <v>0</v>
      </c>
      <c r="I100" s="1">
        <f>IF(Signals_EU!G100=1,Signals_EU!R100*Mapping!$C$9,IF(Signals_EU!G100=-1,-Signals_EU!S100*Mapping!$C$9,0))</f>
        <v>0</v>
      </c>
      <c r="J100" s="1">
        <f>IF(Signals_EU!H100=1,Signals_EU!R100*Mapping!$C$10,IF(Signals_EU!H100=-1,-Signals_EU!S100*Mapping!$C$10,0))</f>
        <v>4.0000000000000008E-2</v>
      </c>
      <c r="K100" s="1">
        <f>IF(Signals_EU!F100=1,Signals_EU!R100*Mapping!$C$11,IF(Signals_EU!F100=-1,-Signals_EU!S100*Mapping!$C$11,0))</f>
        <v>0</v>
      </c>
      <c r="L100" s="1">
        <f>IF(Signals_EU!N100=1,Signals_EU!R100*Mapping!$C$12,IF(Signals_EU!N100=-1,-Signals_EU!S100*Mapping!$C$12,0))</f>
        <v>0</v>
      </c>
      <c r="M100" s="1">
        <f>IF(Signals_EU!I100=1,Signals_EU!R100*Mapping!$C$13,IF(Signals_EU!I100=-1,-Signals_EU!S100*Mapping!$C$13,0))</f>
        <v>-5.000000000000001E-2</v>
      </c>
      <c r="N100" s="1">
        <f>IF(Signals_EU!E100=1,Signals_EU!R100*Mapping!$C$14,IF(Signals_EU!E100=-1,-Signals_EU!S100*Mapping!$C$14,0))</f>
        <v>-5.000000000000001E-2</v>
      </c>
      <c r="O100" s="1">
        <f>0</f>
        <v>0</v>
      </c>
      <c r="P100" s="1">
        <f>0</f>
        <v>0</v>
      </c>
      <c r="Q100" s="1">
        <f>IF(Signals_EU!J100=1,Signals_EU!R100*Mapping!$C$17,IF(Signals_EU!J100=-1,-Signals_EU!S100*Mapping!$C$17,0))</f>
        <v>5.000000000000001E-2</v>
      </c>
      <c r="R100" s="1">
        <f>IF(Signals_EU!K100=1,Signals_EU!R100*Mapping!$C$18,IF(Signals_EU!K100=-1,-Signals_EU!S100*Mapping!$C$18,0))</f>
        <v>0</v>
      </c>
      <c r="S100" s="1">
        <f>IF(Signals_EU!M100=1,Signals_EU!R100*Mapping!$C$19,IF(Signals_EU!M100=-1,-Signals_EU!S100*Mapping!$C$19,0))</f>
        <v>0</v>
      </c>
      <c r="T100" s="1">
        <f>IF(Signals_EU!L100=1,Signals_EU!R100*Mapping!$C$20,IF(Signals_EU!L100=-1,-Signals_EU!S100*Mapping!$C$20,0))</f>
        <v>5.000000000000001E-2</v>
      </c>
      <c r="U100" s="1">
        <f t="shared" si="1"/>
        <v>0</v>
      </c>
    </row>
    <row r="101" spans="1:21">
      <c r="A101" s="5">
        <f>Signals_EU!B101</f>
        <v>42064</v>
      </c>
      <c r="B101" s="1">
        <f>IF(Signals_EU!O101=1,Signals_EU!R101*Mapping!$C$2,IF(Signals_EU!O101=-1,-Signals_EU!S101*Mapping!$C$2,0))</f>
        <v>0</v>
      </c>
      <c r="C101" s="1">
        <f>IF(Signals_EU!F101=1,Signals_EU!R101*Mapping!$C$3,IF(Signals_EU!F101=-1,-Signals_EU!S101*Mapping!$C$3,0))</f>
        <v>0</v>
      </c>
      <c r="D101" s="1">
        <f>IF(Signals_EU!C101=1,Signals_EU!R101*Mapping!$C$4,IF(Signals_EU!C101=-1,-Signals_EU!S101*Mapping!$C$4,0))</f>
        <v>-2.5000000000000005E-2</v>
      </c>
      <c r="E101" s="1">
        <f>IF(Signals_EU!C101=1,Signals_EU!R101*Mapping!$C$5,IF(Signals_EU!C101=-1,-Signals_EU!S101*Mapping!$C$5,0))</f>
        <v>-2.5000000000000005E-2</v>
      </c>
      <c r="F101" s="1">
        <f>IF(Signals_EU!H101=1,Signals_EU!R101*Mapping!$C$6,IF(Signals_EU!H101=-1,-Signals_EU!S101*Mapping!$C$6,0))</f>
        <v>0</v>
      </c>
      <c r="G101" s="1">
        <f>IF(Signals_EU!F101=1,Signals_EU!R101*Mapping!$C$7,IF(Signals_EU!F101=-1,-Signals_EU!S101*Mapping!$C$7,0))</f>
        <v>0</v>
      </c>
      <c r="H101" s="1">
        <f>IF(Signals_EU!D101=1,Signals_EU!R101*Mapping!$C$8,IF(Signals_EU!D101=-1,-Signals_EU!S101*Mapping!$C$8,0))</f>
        <v>0</v>
      </c>
      <c r="I101" s="1">
        <f>IF(Signals_EU!G101=1,Signals_EU!R101*Mapping!$C$9,IF(Signals_EU!G101=-1,-Signals_EU!S101*Mapping!$C$9,0))</f>
        <v>-5.000000000000001E-2</v>
      </c>
      <c r="J101" s="1">
        <f>IF(Signals_EU!H101=1,Signals_EU!R101*Mapping!$C$10,IF(Signals_EU!H101=-1,-Signals_EU!S101*Mapping!$C$10,0))</f>
        <v>0</v>
      </c>
      <c r="K101" s="1">
        <f>IF(Signals_EU!F101=1,Signals_EU!R101*Mapping!$C$11,IF(Signals_EU!F101=-1,-Signals_EU!S101*Mapping!$C$11,0))</f>
        <v>0</v>
      </c>
      <c r="L101" s="1">
        <f>IF(Signals_EU!N101=1,Signals_EU!R101*Mapping!$C$12,IF(Signals_EU!N101=-1,-Signals_EU!S101*Mapping!$C$12,0))</f>
        <v>5.000000000000001E-2</v>
      </c>
      <c r="M101" s="1">
        <f>IF(Signals_EU!I101=1,Signals_EU!R101*Mapping!$C$13,IF(Signals_EU!I101=-1,-Signals_EU!S101*Mapping!$C$13,0))</f>
        <v>-5.000000000000001E-2</v>
      </c>
      <c r="N101" s="1">
        <f>IF(Signals_EU!E101=1,Signals_EU!R101*Mapping!$C$14,IF(Signals_EU!E101=-1,-Signals_EU!S101*Mapping!$C$14,0))</f>
        <v>0</v>
      </c>
      <c r="O101" s="1">
        <f>0</f>
        <v>0</v>
      </c>
      <c r="P101" s="1">
        <f>0</f>
        <v>0</v>
      </c>
      <c r="Q101" s="1">
        <f>IF(Signals_EU!J101=1,Signals_EU!R101*Mapping!$C$17,IF(Signals_EU!J101=-1,-Signals_EU!S101*Mapping!$C$17,0))</f>
        <v>5.000000000000001E-2</v>
      </c>
      <c r="R101" s="1">
        <f>IF(Signals_EU!K101=1,Signals_EU!R101*Mapping!$C$18,IF(Signals_EU!K101=-1,-Signals_EU!S101*Mapping!$C$18,0))</f>
        <v>0</v>
      </c>
      <c r="S101" s="1">
        <f>IF(Signals_EU!M101=1,Signals_EU!R101*Mapping!$C$19,IF(Signals_EU!M101=-1,-Signals_EU!S101*Mapping!$C$19,0))</f>
        <v>0</v>
      </c>
      <c r="T101" s="1">
        <f>IF(Signals_EU!L101=1,Signals_EU!R101*Mapping!$C$20,IF(Signals_EU!L101=-1,-Signals_EU!S101*Mapping!$C$20,0))</f>
        <v>5.000000000000001E-2</v>
      </c>
      <c r="U101" s="1">
        <f t="shared" si="1"/>
        <v>0</v>
      </c>
    </row>
    <row r="102" spans="1:21">
      <c r="A102" s="5">
        <f>Signals_EU!B102</f>
        <v>42095</v>
      </c>
      <c r="B102" s="1">
        <f>IF(Signals_EU!O102=1,Signals_EU!R102*Mapping!$C$2,IF(Signals_EU!O102=-1,-Signals_EU!S102*Mapping!$C$2,0))</f>
        <v>5.000000000000001E-2</v>
      </c>
      <c r="C102" s="1">
        <f>IF(Signals_EU!F102=1,Signals_EU!R102*Mapping!$C$3,IF(Signals_EU!F102=-1,-Signals_EU!S102*Mapping!$C$3,0))</f>
        <v>0</v>
      </c>
      <c r="D102" s="1">
        <f>IF(Signals_EU!C102=1,Signals_EU!R102*Mapping!$C$4,IF(Signals_EU!C102=-1,-Signals_EU!S102*Mapping!$C$4,0))</f>
        <v>-2.5000000000000005E-2</v>
      </c>
      <c r="E102" s="1">
        <f>IF(Signals_EU!C102=1,Signals_EU!R102*Mapping!$C$5,IF(Signals_EU!C102=-1,-Signals_EU!S102*Mapping!$C$5,0))</f>
        <v>-2.5000000000000005E-2</v>
      </c>
      <c r="F102" s="1">
        <f>IF(Signals_EU!H102=1,Signals_EU!R102*Mapping!$C$6,IF(Signals_EU!H102=-1,-Signals_EU!S102*Mapping!$C$6,0))</f>
        <v>0</v>
      </c>
      <c r="G102" s="1">
        <f>IF(Signals_EU!F102=1,Signals_EU!R102*Mapping!$C$7,IF(Signals_EU!F102=-1,-Signals_EU!S102*Mapping!$C$7,0))</f>
        <v>0</v>
      </c>
      <c r="H102" s="1">
        <f>IF(Signals_EU!D102=1,Signals_EU!R102*Mapping!$C$8,IF(Signals_EU!D102=-1,-Signals_EU!S102*Mapping!$C$8,0))</f>
        <v>5.000000000000001E-2</v>
      </c>
      <c r="I102" s="1">
        <f>IF(Signals_EU!G102=1,Signals_EU!R102*Mapping!$C$9,IF(Signals_EU!G102=-1,-Signals_EU!S102*Mapping!$C$9,0))</f>
        <v>-5.000000000000001E-2</v>
      </c>
      <c r="J102" s="1">
        <f>IF(Signals_EU!H102=1,Signals_EU!R102*Mapping!$C$10,IF(Signals_EU!H102=-1,-Signals_EU!S102*Mapping!$C$10,0))</f>
        <v>0</v>
      </c>
      <c r="K102" s="1">
        <f>IF(Signals_EU!F102=1,Signals_EU!R102*Mapping!$C$11,IF(Signals_EU!F102=-1,-Signals_EU!S102*Mapping!$C$11,0))</f>
        <v>0</v>
      </c>
      <c r="L102" s="1">
        <f>IF(Signals_EU!N102=1,Signals_EU!R102*Mapping!$C$12,IF(Signals_EU!N102=-1,-Signals_EU!S102*Mapping!$C$12,0))</f>
        <v>5.000000000000001E-2</v>
      </c>
      <c r="M102" s="1">
        <f>IF(Signals_EU!I102=1,Signals_EU!R102*Mapping!$C$13,IF(Signals_EU!I102=-1,-Signals_EU!S102*Mapping!$C$13,0))</f>
        <v>-5.000000000000001E-2</v>
      </c>
      <c r="N102" s="1">
        <f>IF(Signals_EU!E102=1,Signals_EU!R102*Mapping!$C$14,IF(Signals_EU!E102=-1,-Signals_EU!S102*Mapping!$C$14,0))</f>
        <v>0</v>
      </c>
      <c r="O102" s="1">
        <f>0</f>
        <v>0</v>
      </c>
      <c r="P102" s="1">
        <f>0</f>
        <v>0</v>
      </c>
      <c r="Q102" s="1">
        <f>IF(Signals_EU!J102=1,Signals_EU!R102*Mapping!$C$17,IF(Signals_EU!J102=-1,-Signals_EU!S102*Mapping!$C$17,0))</f>
        <v>0</v>
      </c>
      <c r="R102" s="1">
        <f>IF(Signals_EU!K102=1,Signals_EU!R102*Mapping!$C$18,IF(Signals_EU!K102=-1,-Signals_EU!S102*Mapping!$C$18,0))</f>
        <v>0</v>
      </c>
      <c r="S102" s="1">
        <f>IF(Signals_EU!M102=1,Signals_EU!R102*Mapping!$C$19,IF(Signals_EU!M102=-1,-Signals_EU!S102*Mapping!$C$19,0))</f>
        <v>0</v>
      </c>
      <c r="T102" s="1">
        <f>IF(Signals_EU!L102=1,Signals_EU!R102*Mapping!$C$20,IF(Signals_EU!L102=-1,-Signals_EU!S102*Mapping!$C$20,0))</f>
        <v>0</v>
      </c>
      <c r="U102" s="1">
        <f t="shared" si="1"/>
        <v>0</v>
      </c>
    </row>
    <row r="103" spans="1:21">
      <c r="A103" s="5">
        <f>Signals_EU!B103</f>
        <v>42125</v>
      </c>
      <c r="B103" s="1">
        <f>IF(Signals_EU!O103=1,Signals_EU!R103*Mapping!$C$2,IF(Signals_EU!O103=-1,-Signals_EU!S103*Mapping!$C$2,0))</f>
        <v>5.000000000000001E-2</v>
      </c>
      <c r="C103" s="1">
        <f>IF(Signals_EU!F103=1,Signals_EU!R103*Mapping!$C$3,IF(Signals_EU!F103=-1,-Signals_EU!S103*Mapping!$C$3,0))</f>
        <v>0</v>
      </c>
      <c r="D103" s="1">
        <f>IF(Signals_EU!C103=1,Signals_EU!R103*Mapping!$C$4,IF(Signals_EU!C103=-1,-Signals_EU!S103*Mapping!$C$4,0))</f>
        <v>-2.5000000000000005E-2</v>
      </c>
      <c r="E103" s="1">
        <f>IF(Signals_EU!C103=1,Signals_EU!R103*Mapping!$C$5,IF(Signals_EU!C103=-1,-Signals_EU!S103*Mapping!$C$5,0))</f>
        <v>-2.5000000000000005E-2</v>
      </c>
      <c r="F103" s="1">
        <f>IF(Signals_EU!H103=1,Signals_EU!R103*Mapping!$C$6,IF(Signals_EU!H103=-1,-Signals_EU!S103*Mapping!$C$6,0))</f>
        <v>0</v>
      </c>
      <c r="G103" s="1">
        <f>IF(Signals_EU!F103=1,Signals_EU!R103*Mapping!$C$7,IF(Signals_EU!F103=-1,-Signals_EU!S103*Mapping!$C$7,0))</f>
        <v>0</v>
      </c>
      <c r="H103" s="1">
        <f>IF(Signals_EU!D103=1,Signals_EU!R103*Mapping!$C$8,IF(Signals_EU!D103=-1,-Signals_EU!S103*Mapping!$C$8,0))</f>
        <v>5.000000000000001E-2</v>
      </c>
      <c r="I103" s="1">
        <f>IF(Signals_EU!G103=1,Signals_EU!R103*Mapping!$C$9,IF(Signals_EU!G103=-1,-Signals_EU!S103*Mapping!$C$9,0))</f>
        <v>-5.000000000000001E-2</v>
      </c>
      <c r="J103" s="1">
        <f>IF(Signals_EU!H103=1,Signals_EU!R103*Mapping!$C$10,IF(Signals_EU!H103=-1,-Signals_EU!S103*Mapping!$C$10,0))</f>
        <v>0</v>
      </c>
      <c r="K103" s="1">
        <f>IF(Signals_EU!F103=1,Signals_EU!R103*Mapping!$C$11,IF(Signals_EU!F103=-1,-Signals_EU!S103*Mapping!$C$11,0))</f>
        <v>0</v>
      </c>
      <c r="L103" s="1">
        <f>IF(Signals_EU!N103=1,Signals_EU!R103*Mapping!$C$12,IF(Signals_EU!N103=-1,-Signals_EU!S103*Mapping!$C$12,0))</f>
        <v>5.000000000000001E-2</v>
      </c>
      <c r="M103" s="1">
        <f>IF(Signals_EU!I103=1,Signals_EU!R103*Mapping!$C$13,IF(Signals_EU!I103=-1,-Signals_EU!S103*Mapping!$C$13,0))</f>
        <v>-5.000000000000001E-2</v>
      </c>
      <c r="N103" s="1">
        <f>IF(Signals_EU!E103=1,Signals_EU!R103*Mapping!$C$14,IF(Signals_EU!E103=-1,-Signals_EU!S103*Mapping!$C$14,0))</f>
        <v>0</v>
      </c>
      <c r="O103" s="1">
        <f>0</f>
        <v>0</v>
      </c>
      <c r="P103" s="1">
        <f>0</f>
        <v>0</v>
      </c>
      <c r="Q103" s="1">
        <f>IF(Signals_EU!J103=1,Signals_EU!R103*Mapping!$C$17,IF(Signals_EU!J103=-1,-Signals_EU!S103*Mapping!$C$17,0))</f>
        <v>0</v>
      </c>
      <c r="R103" s="1">
        <f>IF(Signals_EU!K103=1,Signals_EU!R103*Mapping!$C$18,IF(Signals_EU!K103=-1,-Signals_EU!S103*Mapping!$C$18,0))</f>
        <v>0</v>
      </c>
      <c r="S103" s="1">
        <f>IF(Signals_EU!M103=1,Signals_EU!R103*Mapping!$C$19,IF(Signals_EU!M103=-1,-Signals_EU!S103*Mapping!$C$19,0))</f>
        <v>0</v>
      </c>
      <c r="T103" s="1">
        <f>IF(Signals_EU!L103=1,Signals_EU!R103*Mapping!$C$20,IF(Signals_EU!L103=-1,-Signals_EU!S103*Mapping!$C$20,0))</f>
        <v>0</v>
      </c>
      <c r="U103" s="1">
        <f t="shared" si="1"/>
        <v>0</v>
      </c>
    </row>
    <row r="104" spans="1:21">
      <c r="A104" s="5">
        <f>Signals_EU!B104</f>
        <v>42156</v>
      </c>
      <c r="B104" s="1">
        <f>IF(Signals_EU!O104=1,Signals_EU!R104*Mapping!$C$2,IF(Signals_EU!O104=-1,-Signals_EU!S104*Mapping!$C$2,0))</f>
        <v>5.000000000000001E-2</v>
      </c>
      <c r="C104" s="1">
        <f>IF(Signals_EU!F104=1,Signals_EU!R104*Mapping!$C$3,IF(Signals_EU!F104=-1,-Signals_EU!S104*Mapping!$C$3,0))</f>
        <v>0</v>
      </c>
      <c r="D104" s="1">
        <f>IF(Signals_EU!C104=1,Signals_EU!R104*Mapping!$C$4,IF(Signals_EU!C104=-1,-Signals_EU!S104*Mapping!$C$4,0))</f>
        <v>-2.5000000000000005E-2</v>
      </c>
      <c r="E104" s="1">
        <f>IF(Signals_EU!C104=1,Signals_EU!R104*Mapping!$C$5,IF(Signals_EU!C104=-1,-Signals_EU!S104*Mapping!$C$5,0))</f>
        <v>-2.5000000000000005E-2</v>
      </c>
      <c r="F104" s="1">
        <f>IF(Signals_EU!H104=1,Signals_EU!R104*Mapping!$C$6,IF(Signals_EU!H104=-1,-Signals_EU!S104*Mapping!$C$6,0))</f>
        <v>0</v>
      </c>
      <c r="G104" s="1">
        <f>IF(Signals_EU!F104=1,Signals_EU!R104*Mapping!$C$7,IF(Signals_EU!F104=-1,-Signals_EU!S104*Mapping!$C$7,0))</f>
        <v>0</v>
      </c>
      <c r="H104" s="1">
        <f>IF(Signals_EU!D104=1,Signals_EU!R104*Mapping!$C$8,IF(Signals_EU!D104=-1,-Signals_EU!S104*Mapping!$C$8,0))</f>
        <v>0</v>
      </c>
      <c r="I104" s="1">
        <f>IF(Signals_EU!G104=1,Signals_EU!R104*Mapping!$C$9,IF(Signals_EU!G104=-1,-Signals_EU!S104*Mapping!$C$9,0))</f>
        <v>-5.000000000000001E-2</v>
      </c>
      <c r="J104" s="1">
        <f>IF(Signals_EU!H104=1,Signals_EU!R104*Mapping!$C$10,IF(Signals_EU!H104=-1,-Signals_EU!S104*Mapping!$C$10,0))</f>
        <v>0</v>
      </c>
      <c r="K104" s="1">
        <f>IF(Signals_EU!F104=1,Signals_EU!R104*Mapping!$C$11,IF(Signals_EU!F104=-1,-Signals_EU!S104*Mapping!$C$11,0))</f>
        <v>0</v>
      </c>
      <c r="L104" s="1">
        <f>IF(Signals_EU!N104=1,Signals_EU!R104*Mapping!$C$12,IF(Signals_EU!N104=-1,-Signals_EU!S104*Mapping!$C$12,0))</f>
        <v>5.000000000000001E-2</v>
      </c>
      <c r="M104" s="1">
        <f>IF(Signals_EU!I104=1,Signals_EU!R104*Mapping!$C$13,IF(Signals_EU!I104=-1,-Signals_EU!S104*Mapping!$C$13,0))</f>
        <v>-5.000000000000001E-2</v>
      </c>
      <c r="N104" s="1">
        <f>IF(Signals_EU!E104=1,Signals_EU!R104*Mapping!$C$14,IF(Signals_EU!E104=-1,-Signals_EU!S104*Mapping!$C$14,0))</f>
        <v>0</v>
      </c>
      <c r="O104" s="1">
        <f>0</f>
        <v>0</v>
      </c>
      <c r="P104" s="1">
        <f>0</f>
        <v>0</v>
      </c>
      <c r="Q104" s="1">
        <f>IF(Signals_EU!J104=1,Signals_EU!R104*Mapping!$C$17,IF(Signals_EU!J104=-1,-Signals_EU!S104*Mapping!$C$17,0))</f>
        <v>0</v>
      </c>
      <c r="R104" s="1">
        <f>IF(Signals_EU!K104=1,Signals_EU!R104*Mapping!$C$18,IF(Signals_EU!K104=-1,-Signals_EU!S104*Mapping!$C$18,0))</f>
        <v>5.000000000000001E-2</v>
      </c>
      <c r="S104" s="1">
        <f>IF(Signals_EU!M104=1,Signals_EU!R104*Mapping!$C$19,IF(Signals_EU!M104=-1,-Signals_EU!S104*Mapping!$C$19,0))</f>
        <v>0</v>
      </c>
      <c r="T104" s="1">
        <f>IF(Signals_EU!L104=1,Signals_EU!R104*Mapping!$C$20,IF(Signals_EU!L104=-1,-Signals_EU!S104*Mapping!$C$20,0))</f>
        <v>0</v>
      </c>
      <c r="U104" s="1">
        <f t="shared" si="1"/>
        <v>0</v>
      </c>
    </row>
    <row r="105" spans="1:21">
      <c r="A105" s="5">
        <f>Signals_EU!B105</f>
        <v>42186</v>
      </c>
      <c r="B105" s="1">
        <f>IF(Signals_EU!O105=1,Signals_EU!R105*Mapping!$C$2,IF(Signals_EU!O105=-1,-Signals_EU!S105*Mapping!$C$2,0))</f>
        <v>5.000000000000001E-2</v>
      </c>
      <c r="C105" s="1">
        <f>IF(Signals_EU!F105=1,Signals_EU!R105*Mapping!$C$3,IF(Signals_EU!F105=-1,-Signals_EU!S105*Mapping!$C$3,0))</f>
        <v>0</v>
      </c>
      <c r="D105" s="1">
        <f>IF(Signals_EU!C105=1,Signals_EU!R105*Mapping!$C$4,IF(Signals_EU!C105=-1,-Signals_EU!S105*Mapping!$C$4,0))</f>
        <v>-2.5000000000000005E-2</v>
      </c>
      <c r="E105" s="1">
        <f>IF(Signals_EU!C105=1,Signals_EU!R105*Mapping!$C$5,IF(Signals_EU!C105=-1,-Signals_EU!S105*Mapping!$C$5,0))</f>
        <v>-2.5000000000000005E-2</v>
      </c>
      <c r="F105" s="1">
        <f>IF(Signals_EU!H105=1,Signals_EU!R105*Mapping!$C$6,IF(Signals_EU!H105=-1,-Signals_EU!S105*Mapping!$C$6,0))</f>
        <v>-1.0000000000000002E-2</v>
      </c>
      <c r="G105" s="1">
        <f>IF(Signals_EU!F105=1,Signals_EU!R105*Mapping!$C$7,IF(Signals_EU!F105=-1,-Signals_EU!S105*Mapping!$C$7,0))</f>
        <v>0</v>
      </c>
      <c r="H105" s="1">
        <f>IF(Signals_EU!D105=1,Signals_EU!R105*Mapping!$C$8,IF(Signals_EU!D105=-1,-Signals_EU!S105*Mapping!$C$8,0))</f>
        <v>0</v>
      </c>
      <c r="I105" s="1">
        <f>IF(Signals_EU!G105=1,Signals_EU!R105*Mapping!$C$9,IF(Signals_EU!G105=-1,-Signals_EU!S105*Mapping!$C$9,0))</f>
        <v>-5.000000000000001E-2</v>
      </c>
      <c r="J105" s="1">
        <f>IF(Signals_EU!H105=1,Signals_EU!R105*Mapping!$C$10,IF(Signals_EU!H105=-1,-Signals_EU!S105*Mapping!$C$10,0))</f>
        <v>-4.0000000000000008E-2</v>
      </c>
      <c r="K105" s="1">
        <f>IF(Signals_EU!F105=1,Signals_EU!R105*Mapping!$C$11,IF(Signals_EU!F105=-1,-Signals_EU!S105*Mapping!$C$11,0))</f>
        <v>0</v>
      </c>
      <c r="L105" s="1">
        <f>IF(Signals_EU!N105=1,Signals_EU!R105*Mapping!$C$12,IF(Signals_EU!N105=-1,-Signals_EU!S105*Mapping!$C$12,0))</f>
        <v>5.000000000000001E-2</v>
      </c>
      <c r="M105" s="1">
        <f>IF(Signals_EU!I105=1,Signals_EU!R105*Mapping!$C$13,IF(Signals_EU!I105=-1,-Signals_EU!S105*Mapping!$C$13,0))</f>
        <v>0</v>
      </c>
      <c r="N105" s="1">
        <f>IF(Signals_EU!E105=1,Signals_EU!R105*Mapping!$C$14,IF(Signals_EU!E105=-1,-Signals_EU!S105*Mapping!$C$14,0))</f>
        <v>0</v>
      </c>
      <c r="O105" s="1">
        <f>0</f>
        <v>0</v>
      </c>
      <c r="P105" s="1">
        <f>0</f>
        <v>0</v>
      </c>
      <c r="Q105" s="1">
        <f>IF(Signals_EU!J105=1,Signals_EU!R105*Mapping!$C$17,IF(Signals_EU!J105=-1,-Signals_EU!S105*Mapping!$C$17,0))</f>
        <v>0</v>
      </c>
      <c r="R105" s="1">
        <f>IF(Signals_EU!K105=1,Signals_EU!R105*Mapping!$C$18,IF(Signals_EU!K105=-1,-Signals_EU!S105*Mapping!$C$18,0))</f>
        <v>5.000000000000001E-2</v>
      </c>
      <c r="S105" s="1">
        <f>IF(Signals_EU!M105=1,Signals_EU!R105*Mapping!$C$19,IF(Signals_EU!M105=-1,-Signals_EU!S105*Mapping!$C$19,0))</f>
        <v>0</v>
      </c>
      <c r="T105" s="1">
        <f>IF(Signals_EU!L105=1,Signals_EU!R105*Mapping!$C$20,IF(Signals_EU!L105=-1,-Signals_EU!S105*Mapping!$C$20,0))</f>
        <v>0</v>
      </c>
      <c r="U105" s="1">
        <f t="shared" si="1"/>
        <v>0</v>
      </c>
    </row>
    <row r="106" spans="1:21">
      <c r="A106" s="5">
        <f>Signals_EU!B106</f>
        <v>42217</v>
      </c>
      <c r="B106" s="1">
        <f>IF(Signals_EU!O106=1,Signals_EU!R106*Mapping!$C$2,IF(Signals_EU!O106=-1,-Signals_EU!S106*Mapping!$C$2,0))</f>
        <v>5.000000000000001E-2</v>
      </c>
      <c r="C106" s="1">
        <f>IF(Signals_EU!F106=1,Signals_EU!R106*Mapping!$C$3,IF(Signals_EU!F106=-1,-Signals_EU!S106*Mapping!$C$3,0))</f>
        <v>0</v>
      </c>
      <c r="D106" s="1">
        <f>IF(Signals_EU!C106=1,Signals_EU!R106*Mapping!$C$4,IF(Signals_EU!C106=-1,-Signals_EU!S106*Mapping!$C$4,0))</f>
        <v>0</v>
      </c>
      <c r="E106" s="1">
        <f>IF(Signals_EU!C106=1,Signals_EU!R106*Mapping!$C$5,IF(Signals_EU!C106=-1,-Signals_EU!S106*Mapping!$C$5,0))</f>
        <v>0</v>
      </c>
      <c r="F106" s="1">
        <f>IF(Signals_EU!H106=1,Signals_EU!R106*Mapping!$C$6,IF(Signals_EU!H106=-1,-Signals_EU!S106*Mapping!$C$6,0))</f>
        <v>-1.0000000000000002E-2</v>
      </c>
      <c r="G106" s="1">
        <f>IF(Signals_EU!F106=1,Signals_EU!R106*Mapping!$C$7,IF(Signals_EU!F106=-1,-Signals_EU!S106*Mapping!$C$7,0))</f>
        <v>0</v>
      </c>
      <c r="H106" s="1">
        <f>IF(Signals_EU!D106=1,Signals_EU!R106*Mapping!$C$8,IF(Signals_EU!D106=-1,-Signals_EU!S106*Mapping!$C$8,0))</f>
        <v>-5.000000000000001E-2</v>
      </c>
      <c r="I106" s="1">
        <f>IF(Signals_EU!G106=1,Signals_EU!R106*Mapping!$C$9,IF(Signals_EU!G106=-1,-Signals_EU!S106*Mapping!$C$9,0))</f>
        <v>-5.000000000000001E-2</v>
      </c>
      <c r="J106" s="1">
        <f>IF(Signals_EU!H106=1,Signals_EU!R106*Mapping!$C$10,IF(Signals_EU!H106=-1,-Signals_EU!S106*Mapping!$C$10,0))</f>
        <v>-4.0000000000000008E-2</v>
      </c>
      <c r="K106" s="1">
        <f>IF(Signals_EU!F106=1,Signals_EU!R106*Mapping!$C$11,IF(Signals_EU!F106=-1,-Signals_EU!S106*Mapping!$C$11,0))</f>
        <v>0</v>
      </c>
      <c r="L106" s="1">
        <f>IF(Signals_EU!N106=1,Signals_EU!R106*Mapping!$C$12,IF(Signals_EU!N106=-1,-Signals_EU!S106*Mapping!$C$12,0))</f>
        <v>5.000000000000001E-2</v>
      </c>
      <c r="M106" s="1">
        <f>IF(Signals_EU!I106=1,Signals_EU!R106*Mapping!$C$13,IF(Signals_EU!I106=-1,-Signals_EU!S106*Mapping!$C$13,0))</f>
        <v>0</v>
      </c>
      <c r="N106" s="1">
        <f>IF(Signals_EU!E106=1,Signals_EU!R106*Mapping!$C$14,IF(Signals_EU!E106=-1,-Signals_EU!S106*Mapping!$C$14,0))</f>
        <v>0</v>
      </c>
      <c r="O106" s="1">
        <f>0</f>
        <v>0</v>
      </c>
      <c r="P106" s="1">
        <f>0</f>
        <v>0</v>
      </c>
      <c r="Q106" s="1">
        <f>IF(Signals_EU!J106=1,Signals_EU!R106*Mapping!$C$17,IF(Signals_EU!J106=-1,-Signals_EU!S106*Mapping!$C$17,0))</f>
        <v>0</v>
      </c>
      <c r="R106" s="1">
        <f>IF(Signals_EU!K106=1,Signals_EU!R106*Mapping!$C$18,IF(Signals_EU!K106=-1,-Signals_EU!S106*Mapping!$C$18,0))</f>
        <v>5.000000000000001E-2</v>
      </c>
      <c r="S106" s="1">
        <f>IF(Signals_EU!M106=1,Signals_EU!R106*Mapping!$C$19,IF(Signals_EU!M106=-1,-Signals_EU!S106*Mapping!$C$19,0))</f>
        <v>0</v>
      </c>
      <c r="T106" s="1">
        <f>IF(Signals_EU!L106=1,Signals_EU!R106*Mapping!$C$20,IF(Signals_EU!L106=-1,-Signals_EU!S106*Mapping!$C$20,0))</f>
        <v>0</v>
      </c>
      <c r="U106" s="1">
        <f t="shared" si="1"/>
        <v>0</v>
      </c>
    </row>
    <row r="107" spans="1:21">
      <c r="A107" s="5">
        <f>Signals_EU!B107</f>
        <v>42248</v>
      </c>
      <c r="B107" s="1">
        <f>IF(Signals_EU!O107=1,Signals_EU!R107*Mapping!$C$2,IF(Signals_EU!O107=-1,-Signals_EU!S107*Mapping!$C$2,0))</f>
        <v>5.000000000000001E-2</v>
      </c>
      <c r="C107" s="1">
        <f>IF(Signals_EU!F107=1,Signals_EU!R107*Mapping!$C$3,IF(Signals_EU!F107=-1,-Signals_EU!S107*Mapping!$C$3,0))</f>
        <v>0</v>
      </c>
      <c r="D107" s="1">
        <f>IF(Signals_EU!C107=1,Signals_EU!R107*Mapping!$C$4,IF(Signals_EU!C107=-1,-Signals_EU!S107*Mapping!$C$4,0))</f>
        <v>-2.5000000000000005E-2</v>
      </c>
      <c r="E107" s="1">
        <f>IF(Signals_EU!C107=1,Signals_EU!R107*Mapping!$C$5,IF(Signals_EU!C107=-1,-Signals_EU!S107*Mapping!$C$5,0))</f>
        <v>-2.5000000000000005E-2</v>
      </c>
      <c r="F107" s="1">
        <f>IF(Signals_EU!H107=1,Signals_EU!R107*Mapping!$C$6,IF(Signals_EU!H107=-1,-Signals_EU!S107*Mapping!$C$6,0))</f>
        <v>0</v>
      </c>
      <c r="G107" s="1">
        <f>IF(Signals_EU!F107=1,Signals_EU!R107*Mapping!$C$7,IF(Signals_EU!F107=-1,-Signals_EU!S107*Mapping!$C$7,0))</f>
        <v>0</v>
      </c>
      <c r="H107" s="1">
        <f>IF(Signals_EU!D107=1,Signals_EU!R107*Mapping!$C$8,IF(Signals_EU!D107=-1,-Signals_EU!S107*Mapping!$C$8,0))</f>
        <v>5.000000000000001E-2</v>
      </c>
      <c r="I107" s="1">
        <f>IF(Signals_EU!G107=1,Signals_EU!R107*Mapping!$C$9,IF(Signals_EU!G107=-1,-Signals_EU!S107*Mapping!$C$9,0))</f>
        <v>-5.000000000000001E-2</v>
      </c>
      <c r="J107" s="1">
        <f>IF(Signals_EU!H107=1,Signals_EU!R107*Mapping!$C$10,IF(Signals_EU!H107=-1,-Signals_EU!S107*Mapping!$C$10,0))</f>
        <v>0</v>
      </c>
      <c r="K107" s="1">
        <f>IF(Signals_EU!F107=1,Signals_EU!R107*Mapping!$C$11,IF(Signals_EU!F107=-1,-Signals_EU!S107*Mapping!$C$11,0))</f>
        <v>0</v>
      </c>
      <c r="L107" s="1">
        <f>IF(Signals_EU!N107=1,Signals_EU!R107*Mapping!$C$12,IF(Signals_EU!N107=-1,-Signals_EU!S107*Mapping!$C$12,0))</f>
        <v>0</v>
      </c>
      <c r="M107" s="1">
        <f>IF(Signals_EU!I107=1,Signals_EU!R107*Mapping!$C$13,IF(Signals_EU!I107=-1,-Signals_EU!S107*Mapping!$C$13,0))</f>
        <v>-5.000000000000001E-2</v>
      </c>
      <c r="N107" s="1">
        <f>IF(Signals_EU!E107=1,Signals_EU!R107*Mapping!$C$14,IF(Signals_EU!E107=-1,-Signals_EU!S107*Mapping!$C$14,0))</f>
        <v>0</v>
      </c>
      <c r="O107" s="1">
        <f>0</f>
        <v>0</v>
      </c>
      <c r="P107" s="1">
        <f>0</f>
        <v>0</v>
      </c>
      <c r="Q107" s="1">
        <f>IF(Signals_EU!J107=1,Signals_EU!R107*Mapping!$C$17,IF(Signals_EU!J107=-1,-Signals_EU!S107*Mapping!$C$17,0))</f>
        <v>0</v>
      </c>
      <c r="R107" s="1">
        <f>IF(Signals_EU!K107=1,Signals_EU!R107*Mapping!$C$18,IF(Signals_EU!K107=-1,-Signals_EU!S107*Mapping!$C$18,0))</f>
        <v>5.000000000000001E-2</v>
      </c>
      <c r="S107" s="1">
        <f>IF(Signals_EU!M107=1,Signals_EU!R107*Mapping!$C$19,IF(Signals_EU!M107=-1,-Signals_EU!S107*Mapping!$C$19,0))</f>
        <v>0</v>
      </c>
      <c r="T107" s="1">
        <f>IF(Signals_EU!L107=1,Signals_EU!R107*Mapping!$C$20,IF(Signals_EU!L107=-1,-Signals_EU!S107*Mapping!$C$20,0))</f>
        <v>0</v>
      </c>
      <c r="U107" s="1">
        <f t="shared" si="1"/>
        <v>0</v>
      </c>
    </row>
    <row r="108" spans="1:21">
      <c r="A108" s="5">
        <f>Signals_EU!B108</f>
        <v>42278</v>
      </c>
      <c r="B108" s="1">
        <f>IF(Signals_EU!O108=1,Signals_EU!R108*Mapping!$C$2,IF(Signals_EU!O108=-1,-Signals_EU!S108*Mapping!$C$2,0))</f>
        <v>5.000000000000001E-2</v>
      </c>
      <c r="C108" s="1">
        <f>IF(Signals_EU!F108=1,Signals_EU!R108*Mapping!$C$3,IF(Signals_EU!F108=-1,-Signals_EU!S108*Mapping!$C$3,0))</f>
        <v>0</v>
      </c>
      <c r="D108" s="1">
        <f>IF(Signals_EU!C108=1,Signals_EU!R108*Mapping!$C$4,IF(Signals_EU!C108=-1,-Signals_EU!S108*Mapping!$C$4,0))</f>
        <v>-2.5000000000000005E-2</v>
      </c>
      <c r="E108" s="1">
        <f>IF(Signals_EU!C108=1,Signals_EU!R108*Mapping!$C$5,IF(Signals_EU!C108=-1,-Signals_EU!S108*Mapping!$C$5,0))</f>
        <v>-2.5000000000000005E-2</v>
      </c>
      <c r="F108" s="1">
        <f>IF(Signals_EU!H108=1,Signals_EU!R108*Mapping!$C$6,IF(Signals_EU!H108=-1,-Signals_EU!S108*Mapping!$C$6,0))</f>
        <v>1.0000000000000002E-2</v>
      </c>
      <c r="G108" s="1">
        <f>IF(Signals_EU!F108=1,Signals_EU!R108*Mapping!$C$7,IF(Signals_EU!F108=-1,-Signals_EU!S108*Mapping!$C$7,0))</f>
        <v>0</v>
      </c>
      <c r="H108" s="1">
        <f>IF(Signals_EU!D108=1,Signals_EU!R108*Mapping!$C$8,IF(Signals_EU!D108=-1,-Signals_EU!S108*Mapping!$C$8,0))</f>
        <v>0</v>
      </c>
      <c r="I108" s="1">
        <f>IF(Signals_EU!G108=1,Signals_EU!R108*Mapping!$C$9,IF(Signals_EU!G108=-1,-Signals_EU!S108*Mapping!$C$9,0))</f>
        <v>5.000000000000001E-2</v>
      </c>
      <c r="J108" s="1">
        <f>IF(Signals_EU!H108=1,Signals_EU!R108*Mapping!$C$10,IF(Signals_EU!H108=-1,-Signals_EU!S108*Mapping!$C$10,0))</f>
        <v>4.0000000000000008E-2</v>
      </c>
      <c r="K108" s="1">
        <f>IF(Signals_EU!F108=1,Signals_EU!R108*Mapping!$C$11,IF(Signals_EU!F108=-1,-Signals_EU!S108*Mapping!$C$11,0))</f>
        <v>0</v>
      </c>
      <c r="L108" s="1">
        <f>IF(Signals_EU!N108=1,Signals_EU!R108*Mapping!$C$12,IF(Signals_EU!N108=-1,-Signals_EU!S108*Mapping!$C$12,0))</f>
        <v>0</v>
      </c>
      <c r="M108" s="1">
        <f>IF(Signals_EU!I108=1,Signals_EU!R108*Mapping!$C$13,IF(Signals_EU!I108=-1,-Signals_EU!S108*Mapping!$C$13,0))</f>
        <v>-5.000000000000001E-2</v>
      </c>
      <c r="N108" s="1">
        <f>IF(Signals_EU!E108=1,Signals_EU!R108*Mapping!$C$14,IF(Signals_EU!E108=-1,-Signals_EU!S108*Mapping!$C$14,0))</f>
        <v>-5.000000000000001E-2</v>
      </c>
      <c r="O108" s="1">
        <f>0</f>
        <v>0</v>
      </c>
      <c r="P108" s="1">
        <f>0</f>
        <v>0</v>
      </c>
      <c r="Q108" s="1">
        <f>IF(Signals_EU!J108=1,Signals_EU!R108*Mapping!$C$17,IF(Signals_EU!J108=-1,-Signals_EU!S108*Mapping!$C$17,0))</f>
        <v>0</v>
      </c>
      <c r="R108" s="1">
        <f>IF(Signals_EU!K108=1,Signals_EU!R108*Mapping!$C$18,IF(Signals_EU!K108=-1,-Signals_EU!S108*Mapping!$C$18,0))</f>
        <v>0</v>
      </c>
      <c r="S108" s="1">
        <f>IF(Signals_EU!M108=1,Signals_EU!R108*Mapping!$C$19,IF(Signals_EU!M108=-1,-Signals_EU!S108*Mapping!$C$19,0))</f>
        <v>0</v>
      </c>
      <c r="T108" s="1">
        <f>IF(Signals_EU!L108=1,Signals_EU!R108*Mapping!$C$20,IF(Signals_EU!L108=-1,-Signals_EU!S108*Mapping!$C$20,0))</f>
        <v>0</v>
      </c>
      <c r="U108" s="1">
        <f t="shared" si="1"/>
        <v>0</v>
      </c>
    </row>
    <row r="109" spans="1:21">
      <c r="A109" s="5">
        <f>Signals_EU!B109</f>
        <v>42309</v>
      </c>
      <c r="B109" s="1">
        <f>IF(Signals_EU!O109=1,Signals_EU!R109*Mapping!$C$2,IF(Signals_EU!O109=-1,-Signals_EU!S109*Mapping!$C$2,0))</f>
        <v>5.000000000000001E-2</v>
      </c>
      <c r="C109" s="1">
        <f>IF(Signals_EU!F109=1,Signals_EU!R109*Mapping!$C$3,IF(Signals_EU!F109=-1,-Signals_EU!S109*Mapping!$C$3,0))</f>
        <v>0</v>
      </c>
      <c r="D109" s="1">
        <f>IF(Signals_EU!C109=1,Signals_EU!R109*Mapping!$C$4,IF(Signals_EU!C109=-1,-Signals_EU!S109*Mapping!$C$4,0))</f>
        <v>-2.5000000000000005E-2</v>
      </c>
      <c r="E109" s="1">
        <f>IF(Signals_EU!C109=1,Signals_EU!R109*Mapping!$C$5,IF(Signals_EU!C109=-1,-Signals_EU!S109*Mapping!$C$5,0))</f>
        <v>-2.5000000000000005E-2</v>
      </c>
      <c r="F109" s="1">
        <f>IF(Signals_EU!H109=1,Signals_EU!R109*Mapping!$C$6,IF(Signals_EU!H109=-1,-Signals_EU!S109*Mapping!$C$6,0))</f>
        <v>1.0000000000000002E-2</v>
      </c>
      <c r="G109" s="1">
        <f>IF(Signals_EU!F109=1,Signals_EU!R109*Mapping!$C$7,IF(Signals_EU!F109=-1,-Signals_EU!S109*Mapping!$C$7,0))</f>
        <v>0</v>
      </c>
      <c r="H109" s="1">
        <f>IF(Signals_EU!D109=1,Signals_EU!R109*Mapping!$C$8,IF(Signals_EU!D109=-1,-Signals_EU!S109*Mapping!$C$8,0))</f>
        <v>0</v>
      </c>
      <c r="I109" s="1">
        <f>IF(Signals_EU!G109=1,Signals_EU!R109*Mapping!$C$9,IF(Signals_EU!G109=-1,-Signals_EU!S109*Mapping!$C$9,0))</f>
        <v>0</v>
      </c>
      <c r="J109" s="1">
        <f>IF(Signals_EU!H109=1,Signals_EU!R109*Mapping!$C$10,IF(Signals_EU!H109=-1,-Signals_EU!S109*Mapping!$C$10,0))</f>
        <v>4.0000000000000008E-2</v>
      </c>
      <c r="K109" s="1">
        <f>IF(Signals_EU!F109=1,Signals_EU!R109*Mapping!$C$11,IF(Signals_EU!F109=-1,-Signals_EU!S109*Mapping!$C$11,0))</f>
        <v>0</v>
      </c>
      <c r="L109" s="1">
        <f>IF(Signals_EU!N109=1,Signals_EU!R109*Mapping!$C$12,IF(Signals_EU!N109=-1,-Signals_EU!S109*Mapping!$C$12,0))</f>
        <v>5.000000000000001E-2</v>
      </c>
      <c r="M109" s="1">
        <f>IF(Signals_EU!I109=1,Signals_EU!R109*Mapping!$C$13,IF(Signals_EU!I109=-1,-Signals_EU!S109*Mapping!$C$13,0))</f>
        <v>-5.000000000000001E-2</v>
      </c>
      <c r="N109" s="1">
        <f>IF(Signals_EU!E109=1,Signals_EU!R109*Mapping!$C$14,IF(Signals_EU!E109=-1,-Signals_EU!S109*Mapping!$C$14,0))</f>
        <v>-5.000000000000001E-2</v>
      </c>
      <c r="O109" s="1">
        <f>0</f>
        <v>0</v>
      </c>
      <c r="P109" s="1">
        <f>0</f>
        <v>0</v>
      </c>
      <c r="Q109" s="1">
        <f>IF(Signals_EU!J109=1,Signals_EU!R109*Mapping!$C$17,IF(Signals_EU!J109=-1,-Signals_EU!S109*Mapping!$C$17,0))</f>
        <v>0</v>
      </c>
      <c r="R109" s="1">
        <f>IF(Signals_EU!K109=1,Signals_EU!R109*Mapping!$C$18,IF(Signals_EU!K109=-1,-Signals_EU!S109*Mapping!$C$18,0))</f>
        <v>0</v>
      </c>
      <c r="S109" s="1">
        <f>IF(Signals_EU!M109=1,Signals_EU!R109*Mapping!$C$19,IF(Signals_EU!M109=-1,-Signals_EU!S109*Mapping!$C$19,0))</f>
        <v>0</v>
      </c>
      <c r="T109" s="1">
        <f>IF(Signals_EU!L109=1,Signals_EU!R109*Mapping!$C$20,IF(Signals_EU!L109=-1,-Signals_EU!S109*Mapping!$C$20,0))</f>
        <v>0</v>
      </c>
      <c r="U109" s="1">
        <f t="shared" si="1"/>
        <v>0</v>
      </c>
    </row>
    <row r="110" spans="1:21">
      <c r="A110" s="5">
        <f>Signals_EU!B110</f>
        <v>42339</v>
      </c>
      <c r="B110" s="1">
        <f>IF(Signals_EU!O110=1,Signals_EU!R110*Mapping!$C$2,IF(Signals_EU!O110=-1,-Signals_EU!S110*Mapping!$C$2,0))</f>
        <v>5.000000000000001E-2</v>
      </c>
      <c r="C110" s="1">
        <f>IF(Signals_EU!F110=1,Signals_EU!R110*Mapping!$C$3,IF(Signals_EU!F110=-1,-Signals_EU!S110*Mapping!$C$3,0))</f>
        <v>0</v>
      </c>
      <c r="D110" s="1">
        <f>IF(Signals_EU!C110=1,Signals_EU!R110*Mapping!$C$4,IF(Signals_EU!C110=-1,-Signals_EU!S110*Mapping!$C$4,0))</f>
        <v>-2.5000000000000005E-2</v>
      </c>
      <c r="E110" s="1">
        <f>IF(Signals_EU!C110=1,Signals_EU!R110*Mapping!$C$5,IF(Signals_EU!C110=-1,-Signals_EU!S110*Mapping!$C$5,0))</f>
        <v>-2.5000000000000005E-2</v>
      </c>
      <c r="F110" s="1">
        <f>IF(Signals_EU!H110=1,Signals_EU!R110*Mapping!$C$6,IF(Signals_EU!H110=-1,-Signals_EU!S110*Mapping!$C$6,0))</f>
        <v>-1.0000000000000002E-2</v>
      </c>
      <c r="G110" s="1">
        <f>IF(Signals_EU!F110=1,Signals_EU!R110*Mapping!$C$7,IF(Signals_EU!F110=-1,-Signals_EU!S110*Mapping!$C$7,0))</f>
        <v>0</v>
      </c>
      <c r="H110" s="1">
        <f>IF(Signals_EU!D110=1,Signals_EU!R110*Mapping!$C$8,IF(Signals_EU!D110=-1,-Signals_EU!S110*Mapping!$C$8,0))</f>
        <v>5.000000000000001E-2</v>
      </c>
      <c r="I110" s="1">
        <f>IF(Signals_EU!G110=1,Signals_EU!R110*Mapping!$C$9,IF(Signals_EU!G110=-1,-Signals_EU!S110*Mapping!$C$9,0))</f>
        <v>5.000000000000001E-2</v>
      </c>
      <c r="J110" s="1">
        <f>IF(Signals_EU!H110=1,Signals_EU!R110*Mapping!$C$10,IF(Signals_EU!H110=-1,-Signals_EU!S110*Mapping!$C$10,0))</f>
        <v>-4.0000000000000008E-2</v>
      </c>
      <c r="K110" s="1">
        <f>IF(Signals_EU!F110=1,Signals_EU!R110*Mapping!$C$11,IF(Signals_EU!F110=-1,-Signals_EU!S110*Mapping!$C$11,0))</f>
        <v>0</v>
      </c>
      <c r="L110" s="1">
        <f>IF(Signals_EU!N110=1,Signals_EU!R110*Mapping!$C$12,IF(Signals_EU!N110=-1,-Signals_EU!S110*Mapping!$C$12,0))</f>
        <v>0</v>
      </c>
      <c r="M110" s="1">
        <f>IF(Signals_EU!I110=1,Signals_EU!R110*Mapping!$C$13,IF(Signals_EU!I110=-1,-Signals_EU!S110*Mapping!$C$13,0))</f>
        <v>-5.000000000000001E-2</v>
      </c>
      <c r="N110" s="1">
        <f>IF(Signals_EU!E110=1,Signals_EU!R110*Mapping!$C$14,IF(Signals_EU!E110=-1,-Signals_EU!S110*Mapping!$C$14,0))</f>
        <v>0</v>
      </c>
      <c r="O110" s="1">
        <f>0</f>
        <v>0</v>
      </c>
      <c r="P110" s="1">
        <f>0</f>
        <v>0</v>
      </c>
      <c r="Q110" s="1">
        <f>IF(Signals_EU!J110=1,Signals_EU!R110*Mapping!$C$17,IF(Signals_EU!J110=-1,-Signals_EU!S110*Mapping!$C$17,0))</f>
        <v>0</v>
      </c>
      <c r="R110" s="1">
        <f>IF(Signals_EU!K110=1,Signals_EU!R110*Mapping!$C$18,IF(Signals_EU!K110=-1,-Signals_EU!S110*Mapping!$C$18,0))</f>
        <v>0</v>
      </c>
      <c r="S110" s="1">
        <f>IF(Signals_EU!M110=1,Signals_EU!R110*Mapping!$C$19,IF(Signals_EU!M110=-1,-Signals_EU!S110*Mapping!$C$19,0))</f>
        <v>0</v>
      </c>
      <c r="T110" s="1">
        <f>IF(Signals_EU!L110=1,Signals_EU!R110*Mapping!$C$20,IF(Signals_EU!L110=-1,-Signals_EU!S110*Mapping!$C$20,0))</f>
        <v>0</v>
      </c>
      <c r="U110" s="1">
        <f t="shared" si="1"/>
        <v>0</v>
      </c>
    </row>
    <row r="111" spans="1:21">
      <c r="A111" s="5">
        <f>Signals_EU!B111</f>
        <v>42370</v>
      </c>
      <c r="B111" s="1">
        <f>IF(Signals_EU!O111=1,Signals_EU!R111*Mapping!$C$2,IF(Signals_EU!O111=-1,-Signals_EU!S111*Mapping!$C$2,0))</f>
        <v>5.000000000000001E-2</v>
      </c>
      <c r="C111" s="1">
        <f>IF(Signals_EU!F111=1,Signals_EU!R111*Mapping!$C$3,IF(Signals_EU!F111=-1,-Signals_EU!S111*Mapping!$C$3,0))</f>
        <v>-3.0000000000000006E-2</v>
      </c>
      <c r="D111" s="1">
        <f>IF(Signals_EU!C111=1,Signals_EU!R111*Mapping!$C$4,IF(Signals_EU!C111=-1,-Signals_EU!S111*Mapping!$C$4,0))</f>
        <v>-2.5000000000000005E-2</v>
      </c>
      <c r="E111" s="1">
        <f>IF(Signals_EU!C111=1,Signals_EU!R111*Mapping!$C$5,IF(Signals_EU!C111=-1,-Signals_EU!S111*Mapping!$C$5,0))</f>
        <v>-2.5000000000000005E-2</v>
      </c>
      <c r="F111" s="1">
        <f>IF(Signals_EU!H111=1,Signals_EU!R111*Mapping!$C$6,IF(Signals_EU!H111=-1,-Signals_EU!S111*Mapping!$C$6,0))</f>
        <v>0</v>
      </c>
      <c r="G111" s="1">
        <f>IF(Signals_EU!F111=1,Signals_EU!R111*Mapping!$C$7,IF(Signals_EU!F111=-1,-Signals_EU!S111*Mapping!$C$7,0))</f>
        <v>-1.0000000000000002E-2</v>
      </c>
      <c r="H111" s="1">
        <f>IF(Signals_EU!D111=1,Signals_EU!R111*Mapping!$C$8,IF(Signals_EU!D111=-1,-Signals_EU!S111*Mapping!$C$8,0))</f>
        <v>-5.000000000000001E-2</v>
      </c>
      <c r="I111" s="1">
        <f>IF(Signals_EU!G111=1,Signals_EU!R111*Mapping!$C$9,IF(Signals_EU!G111=-1,-Signals_EU!S111*Mapping!$C$9,0))</f>
        <v>5.000000000000001E-2</v>
      </c>
      <c r="J111" s="1">
        <f>IF(Signals_EU!H111=1,Signals_EU!R111*Mapping!$C$10,IF(Signals_EU!H111=-1,-Signals_EU!S111*Mapping!$C$10,0))</f>
        <v>0</v>
      </c>
      <c r="K111" s="1">
        <f>IF(Signals_EU!F111=1,Signals_EU!R111*Mapping!$C$11,IF(Signals_EU!F111=-1,-Signals_EU!S111*Mapping!$C$11,0))</f>
        <v>-1.0000000000000002E-2</v>
      </c>
      <c r="L111" s="1">
        <f>IF(Signals_EU!N111=1,Signals_EU!R111*Mapping!$C$12,IF(Signals_EU!N111=-1,-Signals_EU!S111*Mapping!$C$12,0))</f>
        <v>0</v>
      </c>
      <c r="M111" s="1">
        <f>IF(Signals_EU!I111=1,Signals_EU!R111*Mapping!$C$13,IF(Signals_EU!I111=-1,-Signals_EU!S111*Mapping!$C$13,0))</f>
        <v>0</v>
      </c>
      <c r="N111" s="1">
        <f>IF(Signals_EU!E111=1,Signals_EU!R111*Mapping!$C$14,IF(Signals_EU!E111=-1,-Signals_EU!S111*Mapping!$C$14,0))</f>
        <v>0</v>
      </c>
      <c r="O111" s="1">
        <f>0</f>
        <v>0</v>
      </c>
      <c r="P111" s="1">
        <f>0</f>
        <v>0</v>
      </c>
      <c r="Q111" s="1">
        <f>IF(Signals_EU!J111=1,Signals_EU!R111*Mapping!$C$17,IF(Signals_EU!J111=-1,-Signals_EU!S111*Mapping!$C$17,0))</f>
        <v>0</v>
      </c>
      <c r="R111" s="1">
        <f>IF(Signals_EU!K111=1,Signals_EU!R111*Mapping!$C$18,IF(Signals_EU!K111=-1,-Signals_EU!S111*Mapping!$C$18,0))</f>
        <v>0</v>
      </c>
      <c r="S111" s="1">
        <f>IF(Signals_EU!M111=1,Signals_EU!R111*Mapping!$C$19,IF(Signals_EU!M111=-1,-Signals_EU!S111*Mapping!$C$19,0))</f>
        <v>0</v>
      </c>
      <c r="T111" s="1">
        <f>IF(Signals_EU!L111=1,Signals_EU!R111*Mapping!$C$20,IF(Signals_EU!L111=-1,-Signals_EU!S111*Mapping!$C$20,0))</f>
        <v>5.000000000000001E-2</v>
      </c>
      <c r="U111" s="1">
        <f t="shared" si="1"/>
        <v>0</v>
      </c>
    </row>
    <row r="112" spans="1:21">
      <c r="A112" s="5">
        <f>Signals_EU!B112</f>
        <v>42401</v>
      </c>
      <c r="B112" s="1">
        <f>IF(Signals_EU!O112=1,Signals_EU!R112*Mapping!$C$2,IF(Signals_EU!O112=-1,-Signals_EU!S112*Mapping!$C$2,0))</f>
        <v>0</v>
      </c>
      <c r="C112" s="1">
        <f>IF(Signals_EU!F112=1,Signals_EU!R112*Mapping!$C$3,IF(Signals_EU!F112=-1,-Signals_EU!S112*Mapping!$C$3,0))</f>
        <v>-3.0000000000000006E-2</v>
      </c>
      <c r="D112" s="1">
        <f>IF(Signals_EU!C112=1,Signals_EU!R112*Mapping!$C$4,IF(Signals_EU!C112=-1,-Signals_EU!S112*Mapping!$C$4,0))</f>
        <v>-2.5000000000000005E-2</v>
      </c>
      <c r="E112" s="1">
        <f>IF(Signals_EU!C112=1,Signals_EU!R112*Mapping!$C$5,IF(Signals_EU!C112=-1,-Signals_EU!S112*Mapping!$C$5,0))</f>
        <v>-2.5000000000000005E-2</v>
      </c>
      <c r="F112" s="1">
        <f>IF(Signals_EU!H112=1,Signals_EU!R112*Mapping!$C$6,IF(Signals_EU!H112=-1,-Signals_EU!S112*Mapping!$C$6,0))</f>
        <v>1.0000000000000002E-2</v>
      </c>
      <c r="G112" s="1">
        <f>IF(Signals_EU!F112=1,Signals_EU!R112*Mapping!$C$7,IF(Signals_EU!F112=-1,-Signals_EU!S112*Mapping!$C$7,0))</f>
        <v>-1.0000000000000002E-2</v>
      </c>
      <c r="H112" s="1">
        <f>IF(Signals_EU!D112=1,Signals_EU!R112*Mapping!$C$8,IF(Signals_EU!D112=-1,-Signals_EU!S112*Mapping!$C$8,0))</f>
        <v>5.000000000000001E-2</v>
      </c>
      <c r="I112" s="1">
        <f>IF(Signals_EU!G112=1,Signals_EU!R112*Mapping!$C$9,IF(Signals_EU!G112=-1,-Signals_EU!S112*Mapping!$C$9,0))</f>
        <v>0</v>
      </c>
      <c r="J112" s="1">
        <f>IF(Signals_EU!H112=1,Signals_EU!R112*Mapping!$C$10,IF(Signals_EU!H112=-1,-Signals_EU!S112*Mapping!$C$10,0))</f>
        <v>4.0000000000000008E-2</v>
      </c>
      <c r="K112" s="1">
        <f>IF(Signals_EU!F112=1,Signals_EU!R112*Mapping!$C$11,IF(Signals_EU!F112=-1,-Signals_EU!S112*Mapping!$C$11,0))</f>
        <v>-1.0000000000000002E-2</v>
      </c>
      <c r="L112" s="1">
        <f>IF(Signals_EU!N112=1,Signals_EU!R112*Mapping!$C$12,IF(Signals_EU!N112=-1,-Signals_EU!S112*Mapping!$C$12,0))</f>
        <v>0</v>
      </c>
      <c r="M112" s="1">
        <f>IF(Signals_EU!I112=1,Signals_EU!R112*Mapping!$C$13,IF(Signals_EU!I112=-1,-Signals_EU!S112*Mapping!$C$13,0))</f>
        <v>-5.000000000000001E-2</v>
      </c>
      <c r="N112" s="1">
        <f>IF(Signals_EU!E112=1,Signals_EU!R112*Mapping!$C$14,IF(Signals_EU!E112=-1,-Signals_EU!S112*Mapping!$C$14,0))</f>
        <v>0</v>
      </c>
      <c r="O112" s="1">
        <f>0</f>
        <v>0</v>
      </c>
      <c r="P112" s="1">
        <f>0</f>
        <v>0</v>
      </c>
      <c r="Q112" s="1">
        <f>IF(Signals_EU!J112=1,Signals_EU!R112*Mapping!$C$17,IF(Signals_EU!J112=-1,-Signals_EU!S112*Mapping!$C$17,0))</f>
        <v>0</v>
      </c>
      <c r="R112" s="1">
        <f>IF(Signals_EU!K112=1,Signals_EU!R112*Mapping!$C$18,IF(Signals_EU!K112=-1,-Signals_EU!S112*Mapping!$C$18,0))</f>
        <v>0</v>
      </c>
      <c r="S112" s="1">
        <f>IF(Signals_EU!M112=1,Signals_EU!R112*Mapping!$C$19,IF(Signals_EU!M112=-1,-Signals_EU!S112*Mapping!$C$19,0))</f>
        <v>0</v>
      </c>
      <c r="T112" s="1">
        <f>IF(Signals_EU!L112=1,Signals_EU!R112*Mapping!$C$20,IF(Signals_EU!L112=-1,-Signals_EU!S112*Mapping!$C$20,0))</f>
        <v>5.000000000000001E-2</v>
      </c>
      <c r="U112" s="1">
        <f t="shared" si="1"/>
        <v>0</v>
      </c>
    </row>
    <row r="113" spans="1:21">
      <c r="A113" s="5">
        <f>Signals_EU!B113</f>
        <v>42430</v>
      </c>
      <c r="B113" s="1">
        <f>IF(Signals_EU!O113=1,Signals_EU!R113*Mapping!$C$2,IF(Signals_EU!O113=-1,-Signals_EU!S113*Mapping!$C$2,0))</f>
        <v>-5.000000000000001E-2</v>
      </c>
      <c r="C113" s="1">
        <f>IF(Signals_EU!F113=1,Signals_EU!R113*Mapping!$C$3,IF(Signals_EU!F113=-1,-Signals_EU!S113*Mapping!$C$3,0))</f>
        <v>0</v>
      </c>
      <c r="D113" s="1">
        <f>IF(Signals_EU!C113=1,Signals_EU!R113*Mapping!$C$4,IF(Signals_EU!C113=-1,-Signals_EU!S113*Mapping!$C$4,0))</f>
        <v>-2.5000000000000005E-2</v>
      </c>
      <c r="E113" s="1">
        <f>IF(Signals_EU!C113=1,Signals_EU!R113*Mapping!$C$5,IF(Signals_EU!C113=-1,-Signals_EU!S113*Mapping!$C$5,0))</f>
        <v>-2.5000000000000005E-2</v>
      </c>
      <c r="F113" s="1">
        <f>IF(Signals_EU!H113=1,Signals_EU!R113*Mapping!$C$6,IF(Signals_EU!H113=-1,-Signals_EU!S113*Mapping!$C$6,0))</f>
        <v>0</v>
      </c>
      <c r="G113" s="1">
        <f>IF(Signals_EU!F113=1,Signals_EU!R113*Mapping!$C$7,IF(Signals_EU!F113=-1,-Signals_EU!S113*Mapping!$C$7,0))</f>
        <v>0</v>
      </c>
      <c r="H113" s="1">
        <f>IF(Signals_EU!D113=1,Signals_EU!R113*Mapping!$C$8,IF(Signals_EU!D113=-1,-Signals_EU!S113*Mapping!$C$8,0))</f>
        <v>0</v>
      </c>
      <c r="I113" s="1">
        <f>IF(Signals_EU!G113=1,Signals_EU!R113*Mapping!$C$9,IF(Signals_EU!G113=-1,-Signals_EU!S113*Mapping!$C$9,0))</f>
        <v>5.000000000000001E-2</v>
      </c>
      <c r="J113" s="1">
        <f>IF(Signals_EU!H113=1,Signals_EU!R113*Mapping!$C$10,IF(Signals_EU!H113=-1,-Signals_EU!S113*Mapping!$C$10,0))</f>
        <v>0</v>
      </c>
      <c r="K113" s="1">
        <f>IF(Signals_EU!F113=1,Signals_EU!R113*Mapping!$C$11,IF(Signals_EU!F113=-1,-Signals_EU!S113*Mapping!$C$11,0))</f>
        <v>0</v>
      </c>
      <c r="L113" s="1">
        <f>IF(Signals_EU!N113=1,Signals_EU!R113*Mapping!$C$12,IF(Signals_EU!N113=-1,-Signals_EU!S113*Mapping!$C$12,0))</f>
        <v>0</v>
      </c>
      <c r="M113" s="1">
        <f>IF(Signals_EU!I113=1,Signals_EU!R113*Mapping!$C$13,IF(Signals_EU!I113=-1,-Signals_EU!S113*Mapping!$C$13,0))</f>
        <v>-5.000000000000001E-2</v>
      </c>
      <c r="N113" s="1">
        <f>IF(Signals_EU!E113=1,Signals_EU!R113*Mapping!$C$14,IF(Signals_EU!E113=-1,-Signals_EU!S113*Mapping!$C$14,0))</f>
        <v>0</v>
      </c>
      <c r="O113" s="1">
        <f>0</f>
        <v>0</v>
      </c>
      <c r="P113" s="1">
        <f>0</f>
        <v>0</v>
      </c>
      <c r="Q113" s="1">
        <f>IF(Signals_EU!J113=1,Signals_EU!R113*Mapping!$C$17,IF(Signals_EU!J113=-1,-Signals_EU!S113*Mapping!$C$17,0))</f>
        <v>5.000000000000001E-2</v>
      </c>
      <c r="R113" s="1">
        <f>IF(Signals_EU!K113=1,Signals_EU!R113*Mapping!$C$18,IF(Signals_EU!K113=-1,-Signals_EU!S113*Mapping!$C$18,0))</f>
        <v>0</v>
      </c>
      <c r="S113" s="1">
        <f>IF(Signals_EU!M113=1,Signals_EU!R113*Mapping!$C$19,IF(Signals_EU!M113=-1,-Signals_EU!S113*Mapping!$C$19,0))</f>
        <v>0</v>
      </c>
      <c r="T113" s="1">
        <f>IF(Signals_EU!L113=1,Signals_EU!R113*Mapping!$C$20,IF(Signals_EU!L113=-1,-Signals_EU!S113*Mapping!$C$20,0))</f>
        <v>5.000000000000001E-2</v>
      </c>
      <c r="U113" s="1">
        <f t="shared" si="1"/>
        <v>0</v>
      </c>
    </row>
    <row r="114" spans="1:21">
      <c r="A114" s="5">
        <f>Signals_EU!B114</f>
        <v>42461</v>
      </c>
      <c r="B114" s="1">
        <f>IF(Signals_EU!O114=1,Signals_EU!R114*Mapping!$C$2,IF(Signals_EU!O114=-1,-Signals_EU!S114*Mapping!$C$2,0))</f>
        <v>0</v>
      </c>
      <c r="C114" s="1">
        <f>IF(Signals_EU!F114=1,Signals_EU!R114*Mapping!$C$3,IF(Signals_EU!F114=-1,-Signals_EU!S114*Mapping!$C$3,0))</f>
        <v>0</v>
      </c>
      <c r="D114" s="1">
        <f>IF(Signals_EU!C114=1,Signals_EU!R114*Mapping!$C$4,IF(Signals_EU!C114=-1,-Signals_EU!S114*Mapping!$C$4,0))</f>
        <v>-2.5000000000000005E-2</v>
      </c>
      <c r="E114" s="1">
        <f>IF(Signals_EU!C114=1,Signals_EU!R114*Mapping!$C$5,IF(Signals_EU!C114=-1,-Signals_EU!S114*Mapping!$C$5,0))</f>
        <v>-2.5000000000000005E-2</v>
      </c>
      <c r="F114" s="1">
        <f>IF(Signals_EU!H114=1,Signals_EU!R114*Mapping!$C$6,IF(Signals_EU!H114=-1,-Signals_EU!S114*Mapping!$C$6,0))</f>
        <v>-1.0000000000000002E-2</v>
      </c>
      <c r="G114" s="1">
        <f>IF(Signals_EU!F114=1,Signals_EU!R114*Mapping!$C$7,IF(Signals_EU!F114=-1,-Signals_EU!S114*Mapping!$C$7,0))</f>
        <v>0</v>
      </c>
      <c r="H114" s="1">
        <f>IF(Signals_EU!D114=1,Signals_EU!R114*Mapping!$C$8,IF(Signals_EU!D114=-1,-Signals_EU!S114*Mapping!$C$8,0))</f>
        <v>5.000000000000001E-2</v>
      </c>
      <c r="I114" s="1">
        <f>IF(Signals_EU!G114=1,Signals_EU!R114*Mapping!$C$9,IF(Signals_EU!G114=-1,-Signals_EU!S114*Mapping!$C$9,0))</f>
        <v>5.000000000000001E-2</v>
      </c>
      <c r="J114" s="1">
        <f>IF(Signals_EU!H114=1,Signals_EU!R114*Mapping!$C$10,IF(Signals_EU!H114=-1,-Signals_EU!S114*Mapping!$C$10,0))</f>
        <v>-4.0000000000000008E-2</v>
      </c>
      <c r="K114" s="1">
        <f>IF(Signals_EU!F114=1,Signals_EU!R114*Mapping!$C$11,IF(Signals_EU!F114=-1,-Signals_EU!S114*Mapping!$C$11,0))</f>
        <v>0</v>
      </c>
      <c r="L114" s="1">
        <f>IF(Signals_EU!N114=1,Signals_EU!R114*Mapping!$C$12,IF(Signals_EU!N114=-1,-Signals_EU!S114*Mapping!$C$12,0))</f>
        <v>0</v>
      </c>
      <c r="M114" s="1">
        <f>IF(Signals_EU!I114=1,Signals_EU!R114*Mapping!$C$13,IF(Signals_EU!I114=-1,-Signals_EU!S114*Mapping!$C$13,0))</f>
        <v>-5.000000000000001E-2</v>
      </c>
      <c r="N114" s="1">
        <f>IF(Signals_EU!E114=1,Signals_EU!R114*Mapping!$C$14,IF(Signals_EU!E114=-1,-Signals_EU!S114*Mapping!$C$14,0))</f>
        <v>0</v>
      </c>
      <c r="O114" s="1">
        <f>0</f>
        <v>0</v>
      </c>
      <c r="P114" s="1">
        <f>0</f>
        <v>0</v>
      </c>
      <c r="Q114" s="1">
        <f>IF(Signals_EU!J114=1,Signals_EU!R114*Mapping!$C$17,IF(Signals_EU!J114=-1,-Signals_EU!S114*Mapping!$C$17,0))</f>
        <v>5.000000000000001E-2</v>
      </c>
      <c r="R114" s="1">
        <f>IF(Signals_EU!K114=1,Signals_EU!R114*Mapping!$C$18,IF(Signals_EU!K114=-1,-Signals_EU!S114*Mapping!$C$18,0))</f>
        <v>0</v>
      </c>
      <c r="S114" s="1">
        <f>IF(Signals_EU!M114=1,Signals_EU!R114*Mapping!$C$19,IF(Signals_EU!M114=-1,-Signals_EU!S114*Mapping!$C$19,0))</f>
        <v>0</v>
      </c>
      <c r="T114" s="1">
        <f>IF(Signals_EU!L114=1,Signals_EU!R114*Mapping!$C$20,IF(Signals_EU!L114=-1,-Signals_EU!S114*Mapping!$C$20,0))</f>
        <v>0</v>
      </c>
      <c r="U114" s="1">
        <f t="shared" si="1"/>
        <v>0</v>
      </c>
    </row>
    <row r="115" spans="1:21">
      <c r="A115" s="5">
        <f>Signals_EU!B115</f>
        <v>42491</v>
      </c>
      <c r="B115" s="1">
        <f>IF(Signals_EU!O115=1,Signals_EU!R115*Mapping!$C$2,IF(Signals_EU!O115=-1,-Signals_EU!S115*Mapping!$C$2,0))</f>
        <v>0</v>
      </c>
      <c r="C115" s="1">
        <f>IF(Signals_EU!F115=1,Signals_EU!R115*Mapping!$C$3,IF(Signals_EU!F115=-1,-Signals_EU!S115*Mapping!$C$3,0))</f>
        <v>-3.0000000000000006E-2</v>
      </c>
      <c r="D115" s="1">
        <f>IF(Signals_EU!C115=1,Signals_EU!R115*Mapping!$C$4,IF(Signals_EU!C115=-1,-Signals_EU!S115*Mapping!$C$4,0))</f>
        <v>-2.5000000000000005E-2</v>
      </c>
      <c r="E115" s="1">
        <f>IF(Signals_EU!C115=1,Signals_EU!R115*Mapping!$C$5,IF(Signals_EU!C115=-1,-Signals_EU!S115*Mapping!$C$5,0))</f>
        <v>-2.5000000000000005E-2</v>
      </c>
      <c r="F115" s="1">
        <f>IF(Signals_EU!H115=1,Signals_EU!R115*Mapping!$C$6,IF(Signals_EU!H115=-1,-Signals_EU!S115*Mapping!$C$6,0))</f>
        <v>0</v>
      </c>
      <c r="G115" s="1">
        <f>IF(Signals_EU!F115=1,Signals_EU!R115*Mapping!$C$7,IF(Signals_EU!F115=-1,-Signals_EU!S115*Mapping!$C$7,0))</f>
        <v>-1.0000000000000002E-2</v>
      </c>
      <c r="H115" s="1">
        <f>IF(Signals_EU!D115=1,Signals_EU!R115*Mapping!$C$8,IF(Signals_EU!D115=-1,-Signals_EU!S115*Mapping!$C$8,0))</f>
        <v>5.000000000000001E-2</v>
      </c>
      <c r="I115" s="1">
        <f>IF(Signals_EU!G115=1,Signals_EU!R115*Mapping!$C$9,IF(Signals_EU!G115=-1,-Signals_EU!S115*Mapping!$C$9,0))</f>
        <v>0</v>
      </c>
      <c r="J115" s="1">
        <f>IF(Signals_EU!H115=1,Signals_EU!R115*Mapping!$C$10,IF(Signals_EU!H115=-1,-Signals_EU!S115*Mapping!$C$10,0))</f>
        <v>0</v>
      </c>
      <c r="K115" s="1">
        <f>IF(Signals_EU!F115=1,Signals_EU!R115*Mapping!$C$11,IF(Signals_EU!F115=-1,-Signals_EU!S115*Mapping!$C$11,0))</f>
        <v>-1.0000000000000002E-2</v>
      </c>
      <c r="L115" s="1">
        <f>IF(Signals_EU!N115=1,Signals_EU!R115*Mapping!$C$12,IF(Signals_EU!N115=-1,-Signals_EU!S115*Mapping!$C$12,0))</f>
        <v>5.000000000000001E-2</v>
      </c>
      <c r="M115" s="1">
        <f>IF(Signals_EU!I115=1,Signals_EU!R115*Mapping!$C$13,IF(Signals_EU!I115=-1,-Signals_EU!S115*Mapping!$C$13,0))</f>
        <v>-5.000000000000001E-2</v>
      </c>
      <c r="N115" s="1">
        <f>IF(Signals_EU!E115=1,Signals_EU!R115*Mapping!$C$14,IF(Signals_EU!E115=-1,-Signals_EU!S115*Mapping!$C$14,0))</f>
        <v>0</v>
      </c>
      <c r="O115" s="1">
        <f>0</f>
        <v>0</v>
      </c>
      <c r="P115" s="1">
        <f>0</f>
        <v>0</v>
      </c>
      <c r="Q115" s="1">
        <f>IF(Signals_EU!J115=1,Signals_EU!R115*Mapping!$C$17,IF(Signals_EU!J115=-1,-Signals_EU!S115*Mapping!$C$17,0))</f>
        <v>5.000000000000001E-2</v>
      </c>
      <c r="R115" s="1">
        <f>IF(Signals_EU!K115=1,Signals_EU!R115*Mapping!$C$18,IF(Signals_EU!K115=-1,-Signals_EU!S115*Mapping!$C$18,0))</f>
        <v>0</v>
      </c>
      <c r="S115" s="1">
        <f>IF(Signals_EU!M115=1,Signals_EU!R115*Mapping!$C$19,IF(Signals_EU!M115=-1,-Signals_EU!S115*Mapping!$C$19,0))</f>
        <v>0</v>
      </c>
      <c r="T115" s="1">
        <f>IF(Signals_EU!L115=1,Signals_EU!R115*Mapping!$C$20,IF(Signals_EU!L115=-1,-Signals_EU!S115*Mapping!$C$20,0))</f>
        <v>0</v>
      </c>
      <c r="U115" s="1">
        <f t="shared" si="1"/>
        <v>0</v>
      </c>
    </row>
    <row r="116" spans="1:21">
      <c r="A116" s="5">
        <f>Signals_EU!B116</f>
        <v>42522</v>
      </c>
      <c r="B116" s="1">
        <f>IF(Signals_EU!O116=1,Signals_EU!R116*Mapping!$C$2,IF(Signals_EU!O116=-1,-Signals_EU!S116*Mapping!$C$2,0))</f>
        <v>0</v>
      </c>
      <c r="C116" s="1">
        <f>IF(Signals_EU!F116=1,Signals_EU!R116*Mapping!$C$3,IF(Signals_EU!F116=-1,-Signals_EU!S116*Mapping!$C$3,0))</f>
        <v>-3.0000000000000006E-2</v>
      </c>
      <c r="D116" s="1">
        <f>IF(Signals_EU!C116=1,Signals_EU!R116*Mapping!$C$4,IF(Signals_EU!C116=-1,-Signals_EU!S116*Mapping!$C$4,0))</f>
        <v>-2.5000000000000005E-2</v>
      </c>
      <c r="E116" s="1">
        <f>IF(Signals_EU!C116=1,Signals_EU!R116*Mapping!$C$5,IF(Signals_EU!C116=-1,-Signals_EU!S116*Mapping!$C$5,0))</f>
        <v>-2.5000000000000005E-2</v>
      </c>
      <c r="F116" s="1">
        <f>IF(Signals_EU!H116=1,Signals_EU!R116*Mapping!$C$6,IF(Signals_EU!H116=-1,-Signals_EU!S116*Mapping!$C$6,0))</f>
        <v>0</v>
      </c>
      <c r="G116" s="1">
        <f>IF(Signals_EU!F116=1,Signals_EU!R116*Mapping!$C$7,IF(Signals_EU!F116=-1,-Signals_EU!S116*Mapping!$C$7,0))</f>
        <v>-1.0000000000000002E-2</v>
      </c>
      <c r="H116" s="1">
        <f>IF(Signals_EU!D116=1,Signals_EU!R116*Mapping!$C$8,IF(Signals_EU!D116=-1,-Signals_EU!S116*Mapping!$C$8,0))</f>
        <v>5.000000000000001E-2</v>
      </c>
      <c r="I116" s="1">
        <f>IF(Signals_EU!G116=1,Signals_EU!R116*Mapping!$C$9,IF(Signals_EU!G116=-1,-Signals_EU!S116*Mapping!$C$9,0))</f>
        <v>0</v>
      </c>
      <c r="J116" s="1">
        <f>IF(Signals_EU!H116=1,Signals_EU!R116*Mapping!$C$10,IF(Signals_EU!H116=-1,-Signals_EU!S116*Mapping!$C$10,0))</f>
        <v>0</v>
      </c>
      <c r="K116" s="1">
        <f>IF(Signals_EU!F116=1,Signals_EU!R116*Mapping!$C$11,IF(Signals_EU!F116=-1,-Signals_EU!S116*Mapping!$C$11,0))</f>
        <v>-1.0000000000000002E-2</v>
      </c>
      <c r="L116" s="1">
        <f>IF(Signals_EU!N116=1,Signals_EU!R116*Mapping!$C$12,IF(Signals_EU!N116=-1,-Signals_EU!S116*Mapping!$C$12,0))</f>
        <v>0</v>
      </c>
      <c r="M116" s="1">
        <f>IF(Signals_EU!I116=1,Signals_EU!R116*Mapping!$C$13,IF(Signals_EU!I116=-1,-Signals_EU!S116*Mapping!$C$13,0))</f>
        <v>-5.000000000000001E-2</v>
      </c>
      <c r="N116" s="1">
        <f>IF(Signals_EU!E116=1,Signals_EU!R116*Mapping!$C$14,IF(Signals_EU!E116=-1,-Signals_EU!S116*Mapping!$C$14,0))</f>
        <v>0</v>
      </c>
      <c r="O116" s="1">
        <f>0</f>
        <v>0</v>
      </c>
      <c r="P116" s="1">
        <f>0</f>
        <v>0</v>
      </c>
      <c r="Q116" s="1">
        <f>IF(Signals_EU!J116=1,Signals_EU!R116*Mapping!$C$17,IF(Signals_EU!J116=-1,-Signals_EU!S116*Mapping!$C$17,0))</f>
        <v>5.000000000000001E-2</v>
      </c>
      <c r="R116" s="1">
        <f>IF(Signals_EU!K116=1,Signals_EU!R116*Mapping!$C$18,IF(Signals_EU!K116=-1,-Signals_EU!S116*Mapping!$C$18,0))</f>
        <v>0</v>
      </c>
      <c r="S116" s="1">
        <f>IF(Signals_EU!M116=1,Signals_EU!R116*Mapping!$C$19,IF(Signals_EU!M116=-1,-Signals_EU!S116*Mapping!$C$19,0))</f>
        <v>0</v>
      </c>
      <c r="T116" s="1">
        <f>IF(Signals_EU!L116=1,Signals_EU!R116*Mapping!$C$20,IF(Signals_EU!L116=-1,-Signals_EU!S116*Mapping!$C$20,0))</f>
        <v>5.000000000000001E-2</v>
      </c>
      <c r="U116" s="1">
        <f t="shared" si="1"/>
        <v>0</v>
      </c>
    </row>
    <row r="117" spans="1:21">
      <c r="A117" s="5">
        <f>Signals_EU!B117</f>
        <v>42552</v>
      </c>
      <c r="B117" s="1">
        <f>IF(Signals_EU!O117=1,Signals_EU!R117*Mapping!$C$2,IF(Signals_EU!O117=-1,-Signals_EU!S117*Mapping!$C$2,0))</f>
        <v>-5.000000000000001E-2</v>
      </c>
      <c r="C117" s="1">
        <f>IF(Signals_EU!F117=1,Signals_EU!R117*Mapping!$C$3,IF(Signals_EU!F117=-1,-Signals_EU!S117*Mapping!$C$3,0))</f>
        <v>-3.0000000000000006E-2</v>
      </c>
      <c r="D117" s="1">
        <f>IF(Signals_EU!C117=1,Signals_EU!R117*Mapping!$C$4,IF(Signals_EU!C117=-1,-Signals_EU!S117*Mapping!$C$4,0))</f>
        <v>0</v>
      </c>
      <c r="E117" s="1">
        <f>IF(Signals_EU!C117=1,Signals_EU!R117*Mapping!$C$5,IF(Signals_EU!C117=-1,-Signals_EU!S117*Mapping!$C$5,0))</f>
        <v>0</v>
      </c>
      <c r="F117" s="1">
        <f>IF(Signals_EU!H117=1,Signals_EU!R117*Mapping!$C$6,IF(Signals_EU!H117=-1,-Signals_EU!S117*Mapping!$C$6,0))</f>
        <v>0</v>
      </c>
      <c r="G117" s="1">
        <f>IF(Signals_EU!F117=1,Signals_EU!R117*Mapping!$C$7,IF(Signals_EU!F117=-1,-Signals_EU!S117*Mapping!$C$7,0))</f>
        <v>-1.0000000000000002E-2</v>
      </c>
      <c r="H117" s="1">
        <f>IF(Signals_EU!D117=1,Signals_EU!R117*Mapping!$C$8,IF(Signals_EU!D117=-1,-Signals_EU!S117*Mapping!$C$8,0))</f>
        <v>5.000000000000001E-2</v>
      </c>
      <c r="I117" s="1">
        <f>IF(Signals_EU!G117=1,Signals_EU!R117*Mapping!$C$9,IF(Signals_EU!G117=-1,-Signals_EU!S117*Mapping!$C$9,0))</f>
        <v>0</v>
      </c>
      <c r="J117" s="1">
        <f>IF(Signals_EU!H117=1,Signals_EU!R117*Mapping!$C$10,IF(Signals_EU!H117=-1,-Signals_EU!S117*Mapping!$C$10,0))</f>
        <v>0</v>
      </c>
      <c r="K117" s="1">
        <f>IF(Signals_EU!F117=1,Signals_EU!R117*Mapping!$C$11,IF(Signals_EU!F117=-1,-Signals_EU!S117*Mapping!$C$11,0))</f>
        <v>-1.0000000000000002E-2</v>
      </c>
      <c r="L117" s="1">
        <f>IF(Signals_EU!N117=1,Signals_EU!R117*Mapping!$C$12,IF(Signals_EU!N117=-1,-Signals_EU!S117*Mapping!$C$12,0))</f>
        <v>0</v>
      </c>
      <c r="M117" s="1">
        <f>IF(Signals_EU!I117=1,Signals_EU!R117*Mapping!$C$13,IF(Signals_EU!I117=-1,-Signals_EU!S117*Mapping!$C$13,0))</f>
        <v>-5.000000000000001E-2</v>
      </c>
      <c r="N117" s="1">
        <f>IF(Signals_EU!E117=1,Signals_EU!R117*Mapping!$C$14,IF(Signals_EU!E117=-1,-Signals_EU!S117*Mapping!$C$14,0))</f>
        <v>5.000000000000001E-2</v>
      </c>
      <c r="O117" s="1">
        <f>0</f>
        <v>0</v>
      </c>
      <c r="P117" s="1">
        <f>0</f>
        <v>0</v>
      </c>
      <c r="Q117" s="1">
        <f>IF(Signals_EU!J117=1,Signals_EU!R117*Mapping!$C$17,IF(Signals_EU!J117=-1,-Signals_EU!S117*Mapping!$C$17,0))</f>
        <v>0</v>
      </c>
      <c r="R117" s="1">
        <f>IF(Signals_EU!K117=1,Signals_EU!R117*Mapping!$C$18,IF(Signals_EU!K117=-1,-Signals_EU!S117*Mapping!$C$18,0))</f>
        <v>0</v>
      </c>
      <c r="S117" s="1">
        <f>IF(Signals_EU!M117=1,Signals_EU!R117*Mapping!$C$19,IF(Signals_EU!M117=-1,-Signals_EU!S117*Mapping!$C$19,0))</f>
        <v>0</v>
      </c>
      <c r="T117" s="1">
        <f>IF(Signals_EU!L117=1,Signals_EU!R117*Mapping!$C$20,IF(Signals_EU!L117=-1,-Signals_EU!S117*Mapping!$C$20,0))</f>
        <v>5.000000000000001E-2</v>
      </c>
      <c r="U117" s="1">
        <f t="shared" si="1"/>
        <v>0</v>
      </c>
    </row>
    <row r="118" spans="1:21">
      <c r="A118" s="5">
        <f>Signals_EU!B118</f>
        <v>42583</v>
      </c>
      <c r="B118" s="1">
        <f>IF(Signals_EU!O118=1,Signals_EU!R118*Mapping!$C$2,IF(Signals_EU!O118=-1,-Signals_EU!S118*Mapping!$C$2,0))</f>
        <v>0</v>
      </c>
      <c r="C118" s="1">
        <f>IF(Signals_EU!F118=1,Signals_EU!R118*Mapping!$C$3,IF(Signals_EU!F118=-1,-Signals_EU!S118*Mapping!$C$3,0))</f>
        <v>-3.0000000000000006E-2</v>
      </c>
      <c r="D118" s="1">
        <f>IF(Signals_EU!C118=1,Signals_EU!R118*Mapping!$C$4,IF(Signals_EU!C118=-1,-Signals_EU!S118*Mapping!$C$4,0))</f>
        <v>0</v>
      </c>
      <c r="E118" s="1">
        <f>IF(Signals_EU!C118=1,Signals_EU!R118*Mapping!$C$5,IF(Signals_EU!C118=-1,-Signals_EU!S118*Mapping!$C$5,0))</f>
        <v>0</v>
      </c>
      <c r="F118" s="1">
        <f>IF(Signals_EU!H118=1,Signals_EU!R118*Mapping!$C$6,IF(Signals_EU!H118=-1,-Signals_EU!S118*Mapping!$C$6,0))</f>
        <v>0</v>
      </c>
      <c r="G118" s="1">
        <f>IF(Signals_EU!F118=1,Signals_EU!R118*Mapping!$C$7,IF(Signals_EU!F118=-1,-Signals_EU!S118*Mapping!$C$7,0))</f>
        <v>-1.0000000000000002E-2</v>
      </c>
      <c r="H118" s="1">
        <f>IF(Signals_EU!D118=1,Signals_EU!R118*Mapping!$C$8,IF(Signals_EU!D118=-1,-Signals_EU!S118*Mapping!$C$8,0))</f>
        <v>5.000000000000001E-2</v>
      </c>
      <c r="I118" s="1">
        <f>IF(Signals_EU!G118=1,Signals_EU!R118*Mapping!$C$9,IF(Signals_EU!G118=-1,-Signals_EU!S118*Mapping!$C$9,0))</f>
        <v>0</v>
      </c>
      <c r="J118" s="1">
        <f>IF(Signals_EU!H118=1,Signals_EU!R118*Mapping!$C$10,IF(Signals_EU!H118=-1,-Signals_EU!S118*Mapping!$C$10,0))</f>
        <v>0</v>
      </c>
      <c r="K118" s="1">
        <f>IF(Signals_EU!F118=1,Signals_EU!R118*Mapping!$C$11,IF(Signals_EU!F118=-1,-Signals_EU!S118*Mapping!$C$11,0))</f>
        <v>-1.0000000000000002E-2</v>
      </c>
      <c r="L118" s="1">
        <f>IF(Signals_EU!N118=1,Signals_EU!R118*Mapping!$C$12,IF(Signals_EU!N118=-1,-Signals_EU!S118*Mapping!$C$12,0))</f>
        <v>0</v>
      </c>
      <c r="M118" s="1">
        <f>IF(Signals_EU!I118=1,Signals_EU!R118*Mapping!$C$13,IF(Signals_EU!I118=-1,-Signals_EU!S118*Mapping!$C$13,0))</f>
        <v>5.000000000000001E-2</v>
      </c>
      <c r="N118" s="1">
        <f>IF(Signals_EU!E118=1,Signals_EU!R118*Mapping!$C$14,IF(Signals_EU!E118=-1,-Signals_EU!S118*Mapping!$C$14,0))</f>
        <v>-5.000000000000001E-2</v>
      </c>
      <c r="O118" s="1">
        <f>0</f>
        <v>0</v>
      </c>
      <c r="P118" s="1">
        <f>0</f>
        <v>0</v>
      </c>
      <c r="Q118" s="1">
        <f>IF(Signals_EU!J118=1,Signals_EU!R118*Mapping!$C$17,IF(Signals_EU!J118=-1,-Signals_EU!S118*Mapping!$C$17,0))</f>
        <v>5.000000000000001E-2</v>
      </c>
      <c r="R118" s="1">
        <f>IF(Signals_EU!K118=1,Signals_EU!R118*Mapping!$C$18,IF(Signals_EU!K118=-1,-Signals_EU!S118*Mapping!$C$18,0))</f>
        <v>-5.000000000000001E-2</v>
      </c>
      <c r="S118" s="1">
        <f>IF(Signals_EU!M118=1,Signals_EU!R118*Mapping!$C$19,IF(Signals_EU!M118=-1,-Signals_EU!S118*Mapping!$C$19,0))</f>
        <v>0</v>
      </c>
      <c r="T118" s="1">
        <f>IF(Signals_EU!L118=1,Signals_EU!R118*Mapping!$C$20,IF(Signals_EU!L118=-1,-Signals_EU!S118*Mapping!$C$20,0))</f>
        <v>0</v>
      </c>
      <c r="U118" s="1">
        <f t="shared" si="1"/>
        <v>0</v>
      </c>
    </row>
    <row r="119" spans="1:21">
      <c r="A119" s="5">
        <f>Signals_EU!B119</f>
        <v>42614</v>
      </c>
      <c r="B119" s="1">
        <f>IF(Signals_EU!O119=1,Signals_EU!R119*Mapping!$C$2,IF(Signals_EU!O119=-1,-Signals_EU!S119*Mapping!$C$2,0))</f>
        <v>0</v>
      </c>
      <c r="C119" s="1">
        <f>IF(Signals_EU!F119=1,Signals_EU!R119*Mapping!$C$3,IF(Signals_EU!F119=-1,-Signals_EU!S119*Mapping!$C$3,0))</f>
        <v>-3.0000000000000006E-2</v>
      </c>
      <c r="D119" s="1">
        <f>IF(Signals_EU!C119=1,Signals_EU!R119*Mapping!$C$4,IF(Signals_EU!C119=-1,-Signals_EU!S119*Mapping!$C$4,0))</f>
        <v>0</v>
      </c>
      <c r="E119" s="1">
        <f>IF(Signals_EU!C119=1,Signals_EU!R119*Mapping!$C$5,IF(Signals_EU!C119=-1,-Signals_EU!S119*Mapping!$C$5,0))</f>
        <v>0</v>
      </c>
      <c r="F119" s="1">
        <f>IF(Signals_EU!H119=1,Signals_EU!R119*Mapping!$C$6,IF(Signals_EU!H119=-1,-Signals_EU!S119*Mapping!$C$6,0))</f>
        <v>0</v>
      </c>
      <c r="G119" s="1">
        <f>IF(Signals_EU!F119=1,Signals_EU!R119*Mapping!$C$7,IF(Signals_EU!F119=-1,-Signals_EU!S119*Mapping!$C$7,0))</f>
        <v>-1.0000000000000002E-2</v>
      </c>
      <c r="H119" s="1">
        <f>IF(Signals_EU!D119=1,Signals_EU!R119*Mapping!$C$8,IF(Signals_EU!D119=-1,-Signals_EU!S119*Mapping!$C$8,0))</f>
        <v>0</v>
      </c>
      <c r="I119" s="1">
        <f>IF(Signals_EU!G119=1,Signals_EU!R119*Mapping!$C$9,IF(Signals_EU!G119=-1,-Signals_EU!S119*Mapping!$C$9,0))</f>
        <v>5.000000000000001E-2</v>
      </c>
      <c r="J119" s="1">
        <f>IF(Signals_EU!H119=1,Signals_EU!R119*Mapping!$C$10,IF(Signals_EU!H119=-1,-Signals_EU!S119*Mapping!$C$10,0))</f>
        <v>0</v>
      </c>
      <c r="K119" s="1">
        <f>IF(Signals_EU!F119=1,Signals_EU!R119*Mapping!$C$11,IF(Signals_EU!F119=-1,-Signals_EU!S119*Mapping!$C$11,0))</f>
        <v>-1.0000000000000002E-2</v>
      </c>
      <c r="L119" s="1">
        <f>IF(Signals_EU!N119=1,Signals_EU!R119*Mapping!$C$12,IF(Signals_EU!N119=-1,-Signals_EU!S119*Mapping!$C$12,0))</f>
        <v>0</v>
      </c>
      <c r="M119" s="1">
        <f>IF(Signals_EU!I119=1,Signals_EU!R119*Mapping!$C$13,IF(Signals_EU!I119=-1,-Signals_EU!S119*Mapping!$C$13,0))</f>
        <v>5.000000000000001E-2</v>
      </c>
      <c r="N119" s="1">
        <f>IF(Signals_EU!E119=1,Signals_EU!R119*Mapping!$C$14,IF(Signals_EU!E119=-1,-Signals_EU!S119*Mapping!$C$14,0))</f>
        <v>-5.000000000000001E-2</v>
      </c>
      <c r="O119" s="1">
        <f>0</f>
        <v>0</v>
      </c>
      <c r="P119" s="1">
        <f>0</f>
        <v>0</v>
      </c>
      <c r="Q119" s="1">
        <f>IF(Signals_EU!J119=1,Signals_EU!R119*Mapping!$C$17,IF(Signals_EU!J119=-1,-Signals_EU!S119*Mapping!$C$17,0))</f>
        <v>5.000000000000001E-2</v>
      </c>
      <c r="R119" s="1">
        <f>IF(Signals_EU!K119=1,Signals_EU!R119*Mapping!$C$18,IF(Signals_EU!K119=-1,-Signals_EU!S119*Mapping!$C$18,0))</f>
        <v>-5.000000000000001E-2</v>
      </c>
      <c r="S119" s="1">
        <f>IF(Signals_EU!M119=1,Signals_EU!R119*Mapping!$C$19,IF(Signals_EU!M119=-1,-Signals_EU!S119*Mapping!$C$19,0))</f>
        <v>0</v>
      </c>
      <c r="T119" s="1">
        <f>IF(Signals_EU!L119=1,Signals_EU!R119*Mapping!$C$20,IF(Signals_EU!L119=-1,-Signals_EU!S119*Mapping!$C$20,0))</f>
        <v>0</v>
      </c>
      <c r="U119" s="1">
        <f t="shared" si="1"/>
        <v>0</v>
      </c>
    </row>
    <row r="120" spans="1:21">
      <c r="A120" s="5">
        <f>Signals_EU!B120</f>
        <v>42644</v>
      </c>
      <c r="B120" s="1">
        <f>IF(Signals_EU!O120=1,Signals_EU!R120*Mapping!$C$2,IF(Signals_EU!O120=-1,-Signals_EU!S120*Mapping!$C$2,0))</f>
        <v>0</v>
      </c>
      <c r="C120" s="1">
        <f>IF(Signals_EU!F120=1,Signals_EU!R120*Mapping!$C$3,IF(Signals_EU!F120=-1,-Signals_EU!S120*Mapping!$C$3,0))</f>
        <v>-3.0000000000000006E-2</v>
      </c>
      <c r="D120" s="1">
        <f>IF(Signals_EU!C120=1,Signals_EU!R120*Mapping!$C$4,IF(Signals_EU!C120=-1,-Signals_EU!S120*Mapping!$C$4,0))</f>
        <v>2.5000000000000005E-2</v>
      </c>
      <c r="E120" s="1">
        <f>IF(Signals_EU!C120=1,Signals_EU!R120*Mapping!$C$5,IF(Signals_EU!C120=-1,-Signals_EU!S120*Mapping!$C$5,0))</f>
        <v>2.5000000000000005E-2</v>
      </c>
      <c r="F120" s="1">
        <f>IF(Signals_EU!H120=1,Signals_EU!R120*Mapping!$C$6,IF(Signals_EU!H120=-1,-Signals_EU!S120*Mapping!$C$6,0))</f>
        <v>0</v>
      </c>
      <c r="G120" s="1">
        <f>IF(Signals_EU!F120=1,Signals_EU!R120*Mapping!$C$7,IF(Signals_EU!F120=-1,-Signals_EU!S120*Mapping!$C$7,0))</f>
        <v>-1.0000000000000002E-2</v>
      </c>
      <c r="H120" s="1">
        <f>IF(Signals_EU!D120=1,Signals_EU!R120*Mapping!$C$8,IF(Signals_EU!D120=-1,-Signals_EU!S120*Mapping!$C$8,0))</f>
        <v>0</v>
      </c>
      <c r="I120" s="1">
        <f>IF(Signals_EU!G120=1,Signals_EU!R120*Mapping!$C$9,IF(Signals_EU!G120=-1,-Signals_EU!S120*Mapping!$C$9,0))</f>
        <v>0</v>
      </c>
      <c r="J120" s="1">
        <f>IF(Signals_EU!H120=1,Signals_EU!R120*Mapping!$C$10,IF(Signals_EU!H120=-1,-Signals_EU!S120*Mapping!$C$10,0))</f>
        <v>0</v>
      </c>
      <c r="K120" s="1">
        <f>IF(Signals_EU!F120=1,Signals_EU!R120*Mapping!$C$11,IF(Signals_EU!F120=-1,-Signals_EU!S120*Mapping!$C$11,0))</f>
        <v>-1.0000000000000002E-2</v>
      </c>
      <c r="L120" s="1">
        <f>IF(Signals_EU!N120=1,Signals_EU!R120*Mapping!$C$12,IF(Signals_EU!N120=-1,-Signals_EU!S120*Mapping!$C$12,0))</f>
        <v>-5.000000000000001E-2</v>
      </c>
      <c r="M120" s="1">
        <f>IF(Signals_EU!I120=1,Signals_EU!R120*Mapping!$C$13,IF(Signals_EU!I120=-1,-Signals_EU!S120*Mapping!$C$13,0))</f>
        <v>5.000000000000001E-2</v>
      </c>
      <c r="N120" s="1">
        <f>IF(Signals_EU!E120=1,Signals_EU!R120*Mapping!$C$14,IF(Signals_EU!E120=-1,-Signals_EU!S120*Mapping!$C$14,0))</f>
        <v>-5.000000000000001E-2</v>
      </c>
      <c r="O120" s="1">
        <f>0</f>
        <v>0</v>
      </c>
      <c r="P120" s="1">
        <f>0</f>
        <v>0</v>
      </c>
      <c r="Q120" s="1">
        <f>IF(Signals_EU!J120=1,Signals_EU!R120*Mapping!$C$17,IF(Signals_EU!J120=-1,-Signals_EU!S120*Mapping!$C$17,0))</f>
        <v>5.000000000000001E-2</v>
      </c>
      <c r="R120" s="1">
        <f>IF(Signals_EU!K120=1,Signals_EU!R120*Mapping!$C$18,IF(Signals_EU!K120=-1,-Signals_EU!S120*Mapping!$C$18,0))</f>
        <v>0</v>
      </c>
      <c r="S120" s="1">
        <f>IF(Signals_EU!M120=1,Signals_EU!R120*Mapping!$C$19,IF(Signals_EU!M120=-1,-Signals_EU!S120*Mapping!$C$19,0))</f>
        <v>0</v>
      </c>
      <c r="T120" s="1">
        <f>IF(Signals_EU!L120=1,Signals_EU!R120*Mapping!$C$20,IF(Signals_EU!L120=-1,-Signals_EU!S120*Mapping!$C$20,0))</f>
        <v>0</v>
      </c>
      <c r="U120" s="1">
        <f t="shared" si="1"/>
        <v>0</v>
      </c>
    </row>
    <row r="121" spans="1:21">
      <c r="A121" s="5">
        <f>Signals_EU!B121</f>
        <v>42675</v>
      </c>
      <c r="B121" s="1">
        <f>IF(Signals_EU!O121=1,Signals_EU!R121*Mapping!$C$2,IF(Signals_EU!O121=-1,-Signals_EU!S121*Mapping!$C$2,0))</f>
        <v>0</v>
      </c>
      <c r="C121" s="1">
        <f>IF(Signals_EU!F121=1,Signals_EU!R121*Mapping!$C$3,IF(Signals_EU!F121=-1,-Signals_EU!S121*Mapping!$C$3,0))</f>
        <v>-3.0000000000000006E-2</v>
      </c>
      <c r="D121" s="1">
        <f>IF(Signals_EU!C121=1,Signals_EU!R121*Mapping!$C$4,IF(Signals_EU!C121=-1,-Signals_EU!S121*Mapping!$C$4,0))</f>
        <v>2.5000000000000005E-2</v>
      </c>
      <c r="E121" s="1">
        <f>IF(Signals_EU!C121=1,Signals_EU!R121*Mapping!$C$5,IF(Signals_EU!C121=-1,-Signals_EU!S121*Mapping!$C$5,0))</f>
        <v>2.5000000000000005E-2</v>
      </c>
      <c r="F121" s="1">
        <f>IF(Signals_EU!H121=1,Signals_EU!R121*Mapping!$C$6,IF(Signals_EU!H121=-1,-Signals_EU!S121*Mapping!$C$6,0))</f>
        <v>0</v>
      </c>
      <c r="G121" s="1">
        <f>IF(Signals_EU!F121=1,Signals_EU!R121*Mapping!$C$7,IF(Signals_EU!F121=-1,-Signals_EU!S121*Mapping!$C$7,0))</f>
        <v>-1.0000000000000002E-2</v>
      </c>
      <c r="H121" s="1">
        <f>IF(Signals_EU!D121=1,Signals_EU!R121*Mapping!$C$8,IF(Signals_EU!D121=-1,-Signals_EU!S121*Mapping!$C$8,0))</f>
        <v>5.000000000000001E-2</v>
      </c>
      <c r="I121" s="1">
        <f>IF(Signals_EU!G121=1,Signals_EU!R121*Mapping!$C$9,IF(Signals_EU!G121=-1,-Signals_EU!S121*Mapping!$C$9,0))</f>
        <v>0</v>
      </c>
      <c r="J121" s="1">
        <f>IF(Signals_EU!H121=1,Signals_EU!R121*Mapping!$C$10,IF(Signals_EU!H121=-1,-Signals_EU!S121*Mapping!$C$10,0))</f>
        <v>0</v>
      </c>
      <c r="K121" s="1">
        <f>IF(Signals_EU!F121=1,Signals_EU!R121*Mapping!$C$11,IF(Signals_EU!F121=-1,-Signals_EU!S121*Mapping!$C$11,0))</f>
        <v>-1.0000000000000002E-2</v>
      </c>
      <c r="L121" s="1">
        <f>IF(Signals_EU!N121=1,Signals_EU!R121*Mapping!$C$12,IF(Signals_EU!N121=-1,-Signals_EU!S121*Mapping!$C$12,0))</f>
        <v>0</v>
      </c>
      <c r="M121" s="1">
        <f>IF(Signals_EU!I121=1,Signals_EU!R121*Mapping!$C$13,IF(Signals_EU!I121=-1,-Signals_EU!S121*Mapping!$C$13,0))</f>
        <v>0</v>
      </c>
      <c r="N121" s="1">
        <f>IF(Signals_EU!E121=1,Signals_EU!R121*Mapping!$C$14,IF(Signals_EU!E121=-1,-Signals_EU!S121*Mapping!$C$14,0))</f>
        <v>0</v>
      </c>
      <c r="O121" s="1">
        <f>0</f>
        <v>0</v>
      </c>
      <c r="P121" s="1">
        <f>0</f>
        <v>0</v>
      </c>
      <c r="Q121" s="1">
        <f>IF(Signals_EU!J121=1,Signals_EU!R121*Mapping!$C$17,IF(Signals_EU!J121=-1,-Signals_EU!S121*Mapping!$C$17,0))</f>
        <v>5.000000000000001E-2</v>
      </c>
      <c r="R121" s="1">
        <f>IF(Signals_EU!K121=1,Signals_EU!R121*Mapping!$C$18,IF(Signals_EU!K121=-1,-Signals_EU!S121*Mapping!$C$18,0))</f>
        <v>-5.000000000000001E-2</v>
      </c>
      <c r="S121" s="1">
        <f>IF(Signals_EU!M121=1,Signals_EU!R121*Mapping!$C$19,IF(Signals_EU!M121=-1,-Signals_EU!S121*Mapping!$C$19,0))</f>
        <v>0</v>
      </c>
      <c r="T121" s="1">
        <f>IF(Signals_EU!L121=1,Signals_EU!R121*Mapping!$C$20,IF(Signals_EU!L121=-1,-Signals_EU!S121*Mapping!$C$20,0))</f>
        <v>-5.000000000000001E-2</v>
      </c>
      <c r="U121" s="1">
        <f t="shared" si="1"/>
        <v>0</v>
      </c>
    </row>
    <row r="122" spans="1:21">
      <c r="A122" s="5">
        <f>Signals_EU!B122</f>
        <v>42705</v>
      </c>
      <c r="B122" s="1">
        <f>IF(Signals_EU!O122=1,Signals_EU!R122*Mapping!$C$2,IF(Signals_EU!O122=-1,-Signals_EU!S122*Mapping!$C$2,0))</f>
        <v>0</v>
      </c>
      <c r="C122" s="1">
        <f>IF(Signals_EU!F122=1,Signals_EU!R122*Mapping!$C$3,IF(Signals_EU!F122=-1,-Signals_EU!S122*Mapping!$C$3,0))</f>
        <v>-3.0000000000000006E-2</v>
      </c>
      <c r="D122" s="1">
        <f>IF(Signals_EU!C122=1,Signals_EU!R122*Mapping!$C$4,IF(Signals_EU!C122=-1,-Signals_EU!S122*Mapping!$C$4,0))</f>
        <v>0</v>
      </c>
      <c r="E122" s="1">
        <f>IF(Signals_EU!C122=1,Signals_EU!R122*Mapping!$C$5,IF(Signals_EU!C122=-1,-Signals_EU!S122*Mapping!$C$5,0))</f>
        <v>0</v>
      </c>
      <c r="F122" s="1">
        <f>IF(Signals_EU!H122=1,Signals_EU!R122*Mapping!$C$6,IF(Signals_EU!H122=-1,-Signals_EU!S122*Mapping!$C$6,0))</f>
        <v>0</v>
      </c>
      <c r="G122" s="1">
        <f>IF(Signals_EU!F122=1,Signals_EU!R122*Mapping!$C$7,IF(Signals_EU!F122=-1,-Signals_EU!S122*Mapping!$C$7,0))</f>
        <v>-1.0000000000000002E-2</v>
      </c>
      <c r="H122" s="1">
        <f>IF(Signals_EU!D122=1,Signals_EU!R122*Mapping!$C$8,IF(Signals_EU!D122=-1,-Signals_EU!S122*Mapping!$C$8,0))</f>
        <v>5.000000000000001E-2</v>
      </c>
      <c r="I122" s="1">
        <f>IF(Signals_EU!G122=1,Signals_EU!R122*Mapping!$C$9,IF(Signals_EU!G122=-1,-Signals_EU!S122*Mapping!$C$9,0))</f>
        <v>-5.000000000000001E-2</v>
      </c>
      <c r="J122" s="1">
        <f>IF(Signals_EU!H122=1,Signals_EU!R122*Mapping!$C$10,IF(Signals_EU!H122=-1,-Signals_EU!S122*Mapping!$C$10,0))</f>
        <v>0</v>
      </c>
      <c r="K122" s="1">
        <f>IF(Signals_EU!F122=1,Signals_EU!R122*Mapping!$C$11,IF(Signals_EU!F122=-1,-Signals_EU!S122*Mapping!$C$11,0))</f>
        <v>-1.0000000000000002E-2</v>
      </c>
      <c r="L122" s="1">
        <f>IF(Signals_EU!N122=1,Signals_EU!R122*Mapping!$C$12,IF(Signals_EU!N122=-1,-Signals_EU!S122*Mapping!$C$12,0))</f>
        <v>5.000000000000001E-2</v>
      </c>
      <c r="M122" s="1">
        <f>IF(Signals_EU!I122=1,Signals_EU!R122*Mapping!$C$13,IF(Signals_EU!I122=-1,-Signals_EU!S122*Mapping!$C$13,0))</f>
        <v>-5.000000000000001E-2</v>
      </c>
      <c r="N122" s="1">
        <f>IF(Signals_EU!E122=1,Signals_EU!R122*Mapping!$C$14,IF(Signals_EU!E122=-1,-Signals_EU!S122*Mapping!$C$14,0))</f>
        <v>0</v>
      </c>
      <c r="O122" s="1">
        <f>0</f>
        <v>0</v>
      </c>
      <c r="P122" s="1">
        <f>0</f>
        <v>0</v>
      </c>
      <c r="Q122" s="1">
        <f>IF(Signals_EU!J122=1,Signals_EU!R122*Mapping!$C$17,IF(Signals_EU!J122=-1,-Signals_EU!S122*Mapping!$C$17,0))</f>
        <v>5.000000000000001E-2</v>
      </c>
      <c r="R122" s="1">
        <f>IF(Signals_EU!K122=1,Signals_EU!R122*Mapping!$C$18,IF(Signals_EU!K122=-1,-Signals_EU!S122*Mapping!$C$18,0))</f>
        <v>0</v>
      </c>
      <c r="S122" s="1">
        <f>IF(Signals_EU!M122=1,Signals_EU!R122*Mapping!$C$19,IF(Signals_EU!M122=-1,-Signals_EU!S122*Mapping!$C$19,0))</f>
        <v>0</v>
      </c>
      <c r="T122" s="1">
        <f>IF(Signals_EU!L122=1,Signals_EU!R122*Mapping!$C$20,IF(Signals_EU!L122=-1,-Signals_EU!S122*Mapping!$C$20,0))</f>
        <v>0</v>
      </c>
      <c r="U122" s="1">
        <f t="shared" si="1"/>
        <v>0</v>
      </c>
    </row>
    <row r="123" spans="1:21">
      <c r="A123" s="5">
        <f>Signals_EU!B123</f>
        <v>42736</v>
      </c>
      <c r="B123" s="1">
        <f>IF(Signals_EU!O123=1,Signals_EU!R123*Mapping!$C$2,IF(Signals_EU!O123=-1,-Signals_EU!S123*Mapping!$C$2,0))</f>
        <v>5.000000000000001E-2</v>
      </c>
      <c r="C123" s="1">
        <f>IF(Signals_EU!F123=1,Signals_EU!R123*Mapping!$C$3,IF(Signals_EU!F123=-1,-Signals_EU!S123*Mapping!$C$3,0))</f>
        <v>-3.0000000000000006E-2</v>
      </c>
      <c r="D123" s="1">
        <f>IF(Signals_EU!C123=1,Signals_EU!R123*Mapping!$C$4,IF(Signals_EU!C123=-1,-Signals_EU!S123*Mapping!$C$4,0))</f>
        <v>2.5000000000000005E-2</v>
      </c>
      <c r="E123" s="1">
        <f>IF(Signals_EU!C123=1,Signals_EU!R123*Mapping!$C$5,IF(Signals_EU!C123=-1,-Signals_EU!S123*Mapping!$C$5,0))</f>
        <v>2.5000000000000005E-2</v>
      </c>
      <c r="F123" s="1">
        <f>IF(Signals_EU!H123=1,Signals_EU!R123*Mapping!$C$6,IF(Signals_EU!H123=-1,-Signals_EU!S123*Mapping!$C$6,0))</f>
        <v>0</v>
      </c>
      <c r="G123" s="1">
        <f>IF(Signals_EU!F123=1,Signals_EU!R123*Mapping!$C$7,IF(Signals_EU!F123=-1,-Signals_EU!S123*Mapping!$C$7,0))</f>
        <v>-1.0000000000000002E-2</v>
      </c>
      <c r="H123" s="1">
        <f>IF(Signals_EU!D123=1,Signals_EU!R123*Mapping!$C$8,IF(Signals_EU!D123=-1,-Signals_EU!S123*Mapping!$C$8,0))</f>
        <v>5.000000000000001E-2</v>
      </c>
      <c r="I123" s="1">
        <f>IF(Signals_EU!G123=1,Signals_EU!R123*Mapping!$C$9,IF(Signals_EU!G123=-1,-Signals_EU!S123*Mapping!$C$9,0))</f>
        <v>-5.000000000000001E-2</v>
      </c>
      <c r="J123" s="1">
        <f>IF(Signals_EU!H123=1,Signals_EU!R123*Mapping!$C$10,IF(Signals_EU!H123=-1,-Signals_EU!S123*Mapping!$C$10,0))</f>
        <v>0</v>
      </c>
      <c r="K123" s="1">
        <f>IF(Signals_EU!F123=1,Signals_EU!R123*Mapping!$C$11,IF(Signals_EU!F123=-1,-Signals_EU!S123*Mapping!$C$11,0))</f>
        <v>-1.0000000000000002E-2</v>
      </c>
      <c r="L123" s="1">
        <f>IF(Signals_EU!N123=1,Signals_EU!R123*Mapping!$C$12,IF(Signals_EU!N123=-1,-Signals_EU!S123*Mapping!$C$12,0))</f>
        <v>0</v>
      </c>
      <c r="M123" s="1">
        <f>IF(Signals_EU!I123=1,Signals_EU!R123*Mapping!$C$13,IF(Signals_EU!I123=-1,-Signals_EU!S123*Mapping!$C$13,0))</f>
        <v>-5.000000000000001E-2</v>
      </c>
      <c r="N123" s="1">
        <f>IF(Signals_EU!E123=1,Signals_EU!R123*Mapping!$C$14,IF(Signals_EU!E123=-1,-Signals_EU!S123*Mapping!$C$14,0))</f>
        <v>0</v>
      </c>
      <c r="O123" s="1">
        <f>0</f>
        <v>0</v>
      </c>
      <c r="P123" s="1">
        <f>0</f>
        <v>0</v>
      </c>
      <c r="Q123" s="1">
        <f>IF(Signals_EU!J123=1,Signals_EU!R123*Mapping!$C$17,IF(Signals_EU!J123=-1,-Signals_EU!S123*Mapping!$C$17,0))</f>
        <v>0</v>
      </c>
      <c r="R123" s="1">
        <f>IF(Signals_EU!K123=1,Signals_EU!R123*Mapping!$C$18,IF(Signals_EU!K123=-1,-Signals_EU!S123*Mapping!$C$18,0))</f>
        <v>0</v>
      </c>
      <c r="S123" s="1">
        <f>IF(Signals_EU!M123=1,Signals_EU!R123*Mapping!$C$19,IF(Signals_EU!M123=-1,-Signals_EU!S123*Mapping!$C$19,0))</f>
        <v>0</v>
      </c>
      <c r="T123" s="1">
        <f>IF(Signals_EU!L123=1,Signals_EU!R123*Mapping!$C$20,IF(Signals_EU!L123=-1,-Signals_EU!S123*Mapping!$C$20,0))</f>
        <v>0</v>
      </c>
      <c r="U123" s="1">
        <f t="shared" si="1"/>
        <v>0</v>
      </c>
    </row>
    <row r="124" spans="1:21">
      <c r="A124" s="5">
        <f>Signals_EU!B124</f>
        <v>42767</v>
      </c>
      <c r="B124" s="1">
        <f>IF(Signals_EU!O124=1,Signals_EU!R124*Mapping!$C$2,IF(Signals_EU!O124=-1,-Signals_EU!S124*Mapping!$C$2,0))</f>
        <v>5.000000000000001E-2</v>
      </c>
      <c r="C124" s="1">
        <f>IF(Signals_EU!F124=1,Signals_EU!R124*Mapping!$C$3,IF(Signals_EU!F124=-1,-Signals_EU!S124*Mapping!$C$3,0))</f>
        <v>0</v>
      </c>
      <c r="D124" s="1">
        <f>IF(Signals_EU!C124=1,Signals_EU!R124*Mapping!$C$4,IF(Signals_EU!C124=-1,-Signals_EU!S124*Mapping!$C$4,0))</f>
        <v>2.5000000000000005E-2</v>
      </c>
      <c r="E124" s="1">
        <f>IF(Signals_EU!C124=1,Signals_EU!R124*Mapping!$C$5,IF(Signals_EU!C124=-1,-Signals_EU!S124*Mapping!$C$5,0))</f>
        <v>2.5000000000000005E-2</v>
      </c>
      <c r="F124" s="1">
        <f>IF(Signals_EU!H124=1,Signals_EU!R124*Mapping!$C$6,IF(Signals_EU!H124=-1,-Signals_EU!S124*Mapping!$C$6,0))</f>
        <v>0</v>
      </c>
      <c r="G124" s="1">
        <f>IF(Signals_EU!F124=1,Signals_EU!R124*Mapping!$C$7,IF(Signals_EU!F124=-1,-Signals_EU!S124*Mapping!$C$7,0))</f>
        <v>0</v>
      </c>
      <c r="H124" s="1">
        <f>IF(Signals_EU!D124=1,Signals_EU!R124*Mapping!$C$8,IF(Signals_EU!D124=-1,-Signals_EU!S124*Mapping!$C$8,0))</f>
        <v>5.000000000000001E-2</v>
      </c>
      <c r="I124" s="1">
        <f>IF(Signals_EU!G124=1,Signals_EU!R124*Mapping!$C$9,IF(Signals_EU!G124=-1,-Signals_EU!S124*Mapping!$C$9,0))</f>
        <v>-5.000000000000001E-2</v>
      </c>
      <c r="J124" s="1">
        <f>IF(Signals_EU!H124=1,Signals_EU!R124*Mapping!$C$10,IF(Signals_EU!H124=-1,-Signals_EU!S124*Mapping!$C$10,0))</f>
        <v>0</v>
      </c>
      <c r="K124" s="1">
        <f>IF(Signals_EU!F124=1,Signals_EU!R124*Mapping!$C$11,IF(Signals_EU!F124=-1,-Signals_EU!S124*Mapping!$C$11,0))</f>
        <v>0</v>
      </c>
      <c r="L124" s="1">
        <f>IF(Signals_EU!N124=1,Signals_EU!R124*Mapping!$C$12,IF(Signals_EU!N124=-1,-Signals_EU!S124*Mapping!$C$12,0))</f>
        <v>0</v>
      </c>
      <c r="M124" s="1">
        <f>IF(Signals_EU!I124=1,Signals_EU!R124*Mapping!$C$13,IF(Signals_EU!I124=-1,-Signals_EU!S124*Mapping!$C$13,0))</f>
        <v>-5.000000000000001E-2</v>
      </c>
      <c r="N124" s="1">
        <f>IF(Signals_EU!E124=1,Signals_EU!R124*Mapping!$C$14,IF(Signals_EU!E124=-1,-Signals_EU!S124*Mapping!$C$14,0))</f>
        <v>0</v>
      </c>
      <c r="O124" s="1">
        <f>0</f>
        <v>0</v>
      </c>
      <c r="P124" s="1">
        <f>0</f>
        <v>0</v>
      </c>
      <c r="Q124" s="1">
        <f>IF(Signals_EU!J124=1,Signals_EU!R124*Mapping!$C$17,IF(Signals_EU!J124=-1,-Signals_EU!S124*Mapping!$C$17,0))</f>
        <v>0</v>
      </c>
      <c r="R124" s="1">
        <f>IF(Signals_EU!K124=1,Signals_EU!R124*Mapping!$C$18,IF(Signals_EU!K124=-1,-Signals_EU!S124*Mapping!$C$18,0))</f>
        <v>0</v>
      </c>
      <c r="S124" s="1">
        <f>IF(Signals_EU!M124=1,Signals_EU!R124*Mapping!$C$19,IF(Signals_EU!M124=-1,-Signals_EU!S124*Mapping!$C$19,0))</f>
        <v>0</v>
      </c>
      <c r="T124" s="1">
        <f>IF(Signals_EU!L124=1,Signals_EU!R124*Mapping!$C$20,IF(Signals_EU!L124=-1,-Signals_EU!S124*Mapping!$C$20,0))</f>
        <v>-5.000000000000001E-2</v>
      </c>
      <c r="U124" s="1">
        <f t="shared" si="1"/>
        <v>0</v>
      </c>
    </row>
    <row r="125" spans="1:21">
      <c r="A125" s="5">
        <f>Signals_EU!B125</f>
        <v>42795</v>
      </c>
      <c r="B125" s="1">
        <f>IF(Signals_EU!O125=1,Signals_EU!R125*Mapping!$C$2,IF(Signals_EU!O125=-1,-Signals_EU!S125*Mapping!$C$2,0))</f>
        <v>5.000000000000001E-2</v>
      </c>
      <c r="C125" s="1">
        <f>IF(Signals_EU!F125=1,Signals_EU!R125*Mapping!$C$3,IF(Signals_EU!F125=-1,-Signals_EU!S125*Mapping!$C$3,0))</f>
        <v>0</v>
      </c>
      <c r="D125" s="1">
        <f>IF(Signals_EU!C125=1,Signals_EU!R125*Mapping!$C$4,IF(Signals_EU!C125=-1,-Signals_EU!S125*Mapping!$C$4,0))</f>
        <v>2.5000000000000005E-2</v>
      </c>
      <c r="E125" s="1">
        <f>IF(Signals_EU!C125=1,Signals_EU!R125*Mapping!$C$5,IF(Signals_EU!C125=-1,-Signals_EU!S125*Mapping!$C$5,0))</f>
        <v>2.5000000000000005E-2</v>
      </c>
      <c r="F125" s="1">
        <f>IF(Signals_EU!H125=1,Signals_EU!R125*Mapping!$C$6,IF(Signals_EU!H125=-1,-Signals_EU!S125*Mapping!$C$6,0))</f>
        <v>0</v>
      </c>
      <c r="G125" s="1">
        <f>IF(Signals_EU!F125=1,Signals_EU!R125*Mapping!$C$7,IF(Signals_EU!F125=-1,-Signals_EU!S125*Mapping!$C$7,0))</f>
        <v>0</v>
      </c>
      <c r="H125" s="1">
        <f>IF(Signals_EU!D125=1,Signals_EU!R125*Mapping!$C$8,IF(Signals_EU!D125=-1,-Signals_EU!S125*Mapping!$C$8,0))</f>
        <v>5.000000000000001E-2</v>
      </c>
      <c r="I125" s="1">
        <f>IF(Signals_EU!G125=1,Signals_EU!R125*Mapping!$C$9,IF(Signals_EU!G125=-1,-Signals_EU!S125*Mapping!$C$9,0))</f>
        <v>-5.000000000000001E-2</v>
      </c>
      <c r="J125" s="1">
        <f>IF(Signals_EU!H125=1,Signals_EU!R125*Mapping!$C$10,IF(Signals_EU!H125=-1,-Signals_EU!S125*Mapping!$C$10,0))</f>
        <v>0</v>
      </c>
      <c r="K125" s="1">
        <f>IF(Signals_EU!F125=1,Signals_EU!R125*Mapping!$C$11,IF(Signals_EU!F125=-1,-Signals_EU!S125*Mapping!$C$11,0))</f>
        <v>0</v>
      </c>
      <c r="L125" s="1">
        <f>IF(Signals_EU!N125=1,Signals_EU!R125*Mapping!$C$12,IF(Signals_EU!N125=-1,-Signals_EU!S125*Mapping!$C$12,0))</f>
        <v>0</v>
      </c>
      <c r="M125" s="1">
        <f>IF(Signals_EU!I125=1,Signals_EU!R125*Mapping!$C$13,IF(Signals_EU!I125=-1,-Signals_EU!S125*Mapping!$C$13,0))</f>
        <v>-5.000000000000001E-2</v>
      </c>
      <c r="N125" s="1">
        <f>IF(Signals_EU!E125=1,Signals_EU!R125*Mapping!$C$14,IF(Signals_EU!E125=-1,-Signals_EU!S125*Mapping!$C$14,0))</f>
        <v>-5.000000000000001E-2</v>
      </c>
      <c r="O125" s="1">
        <f>0</f>
        <v>0</v>
      </c>
      <c r="P125" s="1">
        <f>0</f>
        <v>0</v>
      </c>
      <c r="Q125" s="1">
        <f>IF(Signals_EU!J125=1,Signals_EU!R125*Mapping!$C$17,IF(Signals_EU!J125=-1,-Signals_EU!S125*Mapping!$C$17,0))</f>
        <v>0</v>
      </c>
      <c r="R125" s="1">
        <f>IF(Signals_EU!K125=1,Signals_EU!R125*Mapping!$C$18,IF(Signals_EU!K125=-1,-Signals_EU!S125*Mapping!$C$18,0))</f>
        <v>0</v>
      </c>
      <c r="S125" s="1">
        <f>IF(Signals_EU!M125=1,Signals_EU!R125*Mapping!$C$19,IF(Signals_EU!M125=-1,-Signals_EU!S125*Mapping!$C$19,0))</f>
        <v>0</v>
      </c>
      <c r="T125" s="1">
        <f>IF(Signals_EU!L125=1,Signals_EU!R125*Mapping!$C$20,IF(Signals_EU!L125=-1,-Signals_EU!S125*Mapping!$C$20,0))</f>
        <v>0</v>
      </c>
      <c r="U125" s="1">
        <f t="shared" si="1"/>
        <v>0</v>
      </c>
    </row>
    <row r="126" spans="1:21">
      <c r="A126" s="5">
        <f>Signals_EU!B126</f>
        <v>42826</v>
      </c>
      <c r="B126" s="1">
        <f>IF(Signals_EU!O126=1,Signals_EU!R126*Mapping!$C$2,IF(Signals_EU!O126=-1,-Signals_EU!S126*Mapping!$C$2,0))</f>
        <v>5.000000000000001E-2</v>
      </c>
      <c r="C126" s="1">
        <f>IF(Signals_EU!F126=1,Signals_EU!R126*Mapping!$C$3,IF(Signals_EU!F126=-1,-Signals_EU!S126*Mapping!$C$3,0))</f>
        <v>0</v>
      </c>
      <c r="D126" s="1">
        <f>IF(Signals_EU!C126=1,Signals_EU!R126*Mapping!$C$4,IF(Signals_EU!C126=-1,-Signals_EU!S126*Mapping!$C$4,0))</f>
        <v>2.5000000000000005E-2</v>
      </c>
      <c r="E126" s="1">
        <f>IF(Signals_EU!C126=1,Signals_EU!R126*Mapping!$C$5,IF(Signals_EU!C126=-1,-Signals_EU!S126*Mapping!$C$5,0))</f>
        <v>2.5000000000000005E-2</v>
      </c>
      <c r="F126" s="1">
        <f>IF(Signals_EU!H126=1,Signals_EU!R126*Mapping!$C$6,IF(Signals_EU!H126=-1,-Signals_EU!S126*Mapping!$C$6,0))</f>
        <v>0</v>
      </c>
      <c r="G126" s="1">
        <f>IF(Signals_EU!F126=1,Signals_EU!R126*Mapping!$C$7,IF(Signals_EU!F126=-1,-Signals_EU!S126*Mapping!$C$7,0))</f>
        <v>0</v>
      </c>
      <c r="H126" s="1">
        <f>IF(Signals_EU!D126=1,Signals_EU!R126*Mapping!$C$8,IF(Signals_EU!D126=-1,-Signals_EU!S126*Mapping!$C$8,0))</f>
        <v>5.000000000000001E-2</v>
      </c>
      <c r="I126" s="1">
        <f>IF(Signals_EU!G126=1,Signals_EU!R126*Mapping!$C$9,IF(Signals_EU!G126=-1,-Signals_EU!S126*Mapping!$C$9,0))</f>
        <v>-5.000000000000001E-2</v>
      </c>
      <c r="J126" s="1">
        <f>IF(Signals_EU!H126=1,Signals_EU!R126*Mapping!$C$10,IF(Signals_EU!H126=-1,-Signals_EU!S126*Mapping!$C$10,0))</f>
        <v>0</v>
      </c>
      <c r="K126" s="1">
        <f>IF(Signals_EU!F126=1,Signals_EU!R126*Mapping!$C$11,IF(Signals_EU!F126=-1,-Signals_EU!S126*Mapping!$C$11,0))</f>
        <v>0</v>
      </c>
      <c r="L126" s="1">
        <f>IF(Signals_EU!N126=1,Signals_EU!R126*Mapping!$C$12,IF(Signals_EU!N126=-1,-Signals_EU!S126*Mapping!$C$12,0))</f>
        <v>-5.000000000000001E-2</v>
      </c>
      <c r="M126" s="1">
        <f>IF(Signals_EU!I126=1,Signals_EU!R126*Mapping!$C$13,IF(Signals_EU!I126=-1,-Signals_EU!S126*Mapping!$C$13,0))</f>
        <v>-5.000000000000001E-2</v>
      </c>
      <c r="N126" s="1">
        <f>IF(Signals_EU!E126=1,Signals_EU!R126*Mapping!$C$14,IF(Signals_EU!E126=-1,-Signals_EU!S126*Mapping!$C$14,0))</f>
        <v>0</v>
      </c>
      <c r="O126" s="1">
        <f>0</f>
        <v>0</v>
      </c>
      <c r="P126" s="1">
        <f>0</f>
        <v>0</v>
      </c>
      <c r="Q126" s="1">
        <f>IF(Signals_EU!J126=1,Signals_EU!R126*Mapping!$C$17,IF(Signals_EU!J126=-1,-Signals_EU!S126*Mapping!$C$17,0))</f>
        <v>0</v>
      </c>
      <c r="R126" s="1">
        <f>IF(Signals_EU!K126=1,Signals_EU!R126*Mapping!$C$18,IF(Signals_EU!K126=-1,-Signals_EU!S126*Mapping!$C$18,0))</f>
        <v>0</v>
      </c>
      <c r="S126" s="1">
        <f>IF(Signals_EU!M126=1,Signals_EU!R126*Mapping!$C$19,IF(Signals_EU!M126=-1,-Signals_EU!S126*Mapping!$C$19,0))</f>
        <v>0</v>
      </c>
      <c r="T126" s="1">
        <f>IF(Signals_EU!L126=1,Signals_EU!R126*Mapping!$C$20,IF(Signals_EU!L126=-1,-Signals_EU!S126*Mapping!$C$20,0))</f>
        <v>0</v>
      </c>
      <c r="U126" s="1">
        <f t="shared" si="1"/>
        <v>0</v>
      </c>
    </row>
    <row r="127" spans="1:21">
      <c r="A127" s="5">
        <f>Signals_EU!B127</f>
        <v>42856</v>
      </c>
      <c r="B127" s="1">
        <f>IF(Signals_EU!O127=1,Signals_EU!R127*Mapping!$C$2,IF(Signals_EU!O127=-1,-Signals_EU!S127*Mapping!$C$2,0))</f>
        <v>5.000000000000001E-2</v>
      </c>
      <c r="C127" s="1">
        <f>IF(Signals_EU!F127=1,Signals_EU!R127*Mapping!$C$3,IF(Signals_EU!F127=-1,-Signals_EU!S127*Mapping!$C$3,0))</f>
        <v>0</v>
      </c>
      <c r="D127" s="1">
        <f>IF(Signals_EU!C127=1,Signals_EU!R127*Mapping!$C$4,IF(Signals_EU!C127=-1,-Signals_EU!S127*Mapping!$C$4,0))</f>
        <v>2.5000000000000005E-2</v>
      </c>
      <c r="E127" s="1">
        <f>IF(Signals_EU!C127=1,Signals_EU!R127*Mapping!$C$5,IF(Signals_EU!C127=-1,-Signals_EU!S127*Mapping!$C$5,0))</f>
        <v>2.5000000000000005E-2</v>
      </c>
      <c r="F127" s="1">
        <f>IF(Signals_EU!H127=1,Signals_EU!R127*Mapping!$C$6,IF(Signals_EU!H127=-1,-Signals_EU!S127*Mapping!$C$6,0))</f>
        <v>0</v>
      </c>
      <c r="G127" s="1">
        <f>IF(Signals_EU!F127=1,Signals_EU!R127*Mapping!$C$7,IF(Signals_EU!F127=-1,-Signals_EU!S127*Mapping!$C$7,0))</f>
        <v>0</v>
      </c>
      <c r="H127" s="1">
        <f>IF(Signals_EU!D127=1,Signals_EU!R127*Mapping!$C$8,IF(Signals_EU!D127=-1,-Signals_EU!S127*Mapping!$C$8,0))</f>
        <v>5.000000000000001E-2</v>
      </c>
      <c r="I127" s="1">
        <f>IF(Signals_EU!G127=1,Signals_EU!R127*Mapping!$C$9,IF(Signals_EU!G127=-1,-Signals_EU!S127*Mapping!$C$9,0))</f>
        <v>-5.000000000000001E-2</v>
      </c>
      <c r="J127" s="1">
        <f>IF(Signals_EU!H127=1,Signals_EU!R127*Mapping!$C$10,IF(Signals_EU!H127=-1,-Signals_EU!S127*Mapping!$C$10,0))</f>
        <v>0</v>
      </c>
      <c r="K127" s="1">
        <f>IF(Signals_EU!F127=1,Signals_EU!R127*Mapping!$C$11,IF(Signals_EU!F127=-1,-Signals_EU!S127*Mapping!$C$11,0))</f>
        <v>0</v>
      </c>
      <c r="L127" s="1">
        <f>IF(Signals_EU!N127=1,Signals_EU!R127*Mapping!$C$12,IF(Signals_EU!N127=-1,-Signals_EU!S127*Mapping!$C$12,0))</f>
        <v>0</v>
      </c>
      <c r="M127" s="1">
        <f>IF(Signals_EU!I127=1,Signals_EU!R127*Mapping!$C$13,IF(Signals_EU!I127=-1,-Signals_EU!S127*Mapping!$C$13,0))</f>
        <v>-5.000000000000001E-2</v>
      </c>
      <c r="N127" s="1">
        <f>IF(Signals_EU!E127=1,Signals_EU!R127*Mapping!$C$14,IF(Signals_EU!E127=-1,-Signals_EU!S127*Mapping!$C$14,0))</f>
        <v>0</v>
      </c>
      <c r="O127" s="1">
        <f>0</f>
        <v>0</v>
      </c>
      <c r="P127" s="1">
        <f>0</f>
        <v>0</v>
      </c>
      <c r="Q127" s="1">
        <f>IF(Signals_EU!J127=1,Signals_EU!R127*Mapping!$C$17,IF(Signals_EU!J127=-1,-Signals_EU!S127*Mapping!$C$17,0))</f>
        <v>0</v>
      </c>
      <c r="R127" s="1">
        <f>IF(Signals_EU!K127=1,Signals_EU!R127*Mapping!$C$18,IF(Signals_EU!K127=-1,-Signals_EU!S127*Mapping!$C$18,0))</f>
        <v>0</v>
      </c>
      <c r="S127" s="1">
        <f>IF(Signals_EU!M127=1,Signals_EU!R127*Mapping!$C$19,IF(Signals_EU!M127=-1,-Signals_EU!S127*Mapping!$C$19,0))</f>
        <v>0</v>
      </c>
      <c r="T127" s="1">
        <f>IF(Signals_EU!L127=1,Signals_EU!R127*Mapping!$C$20,IF(Signals_EU!L127=-1,-Signals_EU!S127*Mapping!$C$20,0))</f>
        <v>-5.000000000000001E-2</v>
      </c>
      <c r="U127" s="1">
        <f t="shared" si="1"/>
        <v>0</v>
      </c>
    </row>
    <row r="128" spans="1:21">
      <c r="A128" s="5">
        <f>Signals_EU!B128</f>
        <v>42887</v>
      </c>
      <c r="B128" s="1">
        <f>IF(Signals_EU!O128=1,Signals_EU!R128*Mapping!$C$2,IF(Signals_EU!O128=-1,-Signals_EU!S128*Mapping!$C$2,0))</f>
        <v>5.000000000000001E-2</v>
      </c>
      <c r="C128" s="1">
        <f>IF(Signals_EU!F128=1,Signals_EU!R128*Mapping!$C$3,IF(Signals_EU!F128=-1,-Signals_EU!S128*Mapping!$C$3,0))</f>
        <v>0</v>
      </c>
      <c r="D128" s="1">
        <f>IF(Signals_EU!C128=1,Signals_EU!R128*Mapping!$C$4,IF(Signals_EU!C128=-1,-Signals_EU!S128*Mapping!$C$4,0))</f>
        <v>2.5000000000000005E-2</v>
      </c>
      <c r="E128" s="1">
        <f>IF(Signals_EU!C128=1,Signals_EU!R128*Mapping!$C$5,IF(Signals_EU!C128=-1,-Signals_EU!S128*Mapping!$C$5,0))</f>
        <v>2.5000000000000005E-2</v>
      </c>
      <c r="F128" s="1">
        <f>IF(Signals_EU!H128=1,Signals_EU!R128*Mapping!$C$6,IF(Signals_EU!H128=-1,-Signals_EU!S128*Mapping!$C$6,0))</f>
        <v>0</v>
      </c>
      <c r="G128" s="1">
        <f>IF(Signals_EU!F128=1,Signals_EU!R128*Mapping!$C$7,IF(Signals_EU!F128=-1,-Signals_EU!S128*Mapping!$C$7,0))</f>
        <v>0</v>
      </c>
      <c r="H128" s="1">
        <f>IF(Signals_EU!D128=1,Signals_EU!R128*Mapping!$C$8,IF(Signals_EU!D128=-1,-Signals_EU!S128*Mapping!$C$8,0))</f>
        <v>5.000000000000001E-2</v>
      </c>
      <c r="I128" s="1">
        <f>IF(Signals_EU!G128=1,Signals_EU!R128*Mapping!$C$9,IF(Signals_EU!G128=-1,-Signals_EU!S128*Mapping!$C$9,0))</f>
        <v>-5.000000000000001E-2</v>
      </c>
      <c r="J128" s="1">
        <f>IF(Signals_EU!H128=1,Signals_EU!R128*Mapping!$C$10,IF(Signals_EU!H128=-1,-Signals_EU!S128*Mapping!$C$10,0))</f>
        <v>0</v>
      </c>
      <c r="K128" s="1">
        <f>IF(Signals_EU!F128=1,Signals_EU!R128*Mapping!$C$11,IF(Signals_EU!F128=-1,-Signals_EU!S128*Mapping!$C$11,0))</f>
        <v>0</v>
      </c>
      <c r="L128" s="1">
        <f>IF(Signals_EU!N128=1,Signals_EU!R128*Mapping!$C$12,IF(Signals_EU!N128=-1,-Signals_EU!S128*Mapping!$C$12,0))</f>
        <v>-5.000000000000001E-2</v>
      </c>
      <c r="M128" s="1">
        <f>IF(Signals_EU!I128=1,Signals_EU!R128*Mapping!$C$13,IF(Signals_EU!I128=-1,-Signals_EU!S128*Mapping!$C$13,0))</f>
        <v>-5.000000000000001E-2</v>
      </c>
      <c r="N128" s="1">
        <f>IF(Signals_EU!E128=1,Signals_EU!R128*Mapping!$C$14,IF(Signals_EU!E128=-1,-Signals_EU!S128*Mapping!$C$14,0))</f>
        <v>0</v>
      </c>
      <c r="O128" s="1">
        <f>0</f>
        <v>0</v>
      </c>
      <c r="P128" s="1">
        <f>0</f>
        <v>0</v>
      </c>
      <c r="Q128" s="1">
        <f>IF(Signals_EU!J128=1,Signals_EU!R128*Mapping!$C$17,IF(Signals_EU!J128=-1,-Signals_EU!S128*Mapping!$C$17,0))</f>
        <v>0</v>
      </c>
      <c r="R128" s="1">
        <f>IF(Signals_EU!K128=1,Signals_EU!R128*Mapping!$C$18,IF(Signals_EU!K128=-1,-Signals_EU!S128*Mapping!$C$18,0))</f>
        <v>0</v>
      </c>
      <c r="S128" s="1">
        <f>IF(Signals_EU!M128=1,Signals_EU!R128*Mapping!$C$19,IF(Signals_EU!M128=-1,-Signals_EU!S128*Mapping!$C$19,0))</f>
        <v>0</v>
      </c>
      <c r="T128" s="1">
        <f>IF(Signals_EU!L128=1,Signals_EU!R128*Mapping!$C$20,IF(Signals_EU!L128=-1,-Signals_EU!S128*Mapping!$C$20,0))</f>
        <v>0</v>
      </c>
      <c r="U128" s="1">
        <f t="shared" si="1"/>
        <v>0</v>
      </c>
    </row>
    <row r="129" spans="1:21">
      <c r="A129" s="5">
        <f>Signals_EU!B129</f>
        <v>42917</v>
      </c>
      <c r="B129" s="1">
        <f>IF(Signals_EU!O129=1,Signals_EU!R129*Mapping!$C$2,IF(Signals_EU!O129=-1,-Signals_EU!S129*Mapping!$C$2,0))</f>
        <v>5.000000000000001E-2</v>
      </c>
      <c r="C129" s="1">
        <f>IF(Signals_EU!F129=1,Signals_EU!R129*Mapping!$C$3,IF(Signals_EU!F129=-1,-Signals_EU!S129*Mapping!$C$3,0))</f>
        <v>0</v>
      </c>
      <c r="D129" s="1">
        <f>IF(Signals_EU!C129=1,Signals_EU!R129*Mapping!$C$4,IF(Signals_EU!C129=-1,-Signals_EU!S129*Mapping!$C$4,0))</f>
        <v>2.5000000000000005E-2</v>
      </c>
      <c r="E129" s="1">
        <f>IF(Signals_EU!C129=1,Signals_EU!R129*Mapping!$C$5,IF(Signals_EU!C129=-1,-Signals_EU!S129*Mapping!$C$5,0))</f>
        <v>2.5000000000000005E-2</v>
      </c>
      <c r="F129" s="1">
        <f>IF(Signals_EU!H129=1,Signals_EU!R129*Mapping!$C$6,IF(Signals_EU!H129=-1,-Signals_EU!S129*Mapping!$C$6,0))</f>
        <v>0</v>
      </c>
      <c r="G129" s="1">
        <f>IF(Signals_EU!F129=1,Signals_EU!R129*Mapping!$C$7,IF(Signals_EU!F129=-1,-Signals_EU!S129*Mapping!$C$7,0))</f>
        <v>0</v>
      </c>
      <c r="H129" s="1">
        <f>IF(Signals_EU!D129=1,Signals_EU!R129*Mapping!$C$8,IF(Signals_EU!D129=-1,-Signals_EU!S129*Mapping!$C$8,0))</f>
        <v>5.000000000000001E-2</v>
      </c>
      <c r="I129" s="1">
        <f>IF(Signals_EU!G129=1,Signals_EU!R129*Mapping!$C$9,IF(Signals_EU!G129=-1,-Signals_EU!S129*Mapping!$C$9,0))</f>
        <v>-5.000000000000001E-2</v>
      </c>
      <c r="J129" s="1">
        <f>IF(Signals_EU!H129=1,Signals_EU!R129*Mapping!$C$10,IF(Signals_EU!H129=-1,-Signals_EU!S129*Mapping!$C$10,0))</f>
        <v>0</v>
      </c>
      <c r="K129" s="1">
        <f>IF(Signals_EU!F129=1,Signals_EU!R129*Mapping!$C$11,IF(Signals_EU!F129=-1,-Signals_EU!S129*Mapping!$C$11,0))</f>
        <v>0</v>
      </c>
      <c r="L129" s="1">
        <f>IF(Signals_EU!N129=1,Signals_EU!R129*Mapping!$C$12,IF(Signals_EU!N129=-1,-Signals_EU!S129*Mapping!$C$12,0))</f>
        <v>-5.000000000000001E-2</v>
      </c>
      <c r="M129" s="1">
        <f>IF(Signals_EU!I129=1,Signals_EU!R129*Mapping!$C$13,IF(Signals_EU!I129=-1,-Signals_EU!S129*Mapping!$C$13,0))</f>
        <v>-5.000000000000001E-2</v>
      </c>
      <c r="N129" s="1">
        <f>IF(Signals_EU!E129=1,Signals_EU!R129*Mapping!$C$14,IF(Signals_EU!E129=-1,-Signals_EU!S129*Mapping!$C$14,0))</f>
        <v>0</v>
      </c>
      <c r="O129" s="1">
        <f>0</f>
        <v>0</v>
      </c>
      <c r="P129" s="1">
        <f>0</f>
        <v>0</v>
      </c>
      <c r="Q129" s="1">
        <f>IF(Signals_EU!J129=1,Signals_EU!R129*Mapping!$C$17,IF(Signals_EU!J129=-1,-Signals_EU!S129*Mapping!$C$17,0))</f>
        <v>0</v>
      </c>
      <c r="R129" s="1">
        <f>IF(Signals_EU!K129=1,Signals_EU!R129*Mapping!$C$18,IF(Signals_EU!K129=-1,-Signals_EU!S129*Mapping!$C$18,0))</f>
        <v>0</v>
      </c>
      <c r="S129" s="1">
        <f>IF(Signals_EU!M129=1,Signals_EU!R129*Mapping!$C$19,IF(Signals_EU!M129=-1,-Signals_EU!S129*Mapping!$C$19,0))</f>
        <v>0</v>
      </c>
      <c r="T129" s="1">
        <f>IF(Signals_EU!L129=1,Signals_EU!R129*Mapping!$C$20,IF(Signals_EU!L129=-1,-Signals_EU!S129*Mapping!$C$20,0))</f>
        <v>0</v>
      </c>
      <c r="U129" s="1">
        <f t="shared" si="1"/>
        <v>0</v>
      </c>
    </row>
    <row r="130" spans="1:21">
      <c r="A130" s="5">
        <f>Signals_EU!B130</f>
        <v>42948</v>
      </c>
      <c r="B130" s="1">
        <f>IF(Signals_EU!O130=1,Signals_EU!R130*Mapping!$C$2,IF(Signals_EU!O130=-1,-Signals_EU!S130*Mapping!$C$2,0))</f>
        <v>5.000000000000001E-2</v>
      </c>
      <c r="C130" s="1">
        <f>IF(Signals_EU!F130=1,Signals_EU!R130*Mapping!$C$3,IF(Signals_EU!F130=-1,-Signals_EU!S130*Mapping!$C$3,0))</f>
        <v>0</v>
      </c>
      <c r="D130" s="1">
        <f>IF(Signals_EU!C130=1,Signals_EU!R130*Mapping!$C$4,IF(Signals_EU!C130=-1,-Signals_EU!S130*Mapping!$C$4,0))</f>
        <v>2.5000000000000005E-2</v>
      </c>
      <c r="E130" s="1">
        <f>IF(Signals_EU!C130=1,Signals_EU!R130*Mapping!$C$5,IF(Signals_EU!C130=-1,-Signals_EU!S130*Mapping!$C$5,0))</f>
        <v>2.5000000000000005E-2</v>
      </c>
      <c r="F130" s="1">
        <f>IF(Signals_EU!H130=1,Signals_EU!R130*Mapping!$C$6,IF(Signals_EU!H130=-1,-Signals_EU!S130*Mapping!$C$6,0))</f>
        <v>0</v>
      </c>
      <c r="G130" s="1">
        <f>IF(Signals_EU!F130=1,Signals_EU!R130*Mapping!$C$7,IF(Signals_EU!F130=-1,-Signals_EU!S130*Mapping!$C$7,0))</f>
        <v>0</v>
      </c>
      <c r="H130" s="1">
        <f>IF(Signals_EU!D130=1,Signals_EU!R130*Mapping!$C$8,IF(Signals_EU!D130=-1,-Signals_EU!S130*Mapping!$C$8,0))</f>
        <v>5.000000000000001E-2</v>
      </c>
      <c r="I130" s="1">
        <f>IF(Signals_EU!G130=1,Signals_EU!R130*Mapping!$C$9,IF(Signals_EU!G130=-1,-Signals_EU!S130*Mapping!$C$9,0))</f>
        <v>-5.000000000000001E-2</v>
      </c>
      <c r="J130" s="1">
        <f>IF(Signals_EU!H130=1,Signals_EU!R130*Mapping!$C$10,IF(Signals_EU!H130=-1,-Signals_EU!S130*Mapping!$C$10,0))</f>
        <v>0</v>
      </c>
      <c r="K130" s="1">
        <f>IF(Signals_EU!F130=1,Signals_EU!R130*Mapping!$C$11,IF(Signals_EU!F130=-1,-Signals_EU!S130*Mapping!$C$11,0))</f>
        <v>0</v>
      </c>
      <c r="L130" s="1">
        <f>IF(Signals_EU!N130=1,Signals_EU!R130*Mapping!$C$12,IF(Signals_EU!N130=-1,-Signals_EU!S130*Mapping!$C$12,0))</f>
        <v>0</v>
      </c>
      <c r="M130" s="1">
        <f>IF(Signals_EU!I130=1,Signals_EU!R130*Mapping!$C$13,IF(Signals_EU!I130=-1,-Signals_EU!S130*Mapping!$C$13,0))</f>
        <v>-5.000000000000001E-2</v>
      </c>
      <c r="N130" s="1">
        <f>IF(Signals_EU!E130=1,Signals_EU!R130*Mapping!$C$14,IF(Signals_EU!E130=-1,-Signals_EU!S130*Mapping!$C$14,0))</f>
        <v>0</v>
      </c>
      <c r="O130" s="1">
        <f>0</f>
        <v>0</v>
      </c>
      <c r="P130" s="1">
        <f>0</f>
        <v>0</v>
      </c>
      <c r="Q130" s="1">
        <f>IF(Signals_EU!J130=1,Signals_EU!R130*Mapping!$C$17,IF(Signals_EU!J130=-1,-Signals_EU!S130*Mapping!$C$17,0))</f>
        <v>0</v>
      </c>
      <c r="R130" s="1">
        <f>IF(Signals_EU!K130=1,Signals_EU!R130*Mapping!$C$18,IF(Signals_EU!K130=-1,-Signals_EU!S130*Mapping!$C$18,0))</f>
        <v>-5.000000000000001E-2</v>
      </c>
      <c r="S130" s="1">
        <f>IF(Signals_EU!M130=1,Signals_EU!R130*Mapping!$C$19,IF(Signals_EU!M130=-1,-Signals_EU!S130*Mapping!$C$19,0))</f>
        <v>0</v>
      </c>
      <c r="T130" s="1">
        <f>IF(Signals_EU!L130=1,Signals_EU!R130*Mapping!$C$20,IF(Signals_EU!L130=-1,-Signals_EU!S130*Mapping!$C$20,0))</f>
        <v>0</v>
      </c>
      <c r="U130" s="1">
        <f t="shared" si="1"/>
        <v>0</v>
      </c>
    </row>
    <row r="131" spans="1:21">
      <c r="A131" s="5">
        <f>Signals_EU!B131</f>
        <v>42979</v>
      </c>
      <c r="B131" s="1">
        <f>IF(Signals_EU!O131=1,Signals_EU!R131*Mapping!$C$2,IF(Signals_EU!O131=-1,-Signals_EU!S131*Mapping!$C$2,0))</f>
        <v>5.000000000000001E-2</v>
      </c>
      <c r="C131" s="1">
        <f>IF(Signals_EU!F131=1,Signals_EU!R131*Mapping!$C$3,IF(Signals_EU!F131=-1,-Signals_EU!S131*Mapping!$C$3,0))</f>
        <v>0</v>
      </c>
      <c r="D131" s="1">
        <f>IF(Signals_EU!C131=1,Signals_EU!R131*Mapping!$C$4,IF(Signals_EU!C131=-1,-Signals_EU!S131*Mapping!$C$4,0))</f>
        <v>2.5000000000000005E-2</v>
      </c>
      <c r="E131" s="1">
        <f>IF(Signals_EU!C131=1,Signals_EU!R131*Mapping!$C$5,IF(Signals_EU!C131=-1,-Signals_EU!S131*Mapping!$C$5,0))</f>
        <v>2.5000000000000005E-2</v>
      </c>
      <c r="F131" s="1">
        <f>IF(Signals_EU!H131=1,Signals_EU!R131*Mapping!$C$6,IF(Signals_EU!H131=-1,-Signals_EU!S131*Mapping!$C$6,0))</f>
        <v>-1.0000000000000002E-2</v>
      </c>
      <c r="G131" s="1">
        <f>IF(Signals_EU!F131=1,Signals_EU!R131*Mapping!$C$7,IF(Signals_EU!F131=-1,-Signals_EU!S131*Mapping!$C$7,0))</f>
        <v>0</v>
      </c>
      <c r="H131" s="1">
        <f>IF(Signals_EU!D131=1,Signals_EU!R131*Mapping!$C$8,IF(Signals_EU!D131=-1,-Signals_EU!S131*Mapping!$C$8,0))</f>
        <v>5.000000000000001E-2</v>
      </c>
      <c r="I131" s="1">
        <f>IF(Signals_EU!G131=1,Signals_EU!R131*Mapping!$C$9,IF(Signals_EU!G131=-1,-Signals_EU!S131*Mapping!$C$9,0))</f>
        <v>-5.000000000000001E-2</v>
      </c>
      <c r="J131" s="1">
        <f>IF(Signals_EU!H131=1,Signals_EU!R131*Mapping!$C$10,IF(Signals_EU!H131=-1,-Signals_EU!S131*Mapping!$C$10,0))</f>
        <v>-4.0000000000000008E-2</v>
      </c>
      <c r="K131" s="1">
        <f>IF(Signals_EU!F131=1,Signals_EU!R131*Mapping!$C$11,IF(Signals_EU!F131=-1,-Signals_EU!S131*Mapping!$C$11,0))</f>
        <v>0</v>
      </c>
      <c r="L131" s="1">
        <f>IF(Signals_EU!N131=1,Signals_EU!R131*Mapping!$C$12,IF(Signals_EU!N131=-1,-Signals_EU!S131*Mapping!$C$12,0))</f>
        <v>-5.000000000000001E-2</v>
      </c>
      <c r="M131" s="1">
        <f>IF(Signals_EU!I131=1,Signals_EU!R131*Mapping!$C$13,IF(Signals_EU!I131=-1,-Signals_EU!S131*Mapping!$C$13,0))</f>
        <v>0</v>
      </c>
      <c r="N131" s="1">
        <f>IF(Signals_EU!E131=1,Signals_EU!R131*Mapping!$C$14,IF(Signals_EU!E131=-1,-Signals_EU!S131*Mapping!$C$14,0))</f>
        <v>0</v>
      </c>
      <c r="O131" s="1">
        <f>0</f>
        <v>0</v>
      </c>
      <c r="P131" s="1">
        <f>0</f>
        <v>0</v>
      </c>
      <c r="Q131" s="1">
        <f>IF(Signals_EU!J131=1,Signals_EU!R131*Mapping!$C$17,IF(Signals_EU!J131=-1,-Signals_EU!S131*Mapping!$C$17,0))</f>
        <v>0</v>
      </c>
      <c r="R131" s="1">
        <f>IF(Signals_EU!K131=1,Signals_EU!R131*Mapping!$C$18,IF(Signals_EU!K131=-1,-Signals_EU!S131*Mapping!$C$18,0))</f>
        <v>0</v>
      </c>
      <c r="S131" s="1">
        <f>IF(Signals_EU!M131=1,Signals_EU!R131*Mapping!$C$19,IF(Signals_EU!M131=-1,-Signals_EU!S131*Mapping!$C$19,0))</f>
        <v>0</v>
      </c>
      <c r="T131" s="1">
        <f>IF(Signals_EU!L131=1,Signals_EU!R131*Mapping!$C$20,IF(Signals_EU!L131=-1,-Signals_EU!S131*Mapping!$C$20,0))</f>
        <v>0</v>
      </c>
      <c r="U131" s="1">
        <f t="shared" ref="U131:U194" si="2">ROUND(SUM(B131:T131),12)</f>
        <v>0</v>
      </c>
    </row>
    <row r="132" spans="1:21">
      <c r="A132" s="5">
        <f>Signals_EU!B132</f>
        <v>43009</v>
      </c>
      <c r="B132" s="1">
        <f>IF(Signals_EU!O132=1,Signals_EU!R132*Mapping!$C$2,IF(Signals_EU!O132=-1,-Signals_EU!S132*Mapping!$C$2,0))</f>
        <v>0</v>
      </c>
      <c r="C132" s="1">
        <f>IF(Signals_EU!F132=1,Signals_EU!R132*Mapping!$C$3,IF(Signals_EU!F132=-1,-Signals_EU!S132*Mapping!$C$3,0))</f>
        <v>0</v>
      </c>
      <c r="D132" s="1">
        <f>IF(Signals_EU!C132=1,Signals_EU!R132*Mapping!$C$4,IF(Signals_EU!C132=-1,-Signals_EU!S132*Mapping!$C$4,0))</f>
        <v>2.5000000000000005E-2</v>
      </c>
      <c r="E132" s="1">
        <f>IF(Signals_EU!C132=1,Signals_EU!R132*Mapping!$C$5,IF(Signals_EU!C132=-1,-Signals_EU!S132*Mapping!$C$5,0))</f>
        <v>2.5000000000000005E-2</v>
      </c>
      <c r="F132" s="1">
        <f>IF(Signals_EU!H132=1,Signals_EU!R132*Mapping!$C$6,IF(Signals_EU!H132=-1,-Signals_EU!S132*Mapping!$C$6,0))</f>
        <v>-1.0000000000000002E-2</v>
      </c>
      <c r="G132" s="1">
        <f>IF(Signals_EU!F132=1,Signals_EU!R132*Mapping!$C$7,IF(Signals_EU!F132=-1,-Signals_EU!S132*Mapping!$C$7,0))</f>
        <v>0</v>
      </c>
      <c r="H132" s="1">
        <f>IF(Signals_EU!D132=1,Signals_EU!R132*Mapping!$C$8,IF(Signals_EU!D132=-1,-Signals_EU!S132*Mapping!$C$8,0))</f>
        <v>5.000000000000001E-2</v>
      </c>
      <c r="I132" s="1">
        <f>IF(Signals_EU!G132=1,Signals_EU!R132*Mapping!$C$9,IF(Signals_EU!G132=-1,-Signals_EU!S132*Mapping!$C$9,0))</f>
        <v>-5.000000000000001E-2</v>
      </c>
      <c r="J132" s="1">
        <f>IF(Signals_EU!H132=1,Signals_EU!R132*Mapping!$C$10,IF(Signals_EU!H132=-1,-Signals_EU!S132*Mapping!$C$10,0))</f>
        <v>-4.0000000000000008E-2</v>
      </c>
      <c r="K132" s="1">
        <f>IF(Signals_EU!F132=1,Signals_EU!R132*Mapping!$C$11,IF(Signals_EU!F132=-1,-Signals_EU!S132*Mapping!$C$11,0))</f>
        <v>0</v>
      </c>
      <c r="L132" s="1">
        <f>IF(Signals_EU!N132=1,Signals_EU!R132*Mapping!$C$12,IF(Signals_EU!N132=-1,-Signals_EU!S132*Mapping!$C$12,0))</f>
        <v>-5.000000000000001E-2</v>
      </c>
      <c r="M132" s="1">
        <f>IF(Signals_EU!I132=1,Signals_EU!R132*Mapping!$C$13,IF(Signals_EU!I132=-1,-Signals_EU!S132*Mapping!$C$13,0))</f>
        <v>0</v>
      </c>
      <c r="N132" s="1">
        <f>IF(Signals_EU!E132=1,Signals_EU!R132*Mapping!$C$14,IF(Signals_EU!E132=-1,-Signals_EU!S132*Mapping!$C$14,0))</f>
        <v>0</v>
      </c>
      <c r="O132" s="1">
        <f>0</f>
        <v>0</v>
      </c>
      <c r="P132" s="1">
        <f>0</f>
        <v>0</v>
      </c>
      <c r="Q132" s="1">
        <f>IF(Signals_EU!J132=1,Signals_EU!R132*Mapping!$C$17,IF(Signals_EU!J132=-1,-Signals_EU!S132*Mapping!$C$17,0))</f>
        <v>0</v>
      </c>
      <c r="R132" s="1">
        <f>IF(Signals_EU!K132=1,Signals_EU!R132*Mapping!$C$18,IF(Signals_EU!K132=-1,-Signals_EU!S132*Mapping!$C$18,0))</f>
        <v>0</v>
      </c>
      <c r="S132" s="1">
        <f>IF(Signals_EU!M132=1,Signals_EU!R132*Mapping!$C$19,IF(Signals_EU!M132=-1,-Signals_EU!S132*Mapping!$C$19,0))</f>
        <v>0</v>
      </c>
      <c r="T132" s="1">
        <f>IF(Signals_EU!L132=1,Signals_EU!R132*Mapping!$C$20,IF(Signals_EU!L132=-1,-Signals_EU!S132*Mapping!$C$20,0))</f>
        <v>5.000000000000001E-2</v>
      </c>
      <c r="U132" s="1">
        <f t="shared" si="2"/>
        <v>0</v>
      </c>
    </row>
    <row r="133" spans="1:21">
      <c r="A133" s="5">
        <f>Signals_EU!B133</f>
        <v>43040</v>
      </c>
      <c r="B133" s="1">
        <f>IF(Signals_EU!O133=1,Signals_EU!R133*Mapping!$C$2,IF(Signals_EU!O133=-1,-Signals_EU!S133*Mapping!$C$2,0))</f>
        <v>0</v>
      </c>
      <c r="C133" s="1">
        <f>IF(Signals_EU!F133=1,Signals_EU!R133*Mapping!$C$3,IF(Signals_EU!F133=-1,-Signals_EU!S133*Mapping!$C$3,0))</f>
        <v>-3.0000000000000006E-2</v>
      </c>
      <c r="D133" s="1">
        <f>IF(Signals_EU!C133=1,Signals_EU!R133*Mapping!$C$4,IF(Signals_EU!C133=-1,-Signals_EU!S133*Mapping!$C$4,0))</f>
        <v>2.5000000000000005E-2</v>
      </c>
      <c r="E133" s="1">
        <f>IF(Signals_EU!C133=1,Signals_EU!R133*Mapping!$C$5,IF(Signals_EU!C133=-1,-Signals_EU!S133*Mapping!$C$5,0))</f>
        <v>2.5000000000000005E-2</v>
      </c>
      <c r="F133" s="1">
        <f>IF(Signals_EU!H133=1,Signals_EU!R133*Mapping!$C$6,IF(Signals_EU!H133=-1,-Signals_EU!S133*Mapping!$C$6,0))</f>
        <v>-1.0000000000000002E-2</v>
      </c>
      <c r="G133" s="1">
        <f>IF(Signals_EU!F133=1,Signals_EU!R133*Mapping!$C$7,IF(Signals_EU!F133=-1,-Signals_EU!S133*Mapping!$C$7,0))</f>
        <v>-1.0000000000000002E-2</v>
      </c>
      <c r="H133" s="1">
        <f>IF(Signals_EU!D133=1,Signals_EU!R133*Mapping!$C$8,IF(Signals_EU!D133=-1,-Signals_EU!S133*Mapping!$C$8,0))</f>
        <v>5.000000000000001E-2</v>
      </c>
      <c r="I133" s="1">
        <f>IF(Signals_EU!G133=1,Signals_EU!R133*Mapping!$C$9,IF(Signals_EU!G133=-1,-Signals_EU!S133*Mapping!$C$9,0))</f>
        <v>0</v>
      </c>
      <c r="J133" s="1">
        <f>IF(Signals_EU!H133=1,Signals_EU!R133*Mapping!$C$10,IF(Signals_EU!H133=-1,-Signals_EU!S133*Mapping!$C$10,0))</f>
        <v>-4.0000000000000008E-2</v>
      </c>
      <c r="K133" s="1">
        <f>IF(Signals_EU!F133=1,Signals_EU!R133*Mapping!$C$11,IF(Signals_EU!F133=-1,-Signals_EU!S133*Mapping!$C$11,0))</f>
        <v>-1.0000000000000002E-2</v>
      </c>
      <c r="L133" s="1">
        <f>IF(Signals_EU!N133=1,Signals_EU!R133*Mapping!$C$12,IF(Signals_EU!N133=-1,-Signals_EU!S133*Mapping!$C$12,0))</f>
        <v>-5.000000000000001E-2</v>
      </c>
      <c r="M133" s="1">
        <f>IF(Signals_EU!I133=1,Signals_EU!R133*Mapping!$C$13,IF(Signals_EU!I133=-1,-Signals_EU!S133*Mapping!$C$13,0))</f>
        <v>0</v>
      </c>
      <c r="N133" s="1">
        <f>IF(Signals_EU!E133=1,Signals_EU!R133*Mapping!$C$14,IF(Signals_EU!E133=-1,-Signals_EU!S133*Mapping!$C$14,0))</f>
        <v>0</v>
      </c>
      <c r="O133" s="1">
        <f>0</f>
        <v>0</v>
      </c>
      <c r="P133" s="1">
        <f>0</f>
        <v>0</v>
      </c>
      <c r="Q133" s="1">
        <f>IF(Signals_EU!J133=1,Signals_EU!R133*Mapping!$C$17,IF(Signals_EU!J133=-1,-Signals_EU!S133*Mapping!$C$17,0))</f>
        <v>0</v>
      </c>
      <c r="R133" s="1">
        <f>IF(Signals_EU!K133=1,Signals_EU!R133*Mapping!$C$18,IF(Signals_EU!K133=-1,-Signals_EU!S133*Mapping!$C$18,0))</f>
        <v>0</v>
      </c>
      <c r="S133" s="1">
        <f>IF(Signals_EU!M133=1,Signals_EU!R133*Mapping!$C$19,IF(Signals_EU!M133=-1,-Signals_EU!S133*Mapping!$C$19,0))</f>
        <v>0</v>
      </c>
      <c r="T133" s="1">
        <f>IF(Signals_EU!L133=1,Signals_EU!R133*Mapping!$C$20,IF(Signals_EU!L133=-1,-Signals_EU!S133*Mapping!$C$20,0))</f>
        <v>5.000000000000001E-2</v>
      </c>
      <c r="U133" s="1">
        <f t="shared" si="2"/>
        <v>0</v>
      </c>
    </row>
    <row r="134" spans="1:21">
      <c r="A134" s="5">
        <f>Signals_EU!B134</f>
        <v>43070</v>
      </c>
      <c r="B134" s="1">
        <f>IF(Signals_EU!O134=1,Signals_EU!R134*Mapping!$C$2,IF(Signals_EU!O134=-1,-Signals_EU!S134*Mapping!$C$2,0))</f>
        <v>0</v>
      </c>
      <c r="C134" s="1">
        <f>IF(Signals_EU!F134=1,Signals_EU!R134*Mapping!$C$3,IF(Signals_EU!F134=-1,-Signals_EU!S134*Mapping!$C$3,0))</f>
        <v>-3.0000000000000006E-2</v>
      </c>
      <c r="D134" s="1">
        <f>IF(Signals_EU!C134=1,Signals_EU!R134*Mapping!$C$4,IF(Signals_EU!C134=-1,-Signals_EU!S134*Mapping!$C$4,0))</f>
        <v>2.5000000000000005E-2</v>
      </c>
      <c r="E134" s="1">
        <f>IF(Signals_EU!C134=1,Signals_EU!R134*Mapping!$C$5,IF(Signals_EU!C134=-1,-Signals_EU!S134*Mapping!$C$5,0))</f>
        <v>2.5000000000000005E-2</v>
      </c>
      <c r="F134" s="1">
        <f>IF(Signals_EU!H134=1,Signals_EU!R134*Mapping!$C$6,IF(Signals_EU!H134=-1,-Signals_EU!S134*Mapping!$C$6,0))</f>
        <v>0</v>
      </c>
      <c r="G134" s="1">
        <f>IF(Signals_EU!F134=1,Signals_EU!R134*Mapping!$C$7,IF(Signals_EU!F134=-1,-Signals_EU!S134*Mapping!$C$7,0))</f>
        <v>-1.0000000000000002E-2</v>
      </c>
      <c r="H134" s="1">
        <f>IF(Signals_EU!D134=1,Signals_EU!R134*Mapping!$C$8,IF(Signals_EU!D134=-1,-Signals_EU!S134*Mapping!$C$8,0))</f>
        <v>5.000000000000001E-2</v>
      </c>
      <c r="I134" s="1">
        <f>IF(Signals_EU!G134=1,Signals_EU!R134*Mapping!$C$9,IF(Signals_EU!G134=-1,-Signals_EU!S134*Mapping!$C$9,0))</f>
        <v>0</v>
      </c>
      <c r="J134" s="1">
        <f>IF(Signals_EU!H134=1,Signals_EU!R134*Mapping!$C$10,IF(Signals_EU!H134=-1,-Signals_EU!S134*Mapping!$C$10,0))</f>
        <v>0</v>
      </c>
      <c r="K134" s="1">
        <f>IF(Signals_EU!F134=1,Signals_EU!R134*Mapping!$C$11,IF(Signals_EU!F134=-1,-Signals_EU!S134*Mapping!$C$11,0))</f>
        <v>-1.0000000000000002E-2</v>
      </c>
      <c r="L134" s="1">
        <f>IF(Signals_EU!N134=1,Signals_EU!R134*Mapping!$C$12,IF(Signals_EU!N134=-1,-Signals_EU!S134*Mapping!$C$12,0))</f>
        <v>-5.000000000000001E-2</v>
      </c>
      <c r="M134" s="1">
        <f>IF(Signals_EU!I134=1,Signals_EU!R134*Mapping!$C$13,IF(Signals_EU!I134=-1,-Signals_EU!S134*Mapping!$C$13,0))</f>
        <v>5.000000000000001E-2</v>
      </c>
      <c r="N134" s="1">
        <f>IF(Signals_EU!E134=1,Signals_EU!R134*Mapping!$C$14,IF(Signals_EU!E134=-1,-Signals_EU!S134*Mapping!$C$14,0))</f>
        <v>0</v>
      </c>
      <c r="O134" s="1">
        <f>0</f>
        <v>0</v>
      </c>
      <c r="P134" s="1">
        <f>0</f>
        <v>0</v>
      </c>
      <c r="Q134" s="1">
        <f>IF(Signals_EU!J134=1,Signals_EU!R134*Mapping!$C$17,IF(Signals_EU!J134=-1,-Signals_EU!S134*Mapping!$C$17,0))</f>
        <v>-5.000000000000001E-2</v>
      </c>
      <c r="R134" s="1">
        <f>IF(Signals_EU!K134=1,Signals_EU!R134*Mapping!$C$18,IF(Signals_EU!K134=-1,-Signals_EU!S134*Mapping!$C$18,0))</f>
        <v>0</v>
      </c>
      <c r="S134" s="1">
        <f>IF(Signals_EU!M134=1,Signals_EU!R134*Mapping!$C$19,IF(Signals_EU!M134=-1,-Signals_EU!S134*Mapping!$C$19,0))</f>
        <v>0</v>
      </c>
      <c r="T134" s="1">
        <f>IF(Signals_EU!L134=1,Signals_EU!R134*Mapping!$C$20,IF(Signals_EU!L134=-1,-Signals_EU!S134*Mapping!$C$20,0))</f>
        <v>0</v>
      </c>
      <c r="U134" s="1">
        <f t="shared" si="2"/>
        <v>0</v>
      </c>
    </row>
    <row r="135" spans="1:21">
      <c r="A135" s="5">
        <f>Signals_EU!B135</f>
        <v>43101</v>
      </c>
      <c r="B135" s="1">
        <f>IF(Signals_EU!O135=1,Signals_EU!R135*Mapping!$C$2,IF(Signals_EU!O135=-1,-Signals_EU!S135*Mapping!$C$2,0))</f>
        <v>0</v>
      </c>
      <c r="C135" s="1">
        <f>IF(Signals_EU!F135=1,Signals_EU!R135*Mapping!$C$3,IF(Signals_EU!F135=-1,-Signals_EU!S135*Mapping!$C$3,0))</f>
        <v>-3.0000000000000006E-2</v>
      </c>
      <c r="D135" s="1">
        <f>IF(Signals_EU!C135=1,Signals_EU!R135*Mapping!$C$4,IF(Signals_EU!C135=-1,-Signals_EU!S135*Mapping!$C$4,0))</f>
        <v>2.5000000000000005E-2</v>
      </c>
      <c r="E135" s="1">
        <f>IF(Signals_EU!C135=1,Signals_EU!R135*Mapping!$C$5,IF(Signals_EU!C135=-1,-Signals_EU!S135*Mapping!$C$5,0))</f>
        <v>2.5000000000000005E-2</v>
      </c>
      <c r="F135" s="1">
        <f>IF(Signals_EU!H135=1,Signals_EU!R135*Mapping!$C$6,IF(Signals_EU!H135=-1,-Signals_EU!S135*Mapping!$C$6,0))</f>
        <v>-1.0000000000000002E-2</v>
      </c>
      <c r="G135" s="1">
        <f>IF(Signals_EU!F135=1,Signals_EU!R135*Mapping!$C$7,IF(Signals_EU!F135=-1,-Signals_EU!S135*Mapping!$C$7,0))</f>
        <v>-1.0000000000000002E-2</v>
      </c>
      <c r="H135" s="1">
        <f>IF(Signals_EU!D135=1,Signals_EU!R135*Mapping!$C$8,IF(Signals_EU!D135=-1,-Signals_EU!S135*Mapping!$C$8,0))</f>
        <v>5.000000000000001E-2</v>
      </c>
      <c r="I135" s="1">
        <f>IF(Signals_EU!G135=1,Signals_EU!R135*Mapping!$C$9,IF(Signals_EU!G135=-1,-Signals_EU!S135*Mapping!$C$9,0))</f>
        <v>0</v>
      </c>
      <c r="J135" s="1">
        <f>IF(Signals_EU!H135=1,Signals_EU!R135*Mapping!$C$10,IF(Signals_EU!H135=-1,-Signals_EU!S135*Mapping!$C$10,0))</f>
        <v>-4.0000000000000008E-2</v>
      </c>
      <c r="K135" s="1">
        <f>IF(Signals_EU!F135=1,Signals_EU!R135*Mapping!$C$11,IF(Signals_EU!F135=-1,-Signals_EU!S135*Mapping!$C$11,0))</f>
        <v>-1.0000000000000002E-2</v>
      </c>
      <c r="L135" s="1">
        <f>IF(Signals_EU!N135=1,Signals_EU!R135*Mapping!$C$12,IF(Signals_EU!N135=-1,-Signals_EU!S135*Mapping!$C$12,0))</f>
        <v>-5.000000000000001E-2</v>
      </c>
      <c r="M135" s="1">
        <f>IF(Signals_EU!I135=1,Signals_EU!R135*Mapping!$C$13,IF(Signals_EU!I135=-1,-Signals_EU!S135*Mapping!$C$13,0))</f>
        <v>5.000000000000001E-2</v>
      </c>
      <c r="N135" s="1">
        <f>IF(Signals_EU!E135=1,Signals_EU!R135*Mapping!$C$14,IF(Signals_EU!E135=-1,-Signals_EU!S135*Mapping!$C$14,0))</f>
        <v>0</v>
      </c>
      <c r="O135" s="1">
        <f>0</f>
        <v>0</v>
      </c>
      <c r="P135" s="1">
        <f>0</f>
        <v>0</v>
      </c>
      <c r="Q135" s="1">
        <f>IF(Signals_EU!J135=1,Signals_EU!R135*Mapping!$C$17,IF(Signals_EU!J135=-1,-Signals_EU!S135*Mapping!$C$17,0))</f>
        <v>0</v>
      </c>
      <c r="R135" s="1">
        <f>IF(Signals_EU!K135=1,Signals_EU!R135*Mapping!$C$18,IF(Signals_EU!K135=-1,-Signals_EU!S135*Mapping!$C$18,0))</f>
        <v>0</v>
      </c>
      <c r="S135" s="1">
        <f>IF(Signals_EU!M135=1,Signals_EU!R135*Mapping!$C$19,IF(Signals_EU!M135=-1,-Signals_EU!S135*Mapping!$C$19,0))</f>
        <v>0</v>
      </c>
      <c r="T135" s="1">
        <f>IF(Signals_EU!L135=1,Signals_EU!R135*Mapping!$C$20,IF(Signals_EU!L135=-1,-Signals_EU!S135*Mapping!$C$20,0))</f>
        <v>0</v>
      </c>
      <c r="U135" s="1">
        <f t="shared" si="2"/>
        <v>0</v>
      </c>
    </row>
    <row r="136" spans="1:21">
      <c r="A136" s="5">
        <f>Signals_EU!B136</f>
        <v>43132</v>
      </c>
      <c r="B136" s="1">
        <f>IF(Signals_EU!O136=1,Signals_EU!R136*Mapping!$C$2,IF(Signals_EU!O136=-1,-Signals_EU!S136*Mapping!$C$2,0))</f>
        <v>0</v>
      </c>
      <c r="C136" s="1">
        <f>IF(Signals_EU!F136=1,Signals_EU!R136*Mapping!$C$3,IF(Signals_EU!F136=-1,-Signals_EU!S136*Mapping!$C$3,0))</f>
        <v>-3.0000000000000006E-2</v>
      </c>
      <c r="D136" s="1">
        <f>IF(Signals_EU!C136=1,Signals_EU!R136*Mapping!$C$4,IF(Signals_EU!C136=-1,-Signals_EU!S136*Mapping!$C$4,0))</f>
        <v>2.5000000000000005E-2</v>
      </c>
      <c r="E136" s="1">
        <f>IF(Signals_EU!C136=1,Signals_EU!R136*Mapping!$C$5,IF(Signals_EU!C136=-1,-Signals_EU!S136*Mapping!$C$5,0))</f>
        <v>2.5000000000000005E-2</v>
      </c>
      <c r="F136" s="1">
        <f>IF(Signals_EU!H136=1,Signals_EU!R136*Mapping!$C$6,IF(Signals_EU!H136=-1,-Signals_EU!S136*Mapping!$C$6,0))</f>
        <v>0</v>
      </c>
      <c r="G136" s="1">
        <f>IF(Signals_EU!F136=1,Signals_EU!R136*Mapping!$C$7,IF(Signals_EU!F136=-1,-Signals_EU!S136*Mapping!$C$7,0))</f>
        <v>-1.0000000000000002E-2</v>
      </c>
      <c r="H136" s="1">
        <f>IF(Signals_EU!D136=1,Signals_EU!R136*Mapping!$C$8,IF(Signals_EU!D136=-1,-Signals_EU!S136*Mapping!$C$8,0))</f>
        <v>5.000000000000001E-2</v>
      </c>
      <c r="I136" s="1">
        <f>IF(Signals_EU!G136=1,Signals_EU!R136*Mapping!$C$9,IF(Signals_EU!G136=-1,-Signals_EU!S136*Mapping!$C$9,0))</f>
        <v>0</v>
      </c>
      <c r="J136" s="1">
        <f>IF(Signals_EU!H136=1,Signals_EU!R136*Mapping!$C$10,IF(Signals_EU!H136=-1,-Signals_EU!S136*Mapping!$C$10,0))</f>
        <v>0</v>
      </c>
      <c r="K136" s="1">
        <f>IF(Signals_EU!F136=1,Signals_EU!R136*Mapping!$C$11,IF(Signals_EU!F136=-1,-Signals_EU!S136*Mapping!$C$11,0))</f>
        <v>-1.0000000000000002E-2</v>
      </c>
      <c r="L136" s="1">
        <f>IF(Signals_EU!N136=1,Signals_EU!R136*Mapping!$C$12,IF(Signals_EU!N136=-1,-Signals_EU!S136*Mapping!$C$12,0))</f>
        <v>-5.000000000000001E-2</v>
      </c>
      <c r="M136" s="1">
        <f>IF(Signals_EU!I136=1,Signals_EU!R136*Mapping!$C$13,IF(Signals_EU!I136=-1,-Signals_EU!S136*Mapping!$C$13,0))</f>
        <v>0</v>
      </c>
      <c r="N136" s="1">
        <f>IF(Signals_EU!E136=1,Signals_EU!R136*Mapping!$C$14,IF(Signals_EU!E136=-1,-Signals_EU!S136*Mapping!$C$14,0))</f>
        <v>0</v>
      </c>
      <c r="O136" s="1">
        <f>0</f>
        <v>0</v>
      </c>
      <c r="P136" s="1">
        <f>0</f>
        <v>0</v>
      </c>
      <c r="Q136" s="1">
        <f>IF(Signals_EU!J136=1,Signals_EU!R136*Mapping!$C$17,IF(Signals_EU!J136=-1,-Signals_EU!S136*Mapping!$C$17,0))</f>
        <v>-5.000000000000001E-2</v>
      </c>
      <c r="R136" s="1">
        <f>IF(Signals_EU!K136=1,Signals_EU!R136*Mapping!$C$18,IF(Signals_EU!K136=-1,-Signals_EU!S136*Mapping!$C$18,0))</f>
        <v>5.000000000000001E-2</v>
      </c>
      <c r="S136" s="1">
        <f>IF(Signals_EU!M136=1,Signals_EU!R136*Mapping!$C$19,IF(Signals_EU!M136=-1,-Signals_EU!S136*Mapping!$C$19,0))</f>
        <v>0</v>
      </c>
      <c r="T136" s="1">
        <f>IF(Signals_EU!L136=1,Signals_EU!R136*Mapping!$C$20,IF(Signals_EU!L136=-1,-Signals_EU!S136*Mapping!$C$20,0))</f>
        <v>0</v>
      </c>
      <c r="U136" s="1">
        <f t="shared" si="2"/>
        <v>0</v>
      </c>
    </row>
    <row r="137" spans="1:21">
      <c r="A137" s="5">
        <f>Signals_EU!B137</f>
        <v>43160</v>
      </c>
      <c r="B137" s="1">
        <f>IF(Signals_EU!O137=1,Signals_EU!R137*Mapping!$C$2,IF(Signals_EU!O137=-1,-Signals_EU!S137*Mapping!$C$2,0))</f>
        <v>5.000000000000001E-2</v>
      </c>
      <c r="C137" s="1">
        <f>IF(Signals_EU!F137=1,Signals_EU!R137*Mapping!$C$3,IF(Signals_EU!F137=-1,-Signals_EU!S137*Mapping!$C$3,0))</f>
        <v>0</v>
      </c>
      <c r="D137" s="1">
        <f>IF(Signals_EU!C137=1,Signals_EU!R137*Mapping!$C$4,IF(Signals_EU!C137=-1,-Signals_EU!S137*Mapping!$C$4,0))</f>
        <v>2.5000000000000005E-2</v>
      </c>
      <c r="E137" s="1">
        <f>IF(Signals_EU!C137=1,Signals_EU!R137*Mapping!$C$5,IF(Signals_EU!C137=-1,-Signals_EU!S137*Mapping!$C$5,0))</f>
        <v>2.5000000000000005E-2</v>
      </c>
      <c r="F137" s="1">
        <f>IF(Signals_EU!H137=1,Signals_EU!R137*Mapping!$C$6,IF(Signals_EU!H137=-1,-Signals_EU!S137*Mapping!$C$6,0))</f>
        <v>0</v>
      </c>
      <c r="G137" s="1">
        <f>IF(Signals_EU!F137=1,Signals_EU!R137*Mapping!$C$7,IF(Signals_EU!F137=-1,-Signals_EU!S137*Mapping!$C$7,0))</f>
        <v>0</v>
      </c>
      <c r="H137" s="1">
        <f>IF(Signals_EU!D137=1,Signals_EU!R137*Mapping!$C$8,IF(Signals_EU!D137=-1,-Signals_EU!S137*Mapping!$C$8,0))</f>
        <v>5.000000000000001E-2</v>
      </c>
      <c r="I137" s="1">
        <f>IF(Signals_EU!G137=1,Signals_EU!R137*Mapping!$C$9,IF(Signals_EU!G137=-1,-Signals_EU!S137*Mapping!$C$9,0))</f>
        <v>0</v>
      </c>
      <c r="J137" s="1">
        <f>IF(Signals_EU!H137=1,Signals_EU!R137*Mapping!$C$10,IF(Signals_EU!H137=-1,-Signals_EU!S137*Mapping!$C$10,0))</f>
        <v>0</v>
      </c>
      <c r="K137" s="1">
        <f>IF(Signals_EU!F137=1,Signals_EU!R137*Mapping!$C$11,IF(Signals_EU!F137=-1,-Signals_EU!S137*Mapping!$C$11,0))</f>
        <v>0</v>
      </c>
      <c r="L137" s="1">
        <f>IF(Signals_EU!N137=1,Signals_EU!R137*Mapping!$C$12,IF(Signals_EU!N137=-1,-Signals_EU!S137*Mapping!$C$12,0))</f>
        <v>-5.000000000000001E-2</v>
      </c>
      <c r="M137" s="1">
        <f>IF(Signals_EU!I137=1,Signals_EU!R137*Mapping!$C$13,IF(Signals_EU!I137=-1,-Signals_EU!S137*Mapping!$C$13,0))</f>
        <v>0</v>
      </c>
      <c r="N137" s="1">
        <f>IF(Signals_EU!E137=1,Signals_EU!R137*Mapping!$C$14,IF(Signals_EU!E137=-1,-Signals_EU!S137*Mapping!$C$14,0))</f>
        <v>-5.000000000000001E-2</v>
      </c>
      <c r="O137" s="1">
        <f>0</f>
        <v>0</v>
      </c>
      <c r="P137" s="1">
        <f>0</f>
        <v>0</v>
      </c>
      <c r="Q137" s="1">
        <f>IF(Signals_EU!J137=1,Signals_EU!R137*Mapping!$C$17,IF(Signals_EU!J137=-1,-Signals_EU!S137*Mapping!$C$17,0))</f>
        <v>-5.000000000000001E-2</v>
      </c>
      <c r="R137" s="1">
        <f>IF(Signals_EU!K137=1,Signals_EU!R137*Mapping!$C$18,IF(Signals_EU!K137=-1,-Signals_EU!S137*Mapping!$C$18,0))</f>
        <v>0</v>
      </c>
      <c r="S137" s="1">
        <f>IF(Signals_EU!M137=1,Signals_EU!R137*Mapping!$C$19,IF(Signals_EU!M137=-1,-Signals_EU!S137*Mapping!$C$19,0))</f>
        <v>0</v>
      </c>
      <c r="T137" s="1">
        <f>IF(Signals_EU!L137=1,Signals_EU!R137*Mapping!$C$20,IF(Signals_EU!L137=-1,-Signals_EU!S137*Mapping!$C$20,0))</f>
        <v>0</v>
      </c>
      <c r="U137" s="1">
        <f t="shared" si="2"/>
        <v>0</v>
      </c>
    </row>
    <row r="138" spans="1:21">
      <c r="A138" s="5">
        <f>Signals_EU!B138</f>
        <v>43191</v>
      </c>
      <c r="B138" s="1">
        <f>IF(Signals_EU!O138=1,Signals_EU!R138*Mapping!$C$2,IF(Signals_EU!O138=-1,-Signals_EU!S138*Mapping!$C$2,0))</f>
        <v>0</v>
      </c>
      <c r="C138" s="1">
        <f>IF(Signals_EU!F138=1,Signals_EU!R138*Mapping!$C$3,IF(Signals_EU!F138=-1,-Signals_EU!S138*Mapping!$C$3,0))</f>
        <v>0</v>
      </c>
      <c r="D138" s="1">
        <f>IF(Signals_EU!C138=1,Signals_EU!R138*Mapping!$C$4,IF(Signals_EU!C138=-1,-Signals_EU!S138*Mapping!$C$4,0))</f>
        <v>2.5000000000000005E-2</v>
      </c>
      <c r="E138" s="1">
        <f>IF(Signals_EU!C138=1,Signals_EU!R138*Mapping!$C$5,IF(Signals_EU!C138=-1,-Signals_EU!S138*Mapping!$C$5,0))</f>
        <v>2.5000000000000005E-2</v>
      </c>
      <c r="F138" s="1">
        <f>IF(Signals_EU!H138=1,Signals_EU!R138*Mapping!$C$6,IF(Signals_EU!H138=-1,-Signals_EU!S138*Mapping!$C$6,0))</f>
        <v>0</v>
      </c>
      <c r="G138" s="1">
        <f>IF(Signals_EU!F138=1,Signals_EU!R138*Mapping!$C$7,IF(Signals_EU!F138=-1,-Signals_EU!S138*Mapping!$C$7,0))</f>
        <v>0</v>
      </c>
      <c r="H138" s="1">
        <f>IF(Signals_EU!D138=1,Signals_EU!R138*Mapping!$C$8,IF(Signals_EU!D138=-1,-Signals_EU!S138*Mapping!$C$8,0))</f>
        <v>5.000000000000001E-2</v>
      </c>
      <c r="I138" s="1">
        <f>IF(Signals_EU!G138=1,Signals_EU!R138*Mapping!$C$9,IF(Signals_EU!G138=-1,-Signals_EU!S138*Mapping!$C$9,0))</f>
        <v>0</v>
      </c>
      <c r="J138" s="1">
        <f>IF(Signals_EU!H138=1,Signals_EU!R138*Mapping!$C$10,IF(Signals_EU!H138=-1,-Signals_EU!S138*Mapping!$C$10,0))</f>
        <v>0</v>
      </c>
      <c r="K138" s="1">
        <f>IF(Signals_EU!F138=1,Signals_EU!R138*Mapping!$C$11,IF(Signals_EU!F138=-1,-Signals_EU!S138*Mapping!$C$11,0))</f>
        <v>0</v>
      </c>
      <c r="L138" s="1">
        <f>IF(Signals_EU!N138=1,Signals_EU!R138*Mapping!$C$12,IF(Signals_EU!N138=-1,-Signals_EU!S138*Mapping!$C$12,0))</f>
        <v>-5.000000000000001E-2</v>
      </c>
      <c r="M138" s="1">
        <f>IF(Signals_EU!I138=1,Signals_EU!R138*Mapping!$C$13,IF(Signals_EU!I138=-1,-Signals_EU!S138*Mapping!$C$13,0))</f>
        <v>0</v>
      </c>
      <c r="N138" s="1">
        <f>IF(Signals_EU!E138=1,Signals_EU!R138*Mapping!$C$14,IF(Signals_EU!E138=-1,-Signals_EU!S138*Mapping!$C$14,0))</f>
        <v>-5.000000000000001E-2</v>
      </c>
      <c r="O138" s="1">
        <f>0</f>
        <v>0</v>
      </c>
      <c r="P138" s="1">
        <f>0</f>
        <v>0</v>
      </c>
      <c r="Q138" s="1">
        <f>IF(Signals_EU!J138=1,Signals_EU!R138*Mapping!$C$17,IF(Signals_EU!J138=-1,-Signals_EU!S138*Mapping!$C$17,0))</f>
        <v>-5.000000000000001E-2</v>
      </c>
      <c r="R138" s="1">
        <f>IF(Signals_EU!K138=1,Signals_EU!R138*Mapping!$C$18,IF(Signals_EU!K138=-1,-Signals_EU!S138*Mapping!$C$18,0))</f>
        <v>5.000000000000001E-2</v>
      </c>
      <c r="S138" s="1">
        <f>IF(Signals_EU!M138=1,Signals_EU!R138*Mapping!$C$19,IF(Signals_EU!M138=-1,-Signals_EU!S138*Mapping!$C$19,0))</f>
        <v>0</v>
      </c>
      <c r="T138" s="1">
        <f>IF(Signals_EU!L138=1,Signals_EU!R138*Mapping!$C$20,IF(Signals_EU!L138=-1,-Signals_EU!S138*Mapping!$C$20,0))</f>
        <v>0</v>
      </c>
      <c r="U138" s="1">
        <f t="shared" si="2"/>
        <v>0</v>
      </c>
    </row>
    <row r="139" spans="1:21">
      <c r="A139" s="5">
        <f>Signals_EU!B139</f>
        <v>43221</v>
      </c>
      <c r="B139" s="1">
        <f>IF(Signals_EU!O139=1,Signals_EU!R139*Mapping!$C$2,IF(Signals_EU!O139=-1,-Signals_EU!S139*Mapping!$C$2,0))</f>
        <v>0</v>
      </c>
      <c r="C139" s="1">
        <f>IF(Signals_EU!F139=1,Signals_EU!R139*Mapping!$C$3,IF(Signals_EU!F139=-1,-Signals_EU!S139*Mapping!$C$3,0))</f>
        <v>0</v>
      </c>
      <c r="D139" s="1">
        <f>IF(Signals_EU!C139=1,Signals_EU!R139*Mapping!$C$4,IF(Signals_EU!C139=-1,-Signals_EU!S139*Mapping!$C$4,0))</f>
        <v>2.5000000000000005E-2</v>
      </c>
      <c r="E139" s="1">
        <f>IF(Signals_EU!C139=1,Signals_EU!R139*Mapping!$C$5,IF(Signals_EU!C139=-1,-Signals_EU!S139*Mapping!$C$5,0))</f>
        <v>2.5000000000000005E-2</v>
      </c>
      <c r="F139" s="1">
        <f>IF(Signals_EU!H139=1,Signals_EU!R139*Mapping!$C$6,IF(Signals_EU!H139=-1,-Signals_EU!S139*Mapping!$C$6,0))</f>
        <v>1.0000000000000002E-2</v>
      </c>
      <c r="G139" s="1">
        <f>IF(Signals_EU!F139=1,Signals_EU!R139*Mapping!$C$7,IF(Signals_EU!F139=-1,-Signals_EU!S139*Mapping!$C$7,0))</f>
        <v>0</v>
      </c>
      <c r="H139" s="1">
        <f>IF(Signals_EU!D139=1,Signals_EU!R139*Mapping!$C$8,IF(Signals_EU!D139=-1,-Signals_EU!S139*Mapping!$C$8,0))</f>
        <v>5.000000000000001E-2</v>
      </c>
      <c r="I139" s="1">
        <f>IF(Signals_EU!G139=1,Signals_EU!R139*Mapping!$C$9,IF(Signals_EU!G139=-1,-Signals_EU!S139*Mapping!$C$9,0))</f>
        <v>0</v>
      </c>
      <c r="J139" s="1">
        <f>IF(Signals_EU!H139=1,Signals_EU!R139*Mapping!$C$10,IF(Signals_EU!H139=-1,-Signals_EU!S139*Mapping!$C$10,0))</f>
        <v>4.0000000000000008E-2</v>
      </c>
      <c r="K139" s="1">
        <f>IF(Signals_EU!F139=1,Signals_EU!R139*Mapping!$C$11,IF(Signals_EU!F139=-1,-Signals_EU!S139*Mapping!$C$11,0))</f>
        <v>0</v>
      </c>
      <c r="L139" s="1">
        <f>IF(Signals_EU!N139=1,Signals_EU!R139*Mapping!$C$12,IF(Signals_EU!N139=-1,-Signals_EU!S139*Mapping!$C$12,0))</f>
        <v>-5.000000000000001E-2</v>
      </c>
      <c r="M139" s="1">
        <f>IF(Signals_EU!I139=1,Signals_EU!R139*Mapping!$C$13,IF(Signals_EU!I139=-1,-Signals_EU!S139*Mapping!$C$13,0))</f>
        <v>0</v>
      </c>
      <c r="N139" s="1">
        <f>IF(Signals_EU!E139=1,Signals_EU!R139*Mapping!$C$14,IF(Signals_EU!E139=-1,-Signals_EU!S139*Mapping!$C$14,0))</f>
        <v>-5.000000000000001E-2</v>
      </c>
      <c r="O139" s="1">
        <f>0</f>
        <v>0</v>
      </c>
      <c r="P139" s="1">
        <f>0</f>
        <v>0</v>
      </c>
      <c r="Q139" s="1">
        <f>IF(Signals_EU!J139=1,Signals_EU!R139*Mapping!$C$17,IF(Signals_EU!J139=-1,-Signals_EU!S139*Mapping!$C$17,0))</f>
        <v>0</v>
      </c>
      <c r="R139" s="1">
        <f>IF(Signals_EU!K139=1,Signals_EU!R139*Mapping!$C$18,IF(Signals_EU!K139=-1,-Signals_EU!S139*Mapping!$C$18,0))</f>
        <v>0</v>
      </c>
      <c r="S139" s="1">
        <f>IF(Signals_EU!M139=1,Signals_EU!R139*Mapping!$C$19,IF(Signals_EU!M139=-1,-Signals_EU!S139*Mapping!$C$19,0))</f>
        <v>0</v>
      </c>
      <c r="T139" s="1">
        <f>IF(Signals_EU!L139=1,Signals_EU!R139*Mapping!$C$20,IF(Signals_EU!L139=-1,-Signals_EU!S139*Mapping!$C$20,0))</f>
        <v>-5.000000000000001E-2</v>
      </c>
      <c r="U139" s="1">
        <f t="shared" si="2"/>
        <v>0</v>
      </c>
    </row>
    <row r="140" spans="1:21">
      <c r="A140" s="5">
        <f>Signals_EU!B140</f>
        <v>43252</v>
      </c>
      <c r="B140" s="1">
        <f>IF(Signals_EU!O140=1,Signals_EU!R140*Mapping!$C$2,IF(Signals_EU!O140=-1,-Signals_EU!S140*Mapping!$C$2,0))</f>
        <v>0</v>
      </c>
      <c r="C140" s="1">
        <f>IF(Signals_EU!F140=1,Signals_EU!R140*Mapping!$C$3,IF(Signals_EU!F140=-1,-Signals_EU!S140*Mapping!$C$3,0))</f>
        <v>0</v>
      </c>
      <c r="D140" s="1">
        <f>IF(Signals_EU!C140=1,Signals_EU!R140*Mapping!$C$4,IF(Signals_EU!C140=-1,-Signals_EU!S140*Mapping!$C$4,0))</f>
        <v>2.5000000000000005E-2</v>
      </c>
      <c r="E140" s="1">
        <f>IF(Signals_EU!C140=1,Signals_EU!R140*Mapping!$C$5,IF(Signals_EU!C140=-1,-Signals_EU!S140*Mapping!$C$5,0))</f>
        <v>2.5000000000000005E-2</v>
      </c>
      <c r="F140" s="1">
        <f>IF(Signals_EU!H140=1,Signals_EU!R140*Mapping!$C$6,IF(Signals_EU!H140=-1,-Signals_EU!S140*Mapping!$C$6,0))</f>
        <v>1.0000000000000002E-2</v>
      </c>
      <c r="G140" s="1">
        <f>IF(Signals_EU!F140=1,Signals_EU!R140*Mapping!$C$7,IF(Signals_EU!F140=-1,-Signals_EU!S140*Mapping!$C$7,0))</f>
        <v>0</v>
      </c>
      <c r="H140" s="1">
        <f>IF(Signals_EU!D140=1,Signals_EU!R140*Mapping!$C$8,IF(Signals_EU!D140=-1,-Signals_EU!S140*Mapping!$C$8,0))</f>
        <v>5.000000000000001E-2</v>
      </c>
      <c r="I140" s="1">
        <f>IF(Signals_EU!G140=1,Signals_EU!R140*Mapping!$C$9,IF(Signals_EU!G140=-1,-Signals_EU!S140*Mapping!$C$9,0))</f>
        <v>0</v>
      </c>
      <c r="J140" s="1">
        <f>IF(Signals_EU!H140=1,Signals_EU!R140*Mapping!$C$10,IF(Signals_EU!H140=-1,-Signals_EU!S140*Mapping!$C$10,0))</f>
        <v>4.0000000000000008E-2</v>
      </c>
      <c r="K140" s="1">
        <f>IF(Signals_EU!F140=1,Signals_EU!R140*Mapping!$C$11,IF(Signals_EU!F140=-1,-Signals_EU!S140*Mapping!$C$11,0))</f>
        <v>0</v>
      </c>
      <c r="L140" s="1">
        <f>IF(Signals_EU!N140=1,Signals_EU!R140*Mapping!$C$12,IF(Signals_EU!N140=-1,-Signals_EU!S140*Mapping!$C$12,0))</f>
        <v>-5.000000000000001E-2</v>
      </c>
      <c r="M140" s="1">
        <f>IF(Signals_EU!I140=1,Signals_EU!R140*Mapping!$C$13,IF(Signals_EU!I140=-1,-Signals_EU!S140*Mapping!$C$13,0))</f>
        <v>0</v>
      </c>
      <c r="N140" s="1">
        <f>IF(Signals_EU!E140=1,Signals_EU!R140*Mapping!$C$14,IF(Signals_EU!E140=-1,-Signals_EU!S140*Mapping!$C$14,0))</f>
        <v>-5.000000000000001E-2</v>
      </c>
      <c r="O140" s="1">
        <f>0</f>
        <v>0</v>
      </c>
      <c r="P140" s="1">
        <f>0</f>
        <v>0</v>
      </c>
      <c r="Q140" s="1">
        <f>IF(Signals_EU!J140=1,Signals_EU!R140*Mapping!$C$17,IF(Signals_EU!J140=-1,-Signals_EU!S140*Mapping!$C$17,0))</f>
        <v>0</v>
      </c>
      <c r="R140" s="1">
        <f>IF(Signals_EU!K140=1,Signals_EU!R140*Mapping!$C$18,IF(Signals_EU!K140=-1,-Signals_EU!S140*Mapping!$C$18,0))</f>
        <v>-5.000000000000001E-2</v>
      </c>
      <c r="S140" s="1">
        <f>IF(Signals_EU!M140=1,Signals_EU!R140*Mapping!$C$19,IF(Signals_EU!M140=-1,-Signals_EU!S140*Mapping!$C$19,0))</f>
        <v>0</v>
      </c>
      <c r="T140" s="1">
        <f>IF(Signals_EU!L140=1,Signals_EU!R140*Mapping!$C$20,IF(Signals_EU!L140=-1,-Signals_EU!S140*Mapping!$C$20,0))</f>
        <v>0</v>
      </c>
      <c r="U140" s="1">
        <f t="shared" si="2"/>
        <v>0</v>
      </c>
    </row>
    <row r="141" spans="1:21">
      <c r="A141" s="5">
        <f>Signals_EU!B141</f>
        <v>43282</v>
      </c>
      <c r="B141" s="1">
        <f>IF(Signals_EU!O141=1,Signals_EU!R141*Mapping!$C$2,IF(Signals_EU!O141=-1,-Signals_EU!S141*Mapping!$C$2,0))</f>
        <v>0</v>
      </c>
      <c r="C141" s="1">
        <f>IF(Signals_EU!F141=1,Signals_EU!R141*Mapping!$C$3,IF(Signals_EU!F141=-1,-Signals_EU!S141*Mapping!$C$3,0))</f>
        <v>-3.0000000000000006E-2</v>
      </c>
      <c r="D141" s="1">
        <f>IF(Signals_EU!C141=1,Signals_EU!R141*Mapping!$C$4,IF(Signals_EU!C141=-1,-Signals_EU!S141*Mapping!$C$4,0))</f>
        <v>2.5000000000000005E-2</v>
      </c>
      <c r="E141" s="1">
        <f>IF(Signals_EU!C141=1,Signals_EU!R141*Mapping!$C$5,IF(Signals_EU!C141=-1,-Signals_EU!S141*Mapping!$C$5,0))</f>
        <v>2.5000000000000005E-2</v>
      </c>
      <c r="F141" s="1">
        <f>IF(Signals_EU!H141=1,Signals_EU!R141*Mapping!$C$6,IF(Signals_EU!H141=-1,-Signals_EU!S141*Mapping!$C$6,0))</f>
        <v>1.0000000000000002E-2</v>
      </c>
      <c r="G141" s="1">
        <f>IF(Signals_EU!F141=1,Signals_EU!R141*Mapping!$C$7,IF(Signals_EU!F141=-1,-Signals_EU!S141*Mapping!$C$7,0))</f>
        <v>-1.0000000000000002E-2</v>
      </c>
      <c r="H141" s="1">
        <f>IF(Signals_EU!D141=1,Signals_EU!R141*Mapping!$C$8,IF(Signals_EU!D141=-1,-Signals_EU!S141*Mapping!$C$8,0))</f>
        <v>0</v>
      </c>
      <c r="I141" s="1">
        <f>IF(Signals_EU!G141=1,Signals_EU!R141*Mapping!$C$9,IF(Signals_EU!G141=-1,-Signals_EU!S141*Mapping!$C$9,0))</f>
        <v>0</v>
      </c>
      <c r="J141" s="1">
        <f>IF(Signals_EU!H141=1,Signals_EU!R141*Mapping!$C$10,IF(Signals_EU!H141=-1,-Signals_EU!S141*Mapping!$C$10,0))</f>
        <v>4.0000000000000008E-2</v>
      </c>
      <c r="K141" s="1">
        <f>IF(Signals_EU!F141=1,Signals_EU!R141*Mapping!$C$11,IF(Signals_EU!F141=-1,-Signals_EU!S141*Mapping!$C$11,0))</f>
        <v>-1.0000000000000002E-2</v>
      </c>
      <c r="L141" s="1">
        <f>IF(Signals_EU!N141=1,Signals_EU!R141*Mapping!$C$12,IF(Signals_EU!N141=-1,-Signals_EU!S141*Mapping!$C$12,0))</f>
        <v>0</v>
      </c>
      <c r="M141" s="1">
        <f>IF(Signals_EU!I141=1,Signals_EU!R141*Mapping!$C$13,IF(Signals_EU!I141=-1,-Signals_EU!S141*Mapping!$C$13,0))</f>
        <v>0</v>
      </c>
      <c r="N141" s="1">
        <f>IF(Signals_EU!E141=1,Signals_EU!R141*Mapping!$C$14,IF(Signals_EU!E141=-1,-Signals_EU!S141*Mapping!$C$14,0))</f>
        <v>5.000000000000001E-2</v>
      </c>
      <c r="O141" s="1">
        <f>0</f>
        <v>0</v>
      </c>
      <c r="P141" s="1">
        <f>0</f>
        <v>0</v>
      </c>
      <c r="Q141" s="1">
        <f>IF(Signals_EU!J141=1,Signals_EU!R141*Mapping!$C$17,IF(Signals_EU!J141=-1,-Signals_EU!S141*Mapping!$C$17,0))</f>
        <v>0</v>
      </c>
      <c r="R141" s="1">
        <f>IF(Signals_EU!K141=1,Signals_EU!R141*Mapping!$C$18,IF(Signals_EU!K141=-1,-Signals_EU!S141*Mapping!$C$18,0))</f>
        <v>-5.000000000000001E-2</v>
      </c>
      <c r="S141" s="1">
        <f>IF(Signals_EU!M141=1,Signals_EU!R141*Mapping!$C$19,IF(Signals_EU!M141=-1,-Signals_EU!S141*Mapping!$C$19,0))</f>
        <v>0</v>
      </c>
      <c r="T141" s="1">
        <f>IF(Signals_EU!L141=1,Signals_EU!R141*Mapping!$C$20,IF(Signals_EU!L141=-1,-Signals_EU!S141*Mapping!$C$20,0))</f>
        <v>-5.000000000000001E-2</v>
      </c>
      <c r="U141" s="1">
        <f t="shared" si="2"/>
        <v>0</v>
      </c>
    </row>
    <row r="142" spans="1:21">
      <c r="A142" s="5">
        <f>Signals_EU!B142</f>
        <v>43313</v>
      </c>
      <c r="B142" s="1">
        <f>IF(Signals_EU!O142=1,Signals_EU!R142*Mapping!$C$2,IF(Signals_EU!O142=-1,-Signals_EU!S142*Mapping!$C$2,0))</f>
        <v>-5.000000000000001E-2</v>
      </c>
      <c r="C142" s="1">
        <f>IF(Signals_EU!F142=1,Signals_EU!R142*Mapping!$C$3,IF(Signals_EU!F142=-1,-Signals_EU!S142*Mapping!$C$3,0))</f>
        <v>-3.0000000000000006E-2</v>
      </c>
      <c r="D142" s="1">
        <f>IF(Signals_EU!C142=1,Signals_EU!R142*Mapping!$C$4,IF(Signals_EU!C142=-1,-Signals_EU!S142*Mapping!$C$4,0))</f>
        <v>0</v>
      </c>
      <c r="E142" s="1">
        <f>IF(Signals_EU!C142=1,Signals_EU!R142*Mapping!$C$5,IF(Signals_EU!C142=-1,-Signals_EU!S142*Mapping!$C$5,0))</f>
        <v>0</v>
      </c>
      <c r="F142" s="1">
        <f>IF(Signals_EU!H142=1,Signals_EU!R142*Mapping!$C$6,IF(Signals_EU!H142=-1,-Signals_EU!S142*Mapping!$C$6,0))</f>
        <v>1.0000000000000002E-2</v>
      </c>
      <c r="G142" s="1">
        <f>IF(Signals_EU!F142=1,Signals_EU!R142*Mapping!$C$7,IF(Signals_EU!F142=-1,-Signals_EU!S142*Mapping!$C$7,0))</f>
        <v>-1.0000000000000002E-2</v>
      </c>
      <c r="H142" s="1">
        <f>IF(Signals_EU!D142=1,Signals_EU!R142*Mapping!$C$8,IF(Signals_EU!D142=-1,-Signals_EU!S142*Mapping!$C$8,0))</f>
        <v>0</v>
      </c>
      <c r="I142" s="1">
        <f>IF(Signals_EU!G142=1,Signals_EU!R142*Mapping!$C$9,IF(Signals_EU!G142=-1,-Signals_EU!S142*Mapping!$C$9,0))</f>
        <v>0</v>
      </c>
      <c r="J142" s="1">
        <f>IF(Signals_EU!H142=1,Signals_EU!R142*Mapping!$C$10,IF(Signals_EU!H142=-1,-Signals_EU!S142*Mapping!$C$10,0))</f>
        <v>4.0000000000000008E-2</v>
      </c>
      <c r="K142" s="1">
        <f>IF(Signals_EU!F142=1,Signals_EU!R142*Mapping!$C$11,IF(Signals_EU!F142=-1,-Signals_EU!S142*Mapping!$C$11,0))</f>
        <v>-1.0000000000000002E-2</v>
      </c>
      <c r="L142" s="1">
        <f>IF(Signals_EU!N142=1,Signals_EU!R142*Mapping!$C$12,IF(Signals_EU!N142=-1,-Signals_EU!S142*Mapping!$C$12,0))</f>
        <v>0</v>
      </c>
      <c r="M142" s="1">
        <f>IF(Signals_EU!I142=1,Signals_EU!R142*Mapping!$C$13,IF(Signals_EU!I142=-1,-Signals_EU!S142*Mapping!$C$13,0))</f>
        <v>0</v>
      </c>
      <c r="N142" s="1">
        <f>IF(Signals_EU!E142=1,Signals_EU!R142*Mapping!$C$14,IF(Signals_EU!E142=-1,-Signals_EU!S142*Mapping!$C$14,0))</f>
        <v>5.000000000000001E-2</v>
      </c>
      <c r="O142" s="1">
        <f>0</f>
        <v>0</v>
      </c>
      <c r="P142" s="1">
        <f>0</f>
        <v>0</v>
      </c>
      <c r="Q142" s="1">
        <f>IF(Signals_EU!J142=1,Signals_EU!R142*Mapping!$C$17,IF(Signals_EU!J142=-1,-Signals_EU!S142*Mapping!$C$17,0))</f>
        <v>5.000000000000001E-2</v>
      </c>
      <c r="R142" s="1">
        <f>IF(Signals_EU!K142=1,Signals_EU!R142*Mapping!$C$18,IF(Signals_EU!K142=-1,-Signals_EU!S142*Mapping!$C$18,0))</f>
        <v>-5.000000000000001E-2</v>
      </c>
      <c r="S142" s="1">
        <f>IF(Signals_EU!M142=1,Signals_EU!R142*Mapping!$C$19,IF(Signals_EU!M142=-1,-Signals_EU!S142*Mapping!$C$19,0))</f>
        <v>0</v>
      </c>
      <c r="T142" s="1">
        <f>IF(Signals_EU!L142=1,Signals_EU!R142*Mapping!$C$20,IF(Signals_EU!L142=-1,-Signals_EU!S142*Mapping!$C$20,0))</f>
        <v>0</v>
      </c>
      <c r="U142" s="1">
        <f t="shared" si="2"/>
        <v>0</v>
      </c>
    </row>
    <row r="143" spans="1:21">
      <c r="A143" s="5">
        <f>Signals_EU!B143</f>
        <v>43344</v>
      </c>
      <c r="B143" s="1">
        <f>IF(Signals_EU!O143=1,Signals_EU!R143*Mapping!$C$2,IF(Signals_EU!O143=-1,-Signals_EU!S143*Mapping!$C$2,0))</f>
        <v>-5.000000000000001E-2</v>
      </c>
      <c r="C143" s="1">
        <f>IF(Signals_EU!F143=1,Signals_EU!R143*Mapping!$C$3,IF(Signals_EU!F143=-1,-Signals_EU!S143*Mapping!$C$3,0))</f>
        <v>-3.0000000000000006E-2</v>
      </c>
      <c r="D143" s="1">
        <f>IF(Signals_EU!C143=1,Signals_EU!R143*Mapping!$C$4,IF(Signals_EU!C143=-1,-Signals_EU!S143*Mapping!$C$4,0))</f>
        <v>0</v>
      </c>
      <c r="E143" s="1">
        <f>IF(Signals_EU!C143=1,Signals_EU!R143*Mapping!$C$5,IF(Signals_EU!C143=-1,-Signals_EU!S143*Mapping!$C$5,0))</f>
        <v>0</v>
      </c>
      <c r="F143" s="1">
        <f>IF(Signals_EU!H143=1,Signals_EU!R143*Mapping!$C$6,IF(Signals_EU!H143=-1,-Signals_EU!S143*Mapping!$C$6,0))</f>
        <v>1.0000000000000002E-2</v>
      </c>
      <c r="G143" s="1">
        <f>IF(Signals_EU!F143=1,Signals_EU!R143*Mapping!$C$7,IF(Signals_EU!F143=-1,-Signals_EU!S143*Mapping!$C$7,0))</f>
        <v>-1.0000000000000002E-2</v>
      </c>
      <c r="H143" s="1">
        <f>IF(Signals_EU!D143=1,Signals_EU!R143*Mapping!$C$8,IF(Signals_EU!D143=-1,-Signals_EU!S143*Mapping!$C$8,0))</f>
        <v>0</v>
      </c>
      <c r="I143" s="1">
        <f>IF(Signals_EU!G143=1,Signals_EU!R143*Mapping!$C$9,IF(Signals_EU!G143=-1,-Signals_EU!S143*Mapping!$C$9,0))</f>
        <v>0</v>
      </c>
      <c r="J143" s="1">
        <f>IF(Signals_EU!H143=1,Signals_EU!R143*Mapping!$C$10,IF(Signals_EU!H143=-1,-Signals_EU!S143*Mapping!$C$10,0))</f>
        <v>4.0000000000000008E-2</v>
      </c>
      <c r="K143" s="1">
        <f>IF(Signals_EU!F143=1,Signals_EU!R143*Mapping!$C$11,IF(Signals_EU!F143=-1,-Signals_EU!S143*Mapping!$C$11,0))</f>
        <v>-1.0000000000000002E-2</v>
      </c>
      <c r="L143" s="1">
        <f>IF(Signals_EU!N143=1,Signals_EU!R143*Mapping!$C$12,IF(Signals_EU!N143=-1,-Signals_EU!S143*Mapping!$C$12,0))</f>
        <v>0</v>
      </c>
      <c r="M143" s="1">
        <f>IF(Signals_EU!I143=1,Signals_EU!R143*Mapping!$C$13,IF(Signals_EU!I143=-1,-Signals_EU!S143*Mapping!$C$13,0))</f>
        <v>0</v>
      </c>
      <c r="N143" s="1">
        <f>IF(Signals_EU!E143=1,Signals_EU!R143*Mapping!$C$14,IF(Signals_EU!E143=-1,-Signals_EU!S143*Mapping!$C$14,0))</f>
        <v>5.000000000000001E-2</v>
      </c>
      <c r="O143" s="1">
        <f>0</f>
        <v>0</v>
      </c>
      <c r="P143" s="1">
        <f>0</f>
        <v>0</v>
      </c>
      <c r="Q143" s="1">
        <f>IF(Signals_EU!J143=1,Signals_EU!R143*Mapping!$C$17,IF(Signals_EU!J143=-1,-Signals_EU!S143*Mapping!$C$17,0))</f>
        <v>5.000000000000001E-2</v>
      </c>
      <c r="R143" s="1">
        <f>IF(Signals_EU!K143=1,Signals_EU!R143*Mapping!$C$18,IF(Signals_EU!K143=-1,-Signals_EU!S143*Mapping!$C$18,0))</f>
        <v>-5.000000000000001E-2</v>
      </c>
      <c r="S143" s="1">
        <f>IF(Signals_EU!M143=1,Signals_EU!R143*Mapping!$C$19,IF(Signals_EU!M143=-1,-Signals_EU!S143*Mapping!$C$19,0))</f>
        <v>0</v>
      </c>
      <c r="T143" s="1">
        <f>IF(Signals_EU!L143=1,Signals_EU!R143*Mapping!$C$20,IF(Signals_EU!L143=-1,-Signals_EU!S143*Mapping!$C$20,0))</f>
        <v>0</v>
      </c>
      <c r="U143" s="1">
        <f t="shared" si="2"/>
        <v>0</v>
      </c>
    </row>
    <row r="144" spans="1:21">
      <c r="A144" s="5">
        <f>Signals_EU!B144</f>
        <v>43374</v>
      </c>
      <c r="B144" s="1">
        <f>IF(Signals_EU!O144=1,Signals_EU!R144*Mapping!$C$2,IF(Signals_EU!O144=-1,-Signals_EU!S144*Mapping!$C$2,0))</f>
        <v>-5.000000000000001E-2</v>
      </c>
      <c r="C144" s="1">
        <f>IF(Signals_EU!F144=1,Signals_EU!R144*Mapping!$C$3,IF(Signals_EU!F144=-1,-Signals_EU!S144*Mapping!$C$3,0))</f>
        <v>0</v>
      </c>
      <c r="D144" s="1">
        <f>IF(Signals_EU!C144=1,Signals_EU!R144*Mapping!$C$4,IF(Signals_EU!C144=-1,-Signals_EU!S144*Mapping!$C$4,0))</f>
        <v>0</v>
      </c>
      <c r="E144" s="1">
        <f>IF(Signals_EU!C144=1,Signals_EU!R144*Mapping!$C$5,IF(Signals_EU!C144=-1,-Signals_EU!S144*Mapping!$C$5,0))</f>
        <v>0</v>
      </c>
      <c r="F144" s="1">
        <f>IF(Signals_EU!H144=1,Signals_EU!R144*Mapping!$C$6,IF(Signals_EU!H144=-1,-Signals_EU!S144*Mapping!$C$6,0))</f>
        <v>1.0000000000000002E-2</v>
      </c>
      <c r="G144" s="1">
        <f>IF(Signals_EU!F144=1,Signals_EU!R144*Mapping!$C$7,IF(Signals_EU!F144=-1,-Signals_EU!S144*Mapping!$C$7,0))</f>
        <v>0</v>
      </c>
      <c r="H144" s="1">
        <f>IF(Signals_EU!D144=1,Signals_EU!R144*Mapping!$C$8,IF(Signals_EU!D144=-1,-Signals_EU!S144*Mapping!$C$8,0))</f>
        <v>0</v>
      </c>
      <c r="I144" s="1">
        <f>IF(Signals_EU!G144=1,Signals_EU!R144*Mapping!$C$9,IF(Signals_EU!G144=-1,-Signals_EU!S144*Mapping!$C$9,0))</f>
        <v>0</v>
      </c>
      <c r="J144" s="1">
        <f>IF(Signals_EU!H144=1,Signals_EU!R144*Mapping!$C$10,IF(Signals_EU!H144=-1,-Signals_EU!S144*Mapping!$C$10,0))</f>
        <v>4.0000000000000008E-2</v>
      </c>
      <c r="K144" s="1">
        <f>IF(Signals_EU!F144=1,Signals_EU!R144*Mapping!$C$11,IF(Signals_EU!F144=-1,-Signals_EU!S144*Mapping!$C$11,0))</f>
        <v>0</v>
      </c>
      <c r="L144" s="1">
        <f>IF(Signals_EU!N144=1,Signals_EU!R144*Mapping!$C$12,IF(Signals_EU!N144=-1,-Signals_EU!S144*Mapping!$C$12,0))</f>
        <v>0</v>
      </c>
      <c r="M144" s="1">
        <f>IF(Signals_EU!I144=1,Signals_EU!R144*Mapping!$C$13,IF(Signals_EU!I144=-1,-Signals_EU!S144*Mapping!$C$13,0))</f>
        <v>5.000000000000001E-2</v>
      </c>
      <c r="N144" s="1">
        <f>IF(Signals_EU!E144=1,Signals_EU!R144*Mapping!$C$14,IF(Signals_EU!E144=-1,-Signals_EU!S144*Mapping!$C$14,0))</f>
        <v>5.000000000000001E-2</v>
      </c>
      <c r="O144" s="1">
        <f>0</f>
        <v>0</v>
      </c>
      <c r="P144" s="1">
        <f>0</f>
        <v>0</v>
      </c>
      <c r="Q144" s="1">
        <f>IF(Signals_EU!J144=1,Signals_EU!R144*Mapping!$C$17,IF(Signals_EU!J144=-1,-Signals_EU!S144*Mapping!$C$17,0))</f>
        <v>0</v>
      </c>
      <c r="R144" s="1">
        <f>IF(Signals_EU!K144=1,Signals_EU!R144*Mapping!$C$18,IF(Signals_EU!K144=-1,-Signals_EU!S144*Mapping!$C$18,0))</f>
        <v>-5.000000000000001E-2</v>
      </c>
      <c r="S144" s="1">
        <f>IF(Signals_EU!M144=1,Signals_EU!R144*Mapping!$C$19,IF(Signals_EU!M144=-1,-Signals_EU!S144*Mapping!$C$19,0))</f>
        <v>0</v>
      </c>
      <c r="T144" s="1">
        <f>IF(Signals_EU!L144=1,Signals_EU!R144*Mapping!$C$20,IF(Signals_EU!L144=-1,-Signals_EU!S144*Mapping!$C$20,0))</f>
        <v>-5.000000000000001E-2</v>
      </c>
      <c r="U144" s="1">
        <f t="shared" si="2"/>
        <v>0</v>
      </c>
    </row>
    <row r="145" spans="1:21">
      <c r="A145" s="5">
        <f>Signals_EU!B145</f>
        <v>43405</v>
      </c>
      <c r="B145" s="1">
        <f>IF(Signals_EU!O145=1,Signals_EU!R145*Mapping!$C$2,IF(Signals_EU!O145=-1,-Signals_EU!S145*Mapping!$C$2,0))</f>
        <v>-5.000000000000001E-2</v>
      </c>
      <c r="C145" s="1">
        <f>IF(Signals_EU!F145=1,Signals_EU!R145*Mapping!$C$3,IF(Signals_EU!F145=-1,-Signals_EU!S145*Mapping!$C$3,0))</f>
        <v>0</v>
      </c>
      <c r="D145" s="1">
        <f>IF(Signals_EU!C145=1,Signals_EU!R145*Mapping!$C$4,IF(Signals_EU!C145=-1,-Signals_EU!S145*Mapping!$C$4,0))</f>
        <v>2.5000000000000005E-2</v>
      </c>
      <c r="E145" s="1">
        <f>IF(Signals_EU!C145=1,Signals_EU!R145*Mapping!$C$5,IF(Signals_EU!C145=-1,-Signals_EU!S145*Mapping!$C$5,0))</f>
        <v>2.5000000000000005E-2</v>
      </c>
      <c r="F145" s="1">
        <f>IF(Signals_EU!H145=1,Signals_EU!R145*Mapping!$C$6,IF(Signals_EU!H145=-1,-Signals_EU!S145*Mapping!$C$6,0))</f>
        <v>0</v>
      </c>
      <c r="G145" s="1">
        <f>IF(Signals_EU!F145=1,Signals_EU!R145*Mapping!$C$7,IF(Signals_EU!F145=-1,-Signals_EU!S145*Mapping!$C$7,0))</f>
        <v>0</v>
      </c>
      <c r="H145" s="1">
        <f>IF(Signals_EU!D145=1,Signals_EU!R145*Mapping!$C$8,IF(Signals_EU!D145=-1,-Signals_EU!S145*Mapping!$C$8,0))</f>
        <v>0</v>
      </c>
      <c r="I145" s="1">
        <f>IF(Signals_EU!G145=1,Signals_EU!R145*Mapping!$C$9,IF(Signals_EU!G145=-1,-Signals_EU!S145*Mapping!$C$9,0))</f>
        <v>0</v>
      </c>
      <c r="J145" s="1">
        <f>IF(Signals_EU!H145=1,Signals_EU!R145*Mapping!$C$10,IF(Signals_EU!H145=-1,-Signals_EU!S145*Mapping!$C$10,0))</f>
        <v>0</v>
      </c>
      <c r="K145" s="1">
        <f>IF(Signals_EU!F145=1,Signals_EU!R145*Mapping!$C$11,IF(Signals_EU!F145=-1,-Signals_EU!S145*Mapping!$C$11,0))</f>
        <v>0</v>
      </c>
      <c r="L145" s="1">
        <f>IF(Signals_EU!N145=1,Signals_EU!R145*Mapping!$C$12,IF(Signals_EU!N145=-1,-Signals_EU!S145*Mapping!$C$12,0))</f>
        <v>0</v>
      </c>
      <c r="M145" s="1">
        <f>IF(Signals_EU!I145=1,Signals_EU!R145*Mapping!$C$13,IF(Signals_EU!I145=-1,-Signals_EU!S145*Mapping!$C$13,0))</f>
        <v>5.000000000000001E-2</v>
      </c>
      <c r="N145" s="1">
        <f>IF(Signals_EU!E145=1,Signals_EU!R145*Mapping!$C$14,IF(Signals_EU!E145=-1,-Signals_EU!S145*Mapping!$C$14,0))</f>
        <v>5.000000000000001E-2</v>
      </c>
      <c r="O145" s="1">
        <f>0</f>
        <v>0</v>
      </c>
      <c r="P145" s="1">
        <f>0</f>
        <v>0</v>
      </c>
      <c r="Q145" s="1">
        <f>IF(Signals_EU!J145=1,Signals_EU!R145*Mapping!$C$17,IF(Signals_EU!J145=-1,-Signals_EU!S145*Mapping!$C$17,0))</f>
        <v>-5.000000000000001E-2</v>
      </c>
      <c r="R145" s="1">
        <f>IF(Signals_EU!K145=1,Signals_EU!R145*Mapping!$C$18,IF(Signals_EU!K145=-1,-Signals_EU!S145*Mapping!$C$18,0))</f>
        <v>-5.000000000000001E-2</v>
      </c>
      <c r="S145" s="1">
        <f>IF(Signals_EU!M145=1,Signals_EU!R145*Mapping!$C$19,IF(Signals_EU!M145=-1,-Signals_EU!S145*Mapping!$C$19,0))</f>
        <v>0</v>
      </c>
      <c r="T145" s="1">
        <f>IF(Signals_EU!L145=1,Signals_EU!R145*Mapping!$C$20,IF(Signals_EU!L145=-1,-Signals_EU!S145*Mapping!$C$20,0))</f>
        <v>0</v>
      </c>
      <c r="U145" s="1">
        <f t="shared" si="2"/>
        <v>0</v>
      </c>
    </row>
    <row r="146" spans="1:21">
      <c r="A146" s="5">
        <f>Signals_EU!B146</f>
        <v>43435</v>
      </c>
      <c r="B146" s="1">
        <f>IF(Signals_EU!O146=1,Signals_EU!R146*Mapping!$C$2,IF(Signals_EU!O146=-1,-Signals_EU!S146*Mapping!$C$2,0))</f>
        <v>0</v>
      </c>
      <c r="C146" s="1">
        <f>IF(Signals_EU!F146=1,Signals_EU!R146*Mapping!$C$3,IF(Signals_EU!F146=-1,-Signals_EU!S146*Mapping!$C$3,0))</f>
        <v>0</v>
      </c>
      <c r="D146" s="1">
        <f>IF(Signals_EU!C146=1,Signals_EU!R146*Mapping!$C$4,IF(Signals_EU!C146=-1,-Signals_EU!S146*Mapping!$C$4,0))</f>
        <v>0</v>
      </c>
      <c r="E146" s="1">
        <f>IF(Signals_EU!C146=1,Signals_EU!R146*Mapping!$C$5,IF(Signals_EU!C146=-1,-Signals_EU!S146*Mapping!$C$5,0))</f>
        <v>0</v>
      </c>
      <c r="F146" s="1">
        <f>IF(Signals_EU!H146=1,Signals_EU!R146*Mapping!$C$6,IF(Signals_EU!H146=-1,-Signals_EU!S146*Mapping!$C$6,0))</f>
        <v>-1.0000000000000002E-2</v>
      </c>
      <c r="G146" s="1">
        <f>IF(Signals_EU!F146=1,Signals_EU!R146*Mapping!$C$7,IF(Signals_EU!F146=-1,-Signals_EU!S146*Mapping!$C$7,0))</f>
        <v>0</v>
      </c>
      <c r="H146" s="1">
        <f>IF(Signals_EU!D146=1,Signals_EU!R146*Mapping!$C$8,IF(Signals_EU!D146=-1,-Signals_EU!S146*Mapping!$C$8,0))</f>
        <v>0</v>
      </c>
      <c r="I146" s="1">
        <f>IF(Signals_EU!G146=1,Signals_EU!R146*Mapping!$C$9,IF(Signals_EU!G146=-1,-Signals_EU!S146*Mapping!$C$9,0))</f>
        <v>5.000000000000001E-2</v>
      </c>
      <c r="J146" s="1">
        <f>IF(Signals_EU!H146=1,Signals_EU!R146*Mapping!$C$10,IF(Signals_EU!H146=-1,-Signals_EU!S146*Mapping!$C$10,0))</f>
        <v>-4.0000000000000008E-2</v>
      </c>
      <c r="K146" s="1">
        <f>IF(Signals_EU!F146=1,Signals_EU!R146*Mapping!$C$11,IF(Signals_EU!F146=-1,-Signals_EU!S146*Mapping!$C$11,0))</f>
        <v>0</v>
      </c>
      <c r="L146" s="1">
        <f>IF(Signals_EU!N146=1,Signals_EU!R146*Mapping!$C$12,IF(Signals_EU!N146=-1,-Signals_EU!S146*Mapping!$C$12,0))</f>
        <v>5.000000000000001E-2</v>
      </c>
      <c r="M146" s="1">
        <f>IF(Signals_EU!I146=1,Signals_EU!R146*Mapping!$C$13,IF(Signals_EU!I146=-1,-Signals_EU!S146*Mapping!$C$13,0))</f>
        <v>5.000000000000001E-2</v>
      </c>
      <c r="N146" s="1">
        <f>IF(Signals_EU!E146=1,Signals_EU!R146*Mapping!$C$14,IF(Signals_EU!E146=-1,-Signals_EU!S146*Mapping!$C$14,0))</f>
        <v>0</v>
      </c>
      <c r="O146" s="1">
        <f>0</f>
        <v>0</v>
      </c>
      <c r="P146" s="1">
        <f>0</f>
        <v>0</v>
      </c>
      <c r="Q146" s="1">
        <f>IF(Signals_EU!J146=1,Signals_EU!R146*Mapping!$C$17,IF(Signals_EU!J146=-1,-Signals_EU!S146*Mapping!$C$17,0))</f>
        <v>0</v>
      </c>
      <c r="R146" s="1">
        <f>IF(Signals_EU!K146=1,Signals_EU!R146*Mapping!$C$18,IF(Signals_EU!K146=-1,-Signals_EU!S146*Mapping!$C$18,0))</f>
        <v>-5.000000000000001E-2</v>
      </c>
      <c r="S146" s="1">
        <f>IF(Signals_EU!M146=1,Signals_EU!R146*Mapping!$C$19,IF(Signals_EU!M146=-1,-Signals_EU!S146*Mapping!$C$19,0))</f>
        <v>0</v>
      </c>
      <c r="T146" s="1">
        <f>IF(Signals_EU!L146=1,Signals_EU!R146*Mapping!$C$20,IF(Signals_EU!L146=-1,-Signals_EU!S146*Mapping!$C$20,0))</f>
        <v>-5.000000000000001E-2</v>
      </c>
      <c r="U146" s="1">
        <f t="shared" si="2"/>
        <v>0</v>
      </c>
    </row>
    <row r="147" spans="1:21">
      <c r="A147" s="5">
        <f>Signals_EU!B147</f>
        <v>43466</v>
      </c>
      <c r="B147" s="1">
        <f>IF(Signals_EU!O147=1,Signals_EU!R147*Mapping!$C$2,IF(Signals_EU!O147=-1,-Signals_EU!S147*Mapping!$C$2,0))</f>
        <v>-5.000000000000001E-2</v>
      </c>
      <c r="C147" s="1">
        <f>IF(Signals_EU!F147=1,Signals_EU!R147*Mapping!$C$3,IF(Signals_EU!F147=-1,-Signals_EU!S147*Mapping!$C$3,0))</f>
        <v>-3.0000000000000006E-2</v>
      </c>
      <c r="D147" s="1">
        <f>IF(Signals_EU!C147=1,Signals_EU!R147*Mapping!$C$4,IF(Signals_EU!C147=-1,-Signals_EU!S147*Mapping!$C$4,0))</f>
        <v>-2.5000000000000005E-2</v>
      </c>
      <c r="E147" s="1">
        <f>IF(Signals_EU!C147=1,Signals_EU!R147*Mapping!$C$5,IF(Signals_EU!C147=-1,-Signals_EU!S147*Mapping!$C$5,0))</f>
        <v>-2.5000000000000005E-2</v>
      </c>
      <c r="F147" s="1">
        <f>IF(Signals_EU!H147=1,Signals_EU!R147*Mapping!$C$6,IF(Signals_EU!H147=-1,-Signals_EU!S147*Mapping!$C$6,0))</f>
        <v>0</v>
      </c>
      <c r="G147" s="1">
        <f>IF(Signals_EU!F147=1,Signals_EU!R147*Mapping!$C$7,IF(Signals_EU!F147=-1,-Signals_EU!S147*Mapping!$C$7,0))</f>
        <v>-1.0000000000000002E-2</v>
      </c>
      <c r="H147" s="1">
        <f>IF(Signals_EU!D147=1,Signals_EU!R147*Mapping!$C$8,IF(Signals_EU!D147=-1,-Signals_EU!S147*Mapping!$C$8,0))</f>
        <v>0</v>
      </c>
      <c r="I147" s="1">
        <f>IF(Signals_EU!G147=1,Signals_EU!R147*Mapping!$C$9,IF(Signals_EU!G147=-1,-Signals_EU!S147*Mapping!$C$9,0))</f>
        <v>0</v>
      </c>
      <c r="J147" s="1">
        <f>IF(Signals_EU!H147=1,Signals_EU!R147*Mapping!$C$10,IF(Signals_EU!H147=-1,-Signals_EU!S147*Mapping!$C$10,0))</f>
        <v>0</v>
      </c>
      <c r="K147" s="1">
        <f>IF(Signals_EU!F147=1,Signals_EU!R147*Mapping!$C$11,IF(Signals_EU!F147=-1,-Signals_EU!S147*Mapping!$C$11,0))</f>
        <v>-1.0000000000000002E-2</v>
      </c>
      <c r="L147" s="1">
        <f>IF(Signals_EU!N147=1,Signals_EU!R147*Mapping!$C$12,IF(Signals_EU!N147=-1,-Signals_EU!S147*Mapping!$C$12,0))</f>
        <v>0</v>
      </c>
      <c r="M147" s="1">
        <f>IF(Signals_EU!I147=1,Signals_EU!R147*Mapping!$C$13,IF(Signals_EU!I147=-1,-Signals_EU!S147*Mapping!$C$13,0))</f>
        <v>5.000000000000001E-2</v>
      </c>
      <c r="N147" s="1">
        <f>IF(Signals_EU!E147=1,Signals_EU!R147*Mapping!$C$14,IF(Signals_EU!E147=-1,-Signals_EU!S147*Mapping!$C$14,0))</f>
        <v>5.000000000000001E-2</v>
      </c>
      <c r="O147" s="1">
        <f>0</f>
        <v>0</v>
      </c>
      <c r="P147" s="1">
        <f>0</f>
        <v>0</v>
      </c>
      <c r="Q147" s="1">
        <f>IF(Signals_EU!J147=1,Signals_EU!R147*Mapping!$C$17,IF(Signals_EU!J147=-1,-Signals_EU!S147*Mapping!$C$17,0))</f>
        <v>0</v>
      </c>
      <c r="R147" s="1">
        <f>IF(Signals_EU!K147=1,Signals_EU!R147*Mapping!$C$18,IF(Signals_EU!K147=-1,-Signals_EU!S147*Mapping!$C$18,0))</f>
        <v>0</v>
      </c>
      <c r="S147" s="1">
        <f>IF(Signals_EU!M147=1,Signals_EU!R147*Mapping!$C$19,IF(Signals_EU!M147=-1,-Signals_EU!S147*Mapping!$C$19,0))</f>
        <v>0</v>
      </c>
      <c r="T147" s="1">
        <f>IF(Signals_EU!L147=1,Signals_EU!R147*Mapping!$C$20,IF(Signals_EU!L147=-1,-Signals_EU!S147*Mapping!$C$20,0))</f>
        <v>5.000000000000001E-2</v>
      </c>
      <c r="U147" s="1">
        <f t="shared" si="2"/>
        <v>0</v>
      </c>
    </row>
    <row r="148" spans="1:21">
      <c r="A148" s="5">
        <f>Signals_EU!B148</f>
        <v>43497</v>
      </c>
      <c r="B148" s="1">
        <f>IF(Signals_EU!O148=1,Signals_EU!R148*Mapping!$C$2,IF(Signals_EU!O148=-1,-Signals_EU!S148*Mapping!$C$2,0))</f>
        <v>-5.000000000000001E-2</v>
      </c>
      <c r="C148" s="1">
        <f>IF(Signals_EU!F148=1,Signals_EU!R148*Mapping!$C$3,IF(Signals_EU!F148=-1,-Signals_EU!S148*Mapping!$C$3,0))</f>
        <v>-3.0000000000000006E-2</v>
      </c>
      <c r="D148" s="1">
        <f>IF(Signals_EU!C148=1,Signals_EU!R148*Mapping!$C$4,IF(Signals_EU!C148=-1,-Signals_EU!S148*Mapping!$C$4,0))</f>
        <v>-2.5000000000000005E-2</v>
      </c>
      <c r="E148" s="1">
        <f>IF(Signals_EU!C148=1,Signals_EU!R148*Mapping!$C$5,IF(Signals_EU!C148=-1,-Signals_EU!S148*Mapping!$C$5,0))</f>
        <v>-2.5000000000000005E-2</v>
      </c>
      <c r="F148" s="1">
        <f>IF(Signals_EU!H148=1,Signals_EU!R148*Mapping!$C$6,IF(Signals_EU!H148=-1,-Signals_EU!S148*Mapping!$C$6,0))</f>
        <v>0</v>
      </c>
      <c r="G148" s="1">
        <f>IF(Signals_EU!F148=1,Signals_EU!R148*Mapping!$C$7,IF(Signals_EU!F148=-1,-Signals_EU!S148*Mapping!$C$7,0))</f>
        <v>-1.0000000000000002E-2</v>
      </c>
      <c r="H148" s="1">
        <f>IF(Signals_EU!D148=1,Signals_EU!R148*Mapping!$C$8,IF(Signals_EU!D148=-1,-Signals_EU!S148*Mapping!$C$8,0))</f>
        <v>0</v>
      </c>
      <c r="I148" s="1">
        <f>IF(Signals_EU!G148=1,Signals_EU!R148*Mapping!$C$9,IF(Signals_EU!G148=-1,-Signals_EU!S148*Mapping!$C$9,0))</f>
        <v>5.000000000000001E-2</v>
      </c>
      <c r="J148" s="1">
        <f>IF(Signals_EU!H148=1,Signals_EU!R148*Mapping!$C$10,IF(Signals_EU!H148=-1,-Signals_EU!S148*Mapping!$C$10,0))</f>
        <v>0</v>
      </c>
      <c r="K148" s="1">
        <f>IF(Signals_EU!F148=1,Signals_EU!R148*Mapping!$C$11,IF(Signals_EU!F148=-1,-Signals_EU!S148*Mapping!$C$11,0))</f>
        <v>-1.0000000000000002E-2</v>
      </c>
      <c r="L148" s="1">
        <f>IF(Signals_EU!N148=1,Signals_EU!R148*Mapping!$C$12,IF(Signals_EU!N148=-1,-Signals_EU!S148*Mapping!$C$12,0))</f>
        <v>0</v>
      </c>
      <c r="M148" s="1">
        <f>IF(Signals_EU!I148=1,Signals_EU!R148*Mapping!$C$13,IF(Signals_EU!I148=-1,-Signals_EU!S148*Mapping!$C$13,0))</f>
        <v>0</v>
      </c>
      <c r="N148" s="1">
        <f>IF(Signals_EU!E148=1,Signals_EU!R148*Mapping!$C$14,IF(Signals_EU!E148=-1,-Signals_EU!S148*Mapping!$C$14,0))</f>
        <v>5.000000000000001E-2</v>
      </c>
      <c r="O148" s="1">
        <f>0</f>
        <v>0</v>
      </c>
      <c r="P148" s="1">
        <f>0</f>
        <v>0</v>
      </c>
      <c r="Q148" s="1">
        <f>IF(Signals_EU!J148=1,Signals_EU!R148*Mapping!$C$17,IF(Signals_EU!J148=-1,-Signals_EU!S148*Mapping!$C$17,0))</f>
        <v>0</v>
      </c>
      <c r="R148" s="1">
        <f>IF(Signals_EU!K148=1,Signals_EU!R148*Mapping!$C$18,IF(Signals_EU!K148=-1,-Signals_EU!S148*Mapping!$C$18,0))</f>
        <v>0</v>
      </c>
      <c r="S148" s="1">
        <f>IF(Signals_EU!M148=1,Signals_EU!R148*Mapping!$C$19,IF(Signals_EU!M148=-1,-Signals_EU!S148*Mapping!$C$19,0))</f>
        <v>0</v>
      </c>
      <c r="T148" s="1">
        <f>IF(Signals_EU!L148=1,Signals_EU!R148*Mapping!$C$20,IF(Signals_EU!L148=-1,-Signals_EU!S148*Mapping!$C$20,0))</f>
        <v>5.000000000000001E-2</v>
      </c>
      <c r="U148" s="1">
        <f t="shared" si="2"/>
        <v>0</v>
      </c>
    </row>
    <row r="149" spans="1:21">
      <c r="A149" s="5">
        <f>Signals_EU!B149</f>
        <v>43525</v>
      </c>
      <c r="B149" s="1">
        <f>IF(Signals_EU!O149=1,Signals_EU!R149*Mapping!$C$2,IF(Signals_EU!O149=-1,-Signals_EU!S149*Mapping!$C$2,0))</f>
        <v>-5.000000000000001E-2</v>
      </c>
      <c r="C149" s="1">
        <f>IF(Signals_EU!F149=1,Signals_EU!R149*Mapping!$C$3,IF(Signals_EU!F149=-1,-Signals_EU!S149*Mapping!$C$3,0))</f>
        <v>0</v>
      </c>
      <c r="D149" s="1">
        <f>IF(Signals_EU!C149=1,Signals_EU!R149*Mapping!$C$4,IF(Signals_EU!C149=-1,-Signals_EU!S149*Mapping!$C$4,0))</f>
        <v>-2.5000000000000005E-2</v>
      </c>
      <c r="E149" s="1">
        <f>IF(Signals_EU!C149=1,Signals_EU!R149*Mapping!$C$5,IF(Signals_EU!C149=-1,-Signals_EU!S149*Mapping!$C$5,0))</f>
        <v>-2.5000000000000005E-2</v>
      </c>
      <c r="F149" s="1">
        <f>IF(Signals_EU!H149=1,Signals_EU!R149*Mapping!$C$6,IF(Signals_EU!H149=-1,-Signals_EU!S149*Mapping!$C$6,0))</f>
        <v>-1.0000000000000002E-2</v>
      </c>
      <c r="G149" s="1">
        <f>IF(Signals_EU!F149=1,Signals_EU!R149*Mapping!$C$7,IF(Signals_EU!F149=-1,-Signals_EU!S149*Mapping!$C$7,0))</f>
        <v>0</v>
      </c>
      <c r="H149" s="1">
        <f>IF(Signals_EU!D149=1,Signals_EU!R149*Mapping!$C$8,IF(Signals_EU!D149=-1,-Signals_EU!S149*Mapping!$C$8,0))</f>
        <v>0</v>
      </c>
      <c r="I149" s="1">
        <f>IF(Signals_EU!G149=1,Signals_EU!R149*Mapping!$C$9,IF(Signals_EU!G149=-1,-Signals_EU!S149*Mapping!$C$9,0))</f>
        <v>5.000000000000001E-2</v>
      </c>
      <c r="J149" s="1">
        <f>IF(Signals_EU!H149=1,Signals_EU!R149*Mapping!$C$10,IF(Signals_EU!H149=-1,-Signals_EU!S149*Mapping!$C$10,0))</f>
        <v>-4.0000000000000008E-2</v>
      </c>
      <c r="K149" s="1">
        <f>IF(Signals_EU!F149=1,Signals_EU!R149*Mapping!$C$11,IF(Signals_EU!F149=-1,-Signals_EU!S149*Mapping!$C$11,0))</f>
        <v>0</v>
      </c>
      <c r="L149" s="1">
        <f>IF(Signals_EU!N149=1,Signals_EU!R149*Mapping!$C$12,IF(Signals_EU!N149=-1,-Signals_EU!S149*Mapping!$C$12,0))</f>
        <v>0</v>
      </c>
      <c r="M149" s="1">
        <f>IF(Signals_EU!I149=1,Signals_EU!R149*Mapping!$C$13,IF(Signals_EU!I149=-1,-Signals_EU!S149*Mapping!$C$13,0))</f>
        <v>5.000000000000001E-2</v>
      </c>
      <c r="N149" s="1">
        <f>IF(Signals_EU!E149=1,Signals_EU!R149*Mapping!$C$14,IF(Signals_EU!E149=-1,-Signals_EU!S149*Mapping!$C$14,0))</f>
        <v>0</v>
      </c>
      <c r="O149" s="1">
        <f>0</f>
        <v>0</v>
      </c>
      <c r="P149" s="1">
        <f>0</f>
        <v>0</v>
      </c>
      <c r="Q149" s="1">
        <f>IF(Signals_EU!J149=1,Signals_EU!R149*Mapping!$C$17,IF(Signals_EU!J149=-1,-Signals_EU!S149*Mapping!$C$17,0))</f>
        <v>0</v>
      </c>
      <c r="R149" s="1">
        <f>IF(Signals_EU!K149=1,Signals_EU!R149*Mapping!$C$18,IF(Signals_EU!K149=-1,-Signals_EU!S149*Mapping!$C$18,0))</f>
        <v>0</v>
      </c>
      <c r="S149" s="1">
        <f>IF(Signals_EU!M149=1,Signals_EU!R149*Mapping!$C$19,IF(Signals_EU!M149=-1,-Signals_EU!S149*Mapping!$C$19,0))</f>
        <v>0</v>
      </c>
      <c r="T149" s="1">
        <f>IF(Signals_EU!L149=1,Signals_EU!R149*Mapping!$C$20,IF(Signals_EU!L149=-1,-Signals_EU!S149*Mapping!$C$20,0))</f>
        <v>5.000000000000001E-2</v>
      </c>
      <c r="U149" s="1">
        <f t="shared" si="2"/>
        <v>0</v>
      </c>
    </row>
    <row r="150" spans="1:21">
      <c r="A150" s="5">
        <f>Signals_EU!B150</f>
        <v>43556</v>
      </c>
      <c r="B150" s="1">
        <f>IF(Signals_EU!O150=1,Signals_EU!R150*Mapping!$C$2,IF(Signals_EU!O150=-1,-Signals_EU!S150*Mapping!$C$2,0))</f>
        <v>-5.000000000000001E-2</v>
      </c>
      <c r="C150" s="1">
        <f>IF(Signals_EU!F150=1,Signals_EU!R150*Mapping!$C$3,IF(Signals_EU!F150=-1,-Signals_EU!S150*Mapping!$C$3,0))</f>
        <v>0</v>
      </c>
      <c r="D150" s="1">
        <f>IF(Signals_EU!C150=1,Signals_EU!R150*Mapping!$C$4,IF(Signals_EU!C150=-1,-Signals_EU!S150*Mapping!$C$4,0))</f>
        <v>0</v>
      </c>
      <c r="E150" s="1">
        <f>IF(Signals_EU!C150=1,Signals_EU!R150*Mapping!$C$5,IF(Signals_EU!C150=-1,-Signals_EU!S150*Mapping!$C$5,0))</f>
        <v>0</v>
      </c>
      <c r="F150" s="1">
        <f>IF(Signals_EU!H150=1,Signals_EU!R150*Mapping!$C$6,IF(Signals_EU!H150=-1,-Signals_EU!S150*Mapping!$C$6,0))</f>
        <v>-1.0000000000000002E-2</v>
      </c>
      <c r="G150" s="1">
        <f>IF(Signals_EU!F150=1,Signals_EU!R150*Mapping!$C$7,IF(Signals_EU!F150=-1,-Signals_EU!S150*Mapping!$C$7,0))</f>
        <v>0</v>
      </c>
      <c r="H150" s="1">
        <f>IF(Signals_EU!D150=1,Signals_EU!R150*Mapping!$C$8,IF(Signals_EU!D150=-1,-Signals_EU!S150*Mapping!$C$8,0))</f>
        <v>0</v>
      </c>
      <c r="I150" s="1">
        <f>IF(Signals_EU!G150=1,Signals_EU!R150*Mapping!$C$9,IF(Signals_EU!G150=-1,-Signals_EU!S150*Mapping!$C$9,0))</f>
        <v>5.000000000000001E-2</v>
      </c>
      <c r="J150" s="1">
        <f>IF(Signals_EU!H150=1,Signals_EU!R150*Mapping!$C$10,IF(Signals_EU!H150=-1,-Signals_EU!S150*Mapping!$C$10,0))</f>
        <v>-4.0000000000000008E-2</v>
      </c>
      <c r="K150" s="1">
        <f>IF(Signals_EU!F150=1,Signals_EU!R150*Mapping!$C$11,IF(Signals_EU!F150=-1,-Signals_EU!S150*Mapping!$C$11,0))</f>
        <v>0</v>
      </c>
      <c r="L150" s="1">
        <f>IF(Signals_EU!N150=1,Signals_EU!R150*Mapping!$C$12,IF(Signals_EU!N150=-1,-Signals_EU!S150*Mapping!$C$12,0))</f>
        <v>0</v>
      </c>
      <c r="M150" s="1">
        <f>IF(Signals_EU!I150=1,Signals_EU!R150*Mapping!$C$13,IF(Signals_EU!I150=-1,-Signals_EU!S150*Mapping!$C$13,0))</f>
        <v>0</v>
      </c>
      <c r="N150" s="1">
        <f>IF(Signals_EU!E150=1,Signals_EU!R150*Mapping!$C$14,IF(Signals_EU!E150=-1,-Signals_EU!S150*Mapping!$C$14,0))</f>
        <v>5.000000000000001E-2</v>
      </c>
      <c r="O150" s="1">
        <f>0</f>
        <v>0</v>
      </c>
      <c r="P150" s="1">
        <f>0</f>
        <v>0</v>
      </c>
      <c r="Q150" s="1">
        <f>IF(Signals_EU!J150=1,Signals_EU!R150*Mapping!$C$17,IF(Signals_EU!J150=-1,-Signals_EU!S150*Mapping!$C$17,0))</f>
        <v>-5.000000000000001E-2</v>
      </c>
      <c r="R150" s="1">
        <f>IF(Signals_EU!K150=1,Signals_EU!R150*Mapping!$C$18,IF(Signals_EU!K150=-1,-Signals_EU!S150*Mapping!$C$18,0))</f>
        <v>0</v>
      </c>
      <c r="S150" s="1">
        <f>IF(Signals_EU!M150=1,Signals_EU!R150*Mapping!$C$19,IF(Signals_EU!M150=-1,-Signals_EU!S150*Mapping!$C$19,0))</f>
        <v>0</v>
      </c>
      <c r="T150" s="1">
        <f>IF(Signals_EU!L150=1,Signals_EU!R150*Mapping!$C$20,IF(Signals_EU!L150=-1,-Signals_EU!S150*Mapping!$C$20,0))</f>
        <v>5.000000000000001E-2</v>
      </c>
      <c r="U150" s="1">
        <f t="shared" si="2"/>
        <v>0</v>
      </c>
    </row>
    <row r="151" spans="1:21">
      <c r="A151" s="5">
        <f>Signals_EU!B151</f>
        <v>43586</v>
      </c>
      <c r="B151" s="1">
        <f>IF(Signals_EU!O151=1,Signals_EU!R151*Mapping!$C$2,IF(Signals_EU!O151=-1,-Signals_EU!S151*Mapping!$C$2,0))</f>
        <v>-5.000000000000001E-2</v>
      </c>
      <c r="C151" s="1">
        <f>IF(Signals_EU!F151=1,Signals_EU!R151*Mapping!$C$3,IF(Signals_EU!F151=-1,-Signals_EU!S151*Mapping!$C$3,0))</f>
        <v>0</v>
      </c>
      <c r="D151" s="1">
        <f>IF(Signals_EU!C151=1,Signals_EU!R151*Mapping!$C$4,IF(Signals_EU!C151=-1,-Signals_EU!S151*Mapping!$C$4,0))</f>
        <v>0</v>
      </c>
      <c r="E151" s="1">
        <f>IF(Signals_EU!C151=1,Signals_EU!R151*Mapping!$C$5,IF(Signals_EU!C151=-1,-Signals_EU!S151*Mapping!$C$5,0))</f>
        <v>0</v>
      </c>
      <c r="F151" s="1">
        <f>IF(Signals_EU!H151=1,Signals_EU!R151*Mapping!$C$6,IF(Signals_EU!H151=-1,-Signals_EU!S151*Mapping!$C$6,0))</f>
        <v>-1.0000000000000002E-2</v>
      </c>
      <c r="G151" s="1">
        <f>IF(Signals_EU!F151=1,Signals_EU!R151*Mapping!$C$7,IF(Signals_EU!F151=-1,-Signals_EU!S151*Mapping!$C$7,0))</f>
        <v>0</v>
      </c>
      <c r="H151" s="1">
        <f>IF(Signals_EU!D151=1,Signals_EU!R151*Mapping!$C$8,IF(Signals_EU!D151=-1,-Signals_EU!S151*Mapping!$C$8,0))</f>
        <v>0</v>
      </c>
      <c r="I151" s="1">
        <f>IF(Signals_EU!G151=1,Signals_EU!R151*Mapping!$C$9,IF(Signals_EU!G151=-1,-Signals_EU!S151*Mapping!$C$9,0))</f>
        <v>5.000000000000001E-2</v>
      </c>
      <c r="J151" s="1">
        <f>IF(Signals_EU!H151=1,Signals_EU!R151*Mapping!$C$10,IF(Signals_EU!H151=-1,-Signals_EU!S151*Mapping!$C$10,0))</f>
        <v>-4.0000000000000008E-2</v>
      </c>
      <c r="K151" s="1">
        <f>IF(Signals_EU!F151=1,Signals_EU!R151*Mapping!$C$11,IF(Signals_EU!F151=-1,-Signals_EU!S151*Mapping!$C$11,0))</f>
        <v>0</v>
      </c>
      <c r="L151" s="1">
        <f>IF(Signals_EU!N151=1,Signals_EU!R151*Mapping!$C$12,IF(Signals_EU!N151=-1,-Signals_EU!S151*Mapping!$C$12,0))</f>
        <v>0</v>
      </c>
      <c r="M151" s="1">
        <f>IF(Signals_EU!I151=1,Signals_EU!R151*Mapping!$C$13,IF(Signals_EU!I151=-1,-Signals_EU!S151*Mapping!$C$13,0))</f>
        <v>0</v>
      </c>
      <c r="N151" s="1">
        <f>IF(Signals_EU!E151=1,Signals_EU!R151*Mapping!$C$14,IF(Signals_EU!E151=-1,-Signals_EU!S151*Mapping!$C$14,0))</f>
        <v>5.000000000000001E-2</v>
      </c>
      <c r="O151" s="1">
        <f>0</f>
        <v>0</v>
      </c>
      <c r="P151" s="1">
        <f>0</f>
        <v>0</v>
      </c>
      <c r="Q151" s="1">
        <f>IF(Signals_EU!J151=1,Signals_EU!R151*Mapping!$C$17,IF(Signals_EU!J151=-1,-Signals_EU!S151*Mapping!$C$17,0))</f>
        <v>-5.000000000000001E-2</v>
      </c>
      <c r="R151" s="1">
        <f>IF(Signals_EU!K151=1,Signals_EU!R151*Mapping!$C$18,IF(Signals_EU!K151=-1,-Signals_EU!S151*Mapping!$C$18,0))</f>
        <v>0</v>
      </c>
      <c r="S151" s="1">
        <f>IF(Signals_EU!M151=1,Signals_EU!R151*Mapping!$C$19,IF(Signals_EU!M151=-1,-Signals_EU!S151*Mapping!$C$19,0))</f>
        <v>0</v>
      </c>
      <c r="T151" s="1">
        <f>IF(Signals_EU!L151=1,Signals_EU!R151*Mapping!$C$20,IF(Signals_EU!L151=-1,-Signals_EU!S151*Mapping!$C$20,0))</f>
        <v>5.000000000000001E-2</v>
      </c>
      <c r="U151" s="1">
        <f t="shared" si="2"/>
        <v>0</v>
      </c>
    </row>
    <row r="152" spans="1:21">
      <c r="A152" s="5">
        <f>Signals_EU!B152</f>
        <v>43617</v>
      </c>
      <c r="B152" s="1">
        <f>IF(Signals_EU!O152=1,Signals_EU!R152*Mapping!$C$2,IF(Signals_EU!O152=-1,-Signals_EU!S152*Mapping!$C$2,0))</f>
        <v>-5.000000000000001E-2</v>
      </c>
      <c r="C152" s="1">
        <f>IF(Signals_EU!F152=1,Signals_EU!R152*Mapping!$C$3,IF(Signals_EU!F152=-1,-Signals_EU!S152*Mapping!$C$3,0))</f>
        <v>0</v>
      </c>
      <c r="D152" s="1">
        <f>IF(Signals_EU!C152=1,Signals_EU!R152*Mapping!$C$4,IF(Signals_EU!C152=-1,-Signals_EU!S152*Mapping!$C$4,0))</f>
        <v>-2.5000000000000005E-2</v>
      </c>
      <c r="E152" s="1">
        <f>IF(Signals_EU!C152=1,Signals_EU!R152*Mapping!$C$5,IF(Signals_EU!C152=-1,-Signals_EU!S152*Mapping!$C$5,0))</f>
        <v>-2.5000000000000005E-2</v>
      </c>
      <c r="F152" s="1">
        <f>IF(Signals_EU!H152=1,Signals_EU!R152*Mapping!$C$6,IF(Signals_EU!H152=-1,-Signals_EU!S152*Mapping!$C$6,0))</f>
        <v>0</v>
      </c>
      <c r="G152" s="1">
        <f>IF(Signals_EU!F152=1,Signals_EU!R152*Mapping!$C$7,IF(Signals_EU!F152=-1,-Signals_EU!S152*Mapping!$C$7,0))</f>
        <v>0</v>
      </c>
      <c r="H152" s="1">
        <f>IF(Signals_EU!D152=1,Signals_EU!R152*Mapping!$C$8,IF(Signals_EU!D152=-1,-Signals_EU!S152*Mapping!$C$8,0))</f>
        <v>0</v>
      </c>
      <c r="I152" s="1">
        <f>IF(Signals_EU!G152=1,Signals_EU!R152*Mapping!$C$9,IF(Signals_EU!G152=-1,-Signals_EU!S152*Mapping!$C$9,0))</f>
        <v>0</v>
      </c>
      <c r="J152" s="1">
        <f>IF(Signals_EU!H152=1,Signals_EU!R152*Mapping!$C$10,IF(Signals_EU!H152=-1,-Signals_EU!S152*Mapping!$C$10,0))</f>
        <v>0</v>
      </c>
      <c r="K152" s="1">
        <f>IF(Signals_EU!F152=1,Signals_EU!R152*Mapping!$C$11,IF(Signals_EU!F152=-1,-Signals_EU!S152*Mapping!$C$11,0))</f>
        <v>0</v>
      </c>
      <c r="L152" s="1">
        <f>IF(Signals_EU!N152=1,Signals_EU!R152*Mapping!$C$12,IF(Signals_EU!N152=-1,-Signals_EU!S152*Mapping!$C$12,0))</f>
        <v>0</v>
      </c>
      <c r="M152" s="1">
        <f>IF(Signals_EU!I152=1,Signals_EU!R152*Mapping!$C$13,IF(Signals_EU!I152=-1,-Signals_EU!S152*Mapping!$C$13,0))</f>
        <v>5.000000000000001E-2</v>
      </c>
      <c r="N152" s="1">
        <f>IF(Signals_EU!E152=1,Signals_EU!R152*Mapping!$C$14,IF(Signals_EU!E152=-1,-Signals_EU!S152*Mapping!$C$14,0))</f>
        <v>5.000000000000001E-2</v>
      </c>
      <c r="O152" s="1">
        <f>0</f>
        <v>0</v>
      </c>
      <c r="P152" s="1">
        <f>0</f>
        <v>0</v>
      </c>
      <c r="Q152" s="1">
        <f>IF(Signals_EU!J152=1,Signals_EU!R152*Mapping!$C$17,IF(Signals_EU!J152=-1,-Signals_EU!S152*Mapping!$C$17,0))</f>
        <v>0</v>
      </c>
      <c r="R152" s="1">
        <f>IF(Signals_EU!K152=1,Signals_EU!R152*Mapping!$C$18,IF(Signals_EU!K152=-1,-Signals_EU!S152*Mapping!$C$18,0))</f>
        <v>-5.000000000000001E-2</v>
      </c>
      <c r="S152" s="1">
        <f>IF(Signals_EU!M152=1,Signals_EU!R152*Mapping!$C$19,IF(Signals_EU!M152=-1,-Signals_EU!S152*Mapping!$C$19,0))</f>
        <v>0</v>
      </c>
      <c r="T152" s="1">
        <f>IF(Signals_EU!L152=1,Signals_EU!R152*Mapping!$C$20,IF(Signals_EU!L152=-1,-Signals_EU!S152*Mapping!$C$20,0))</f>
        <v>5.000000000000001E-2</v>
      </c>
      <c r="U152" s="1">
        <f t="shared" si="2"/>
        <v>0</v>
      </c>
    </row>
    <row r="153" spans="1:21">
      <c r="A153" s="5">
        <f>Signals_EU!B153</f>
        <v>43647</v>
      </c>
      <c r="B153" s="1">
        <f>IF(Signals_EU!O153=1,Signals_EU!R153*Mapping!$C$2,IF(Signals_EU!O153=-1,-Signals_EU!S153*Mapping!$C$2,0))</f>
        <v>-5.000000000000001E-2</v>
      </c>
      <c r="C153" s="1">
        <f>IF(Signals_EU!F153=1,Signals_EU!R153*Mapping!$C$3,IF(Signals_EU!F153=-1,-Signals_EU!S153*Mapping!$C$3,0))</f>
        <v>0</v>
      </c>
      <c r="D153" s="1">
        <f>IF(Signals_EU!C153=1,Signals_EU!R153*Mapping!$C$4,IF(Signals_EU!C153=-1,-Signals_EU!S153*Mapping!$C$4,0))</f>
        <v>-2.5000000000000005E-2</v>
      </c>
      <c r="E153" s="1">
        <f>IF(Signals_EU!C153=1,Signals_EU!R153*Mapping!$C$5,IF(Signals_EU!C153=-1,-Signals_EU!S153*Mapping!$C$5,0))</f>
        <v>-2.5000000000000005E-2</v>
      </c>
      <c r="F153" s="1">
        <f>IF(Signals_EU!H153=1,Signals_EU!R153*Mapping!$C$6,IF(Signals_EU!H153=-1,-Signals_EU!S153*Mapping!$C$6,0))</f>
        <v>0</v>
      </c>
      <c r="G153" s="1">
        <f>IF(Signals_EU!F153=1,Signals_EU!R153*Mapping!$C$7,IF(Signals_EU!F153=-1,-Signals_EU!S153*Mapping!$C$7,0))</f>
        <v>0</v>
      </c>
      <c r="H153" s="1">
        <f>IF(Signals_EU!D153=1,Signals_EU!R153*Mapping!$C$8,IF(Signals_EU!D153=-1,-Signals_EU!S153*Mapping!$C$8,0))</f>
        <v>-5.000000000000001E-2</v>
      </c>
      <c r="I153" s="1">
        <f>IF(Signals_EU!G153=1,Signals_EU!R153*Mapping!$C$9,IF(Signals_EU!G153=-1,-Signals_EU!S153*Mapping!$C$9,0))</f>
        <v>0</v>
      </c>
      <c r="J153" s="1">
        <f>IF(Signals_EU!H153=1,Signals_EU!R153*Mapping!$C$10,IF(Signals_EU!H153=-1,-Signals_EU!S153*Mapping!$C$10,0))</f>
        <v>0</v>
      </c>
      <c r="K153" s="1">
        <f>IF(Signals_EU!F153=1,Signals_EU!R153*Mapping!$C$11,IF(Signals_EU!F153=-1,-Signals_EU!S153*Mapping!$C$11,0))</f>
        <v>0</v>
      </c>
      <c r="L153" s="1">
        <f>IF(Signals_EU!N153=1,Signals_EU!R153*Mapping!$C$12,IF(Signals_EU!N153=-1,-Signals_EU!S153*Mapping!$C$12,0))</f>
        <v>0</v>
      </c>
      <c r="M153" s="1">
        <f>IF(Signals_EU!I153=1,Signals_EU!R153*Mapping!$C$13,IF(Signals_EU!I153=-1,-Signals_EU!S153*Mapping!$C$13,0))</f>
        <v>5.000000000000001E-2</v>
      </c>
      <c r="N153" s="1">
        <f>IF(Signals_EU!E153=1,Signals_EU!R153*Mapping!$C$14,IF(Signals_EU!E153=-1,-Signals_EU!S153*Mapping!$C$14,0))</f>
        <v>5.000000000000001E-2</v>
      </c>
      <c r="O153" s="1">
        <f>0</f>
        <v>0</v>
      </c>
      <c r="P153" s="1">
        <f>0</f>
        <v>0</v>
      </c>
      <c r="Q153" s="1">
        <f>IF(Signals_EU!J153=1,Signals_EU!R153*Mapping!$C$17,IF(Signals_EU!J153=-1,-Signals_EU!S153*Mapping!$C$17,0))</f>
        <v>0</v>
      </c>
      <c r="R153" s="1">
        <f>IF(Signals_EU!K153=1,Signals_EU!R153*Mapping!$C$18,IF(Signals_EU!K153=-1,-Signals_EU!S153*Mapping!$C$18,0))</f>
        <v>0</v>
      </c>
      <c r="S153" s="1">
        <f>IF(Signals_EU!M153=1,Signals_EU!R153*Mapping!$C$19,IF(Signals_EU!M153=-1,-Signals_EU!S153*Mapping!$C$19,0))</f>
        <v>0</v>
      </c>
      <c r="T153" s="1">
        <f>IF(Signals_EU!L153=1,Signals_EU!R153*Mapping!$C$20,IF(Signals_EU!L153=-1,-Signals_EU!S153*Mapping!$C$20,0))</f>
        <v>5.000000000000001E-2</v>
      </c>
      <c r="U153" s="1">
        <f t="shared" si="2"/>
        <v>0</v>
      </c>
    </row>
    <row r="154" spans="1:21">
      <c r="A154" s="5">
        <f>Signals_EU!B154</f>
        <v>43678</v>
      </c>
      <c r="B154" s="1">
        <f>IF(Signals_EU!O154=1,Signals_EU!R154*Mapping!$C$2,IF(Signals_EU!O154=-1,-Signals_EU!S154*Mapping!$C$2,0))</f>
        <v>-5.000000000000001E-2</v>
      </c>
      <c r="C154" s="1">
        <f>IF(Signals_EU!F154=1,Signals_EU!R154*Mapping!$C$3,IF(Signals_EU!F154=-1,-Signals_EU!S154*Mapping!$C$3,0))</f>
        <v>0</v>
      </c>
      <c r="D154" s="1">
        <f>IF(Signals_EU!C154=1,Signals_EU!R154*Mapping!$C$4,IF(Signals_EU!C154=-1,-Signals_EU!S154*Mapping!$C$4,0))</f>
        <v>0</v>
      </c>
      <c r="E154" s="1">
        <f>IF(Signals_EU!C154=1,Signals_EU!R154*Mapping!$C$5,IF(Signals_EU!C154=-1,-Signals_EU!S154*Mapping!$C$5,0))</f>
        <v>0</v>
      </c>
      <c r="F154" s="1">
        <f>IF(Signals_EU!H154=1,Signals_EU!R154*Mapping!$C$6,IF(Signals_EU!H154=-1,-Signals_EU!S154*Mapping!$C$6,0))</f>
        <v>-1.0000000000000002E-2</v>
      </c>
      <c r="G154" s="1">
        <f>IF(Signals_EU!F154=1,Signals_EU!R154*Mapping!$C$7,IF(Signals_EU!F154=-1,-Signals_EU!S154*Mapping!$C$7,0))</f>
        <v>0</v>
      </c>
      <c r="H154" s="1">
        <f>IF(Signals_EU!D154=1,Signals_EU!R154*Mapping!$C$8,IF(Signals_EU!D154=-1,-Signals_EU!S154*Mapping!$C$8,0))</f>
        <v>-5.000000000000001E-2</v>
      </c>
      <c r="I154" s="1">
        <f>IF(Signals_EU!G154=1,Signals_EU!R154*Mapping!$C$9,IF(Signals_EU!G154=-1,-Signals_EU!S154*Mapping!$C$9,0))</f>
        <v>5.000000000000001E-2</v>
      </c>
      <c r="J154" s="1">
        <f>IF(Signals_EU!H154=1,Signals_EU!R154*Mapping!$C$10,IF(Signals_EU!H154=-1,-Signals_EU!S154*Mapping!$C$10,0))</f>
        <v>-4.0000000000000008E-2</v>
      </c>
      <c r="K154" s="1">
        <f>IF(Signals_EU!F154=1,Signals_EU!R154*Mapping!$C$11,IF(Signals_EU!F154=-1,-Signals_EU!S154*Mapping!$C$11,0))</f>
        <v>0</v>
      </c>
      <c r="L154" s="1">
        <f>IF(Signals_EU!N154=1,Signals_EU!R154*Mapping!$C$12,IF(Signals_EU!N154=-1,-Signals_EU!S154*Mapping!$C$12,0))</f>
        <v>0</v>
      </c>
      <c r="M154" s="1">
        <f>IF(Signals_EU!I154=1,Signals_EU!R154*Mapping!$C$13,IF(Signals_EU!I154=-1,-Signals_EU!S154*Mapping!$C$13,0))</f>
        <v>0</v>
      </c>
      <c r="N154" s="1">
        <f>IF(Signals_EU!E154=1,Signals_EU!R154*Mapping!$C$14,IF(Signals_EU!E154=-1,-Signals_EU!S154*Mapping!$C$14,0))</f>
        <v>5.000000000000001E-2</v>
      </c>
      <c r="O154" s="1">
        <f>0</f>
        <v>0</v>
      </c>
      <c r="P154" s="1">
        <f>0</f>
        <v>0</v>
      </c>
      <c r="Q154" s="1">
        <f>IF(Signals_EU!J154=1,Signals_EU!R154*Mapping!$C$17,IF(Signals_EU!J154=-1,-Signals_EU!S154*Mapping!$C$17,0))</f>
        <v>0</v>
      </c>
      <c r="R154" s="1">
        <f>IF(Signals_EU!K154=1,Signals_EU!R154*Mapping!$C$18,IF(Signals_EU!K154=-1,-Signals_EU!S154*Mapping!$C$18,0))</f>
        <v>0</v>
      </c>
      <c r="S154" s="1">
        <f>IF(Signals_EU!M154=1,Signals_EU!R154*Mapping!$C$19,IF(Signals_EU!M154=-1,-Signals_EU!S154*Mapping!$C$19,0))</f>
        <v>0</v>
      </c>
      <c r="T154" s="1">
        <f>IF(Signals_EU!L154=1,Signals_EU!R154*Mapping!$C$20,IF(Signals_EU!L154=-1,-Signals_EU!S154*Mapping!$C$20,0))</f>
        <v>5.000000000000001E-2</v>
      </c>
      <c r="U154" s="1">
        <f t="shared" si="2"/>
        <v>0</v>
      </c>
    </row>
    <row r="155" spans="1:21">
      <c r="A155" s="5">
        <f>Signals_EU!B155</f>
        <v>43709</v>
      </c>
      <c r="B155" s="1">
        <f>IF(Signals_EU!O155=1,Signals_EU!R155*Mapping!$C$2,IF(Signals_EU!O155=-1,-Signals_EU!S155*Mapping!$C$2,0))</f>
        <v>-5.000000000000001E-2</v>
      </c>
      <c r="C155" s="1">
        <f>IF(Signals_EU!F155=1,Signals_EU!R155*Mapping!$C$3,IF(Signals_EU!F155=-1,-Signals_EU!S155*Mapping!$C$3,0))</f>
        <v>-3.0000000000000006E-2</v>
      </c>
      <c r="D155" s="1">
        <f>IF(Signals_EU!C155=1,Signals_EU!R155*Mapping!$C$4,IF(Signals_EU!C155=-1,-Signals_EU!S155*Mapping!$C$4,0))</f>
        <v>0</v>
      </c>
      <c r="E155" s="1">
        <f>IF(Signals_EU!C155=1,Signals_EU!R155*Mapping!$C$5,IF(Signals_EU!C155=-1,-Signals_EU!S155*Mapping!$C$5,0))</f>
        <v>0</v>
      </c>
      <c r="F155" s="1">
        <f>IF(Signals_EU!H155=1,Signals_EU!R155*Mapping!$C$6,IF(Signals_EU!H155=-1,-Signals_EU!S155*Mapping!$C$6,0))</f>
        <v>1.0000000000000002E-2</v>
      </c>
      <c r="G155" s="1">
        <f>IF(Signals_EU!F155=1,Signals_EU!R155*Mapping!$C$7,IF(Signals_EU!F155=-1,-Signals_EU!S155*Mapping!$C$7,0))</f>
        <v>-1.0000000000000002E-2</v>
      </c>
      <c r="H155" s="1">
        <f>IF(Signals_EU!D155=1,Signals_EU!R155*Mapping!$C$8,IF(Signals_EU!D155=-1,-Signals_EU!S155*Mapping!$C$8,0))</f>
        <v>-5.000000000000001E-2</v>
      </c>
      <c r="I155" s="1">
        <f>IF(Signals_EU!G155=1,Signals_EU!R155*Mapping!$C$9,IF(Signals_EU!G155=-1,-Signals_EU!S155*Mapping!$C$9,0))</f>
        <v>5.000000000000001E-2</v>
      </c>
      <c r="J155" s="1">
        <f>IF(Signals_EU!H155=1,Signals_EU!R155*Mapping!$C$10,IF(Signals_EU!H155=-1,-Signals_EU!S155*Mapping!$C$10,0))</f>
        <v>4.0000000000000008E-2</v>
      </c>
      <c r="K155" s="1">
        <f>IF(Signals_EU!F155=1,Signals_EU!R155*Mapping!$C$11,IF(Signals_EU!F155=-1,-Signals_EU!S155*Mapping!$C$11,0))</f>
        <v>-1.0000000000000002E-2</v>
      </c>
      <c r="L155" s="1">
        <f>IF(Signals_EU!N155=1,Signals_EU!R155*Mapping!$C$12,IF(Signals_EU!N155=-1,-Signals_EU!S155*Mapping!$C$12,0))</f>
        <v>0</v>
      </c>
      <c r="M155" s="1">
        <f>IF(Signals_EU!I155=1,Signals_EU!R155*Mapping!$C$13,IF(Signals_EU!I155=-1,-Signals_EU!S155*Mapping!$C$13,0))</f>
        <v>0</v>
      </c>
      <c r="N155" s="1">
        <f>IF(Signals_EU!E155=1,Signals_EU!R155*Mapping!$C$14,IF(Signals_EU!E155=-1,-Signals_EU!S155*Mapping!$C$14,0))</f>
        <v>0</v>
      </c>
      <c r="O155" s="1">
        <f>0</f>
        <v>0</v>
      </c>
      <c r="P155" s="1">
        <f>0</f>
        <v>0</v>
      </c>
      <c r="Q155" s="1">
        <f>IF(Signals_EU!J155=1,Signals_EU!R155*Mapping!$C$17,IF(Signals_EU!J155=-1,-Signals_EU!S155*Mapping!$C$17,0))</f>
        <v>0</v>
      </c>
      <c r="R155" s="1">
        <f>IF(Signals_EU!K155=1,Signals_EU!R155*Mapping!$C$18,IF(Signals_EU!K155=-1,-Signals_EU!S155*Mapping!$C$18,0))</f>
        <v>0</v>
      </c>
      <c r="S155" s="1">
        <f>IF(Signals_EU!M155=1,Signals_EU!R155*Mapping!$C$19,IF(Signals_EU!M155=-1,-Signals_EU!S155*Mapping!$C$19,0))</f>
        <v>0</v>
      </c>
      <c r="T155" s="1">
        <f>IF(Signals_EU!L155=1,Signals_EU!R155*Mapping!$C$20,IF(Signals_EU!L155=-1,-Signals_EU!S155*Mapping!$C$20,0))</f>
        <v>5.000000000000001E-2</v>
      </c>
      <c r="U155" s="1">
        <f t="shared" si="2"/>
        <v>0</v>
      </c>
    </row>
    <row r="156" spans="1:21">
      <c r="A156" s="5">
        <f>Signals_EU!B156</f>
        <v>43739</v>
      </c>
      <c r="B156" s="1">
        <f>IF(Signals_EU!O156=1,Signals_EU!R156*Mapping!$C$2,IF(Signals_EU!O156=-1,-Signals_EU!S156*Mapping!$C$2,0))</f>
        <v>-5.000000000000001E-2</v>
      </c>
      <c r="C156" s="1">
        <f>IF(Signals_EU!F156=1,Signals_EU!R156*Mapping!$C$3,IF(Signals_EU!F156=-1,-Signals_EU!S156*Mapping!$C$3,0))</f>
        <v>-3.0000000000000006E-2</v>
      </c>
      <c r="D156" s="1">
        <f>IF(Signals_EU!C156=1,Signals_EU!R156*Mapping!$C$4,IF(Signals_EU!C156=-1,-Signals_EU!S156*Mapping!$C$4,0))</f>
        <v>0</v>
      </c>
      <c r="E156" s="1">
        <f>IF(Signals_EU!C156=1,Signals_EU!R156*Mapping!$C$5,IF(Signals_EU!C156=-1,-Signals_EU!S156*Mapping!$C$5,0))</f>
        <v>0</v>
      </c>
      <c r="F156" s="1">
        <f>IF(Signals_EU!H156=1,Signals_EU!R156*Mapping!$C$6,IF(Signals_EU!H156=-1,-Signals_EU!S156*Mapping!$C$6,0))</f>
        <v>0</v>
      </c>
      <c r="G156" s="1">
        <f>IF(Signals_EU!F156=1,Signals_EU!R156*Mapping!$C$7,IF(Signals_EU!F156=-1,-Signals_EU!S156*Mapping!$C$7,0))</f>
        <v>-1.0000000000000002E-2</v>
      </c>
      <c r="H156" s="1">
        <f>IF(Signals_EU!D156=1,Signals_EU!R156*Mapping!$C$8,IF(Signals_EU!D156=-1,-Signals_EU!S156*Mapping!$C$8,0))</f>
        <v>-5.000000000000001E-2</v>
      </c>
      <c r="I156" s="1">
        <f>IF(Signals_EU!G156=1,Signals_EU!R156*Mapping!$C$9,IF(Signals_EU!G156=-1,-Signals_EU!S156*Mapping!$C$9,0))</f>
        <v>5.000000000000001E-2</v>
      </c>
      <c r="J156" s="1">
        <f>IF(Signals_EU!H156=1,Signals_EU!R156*Mapping!$C$10,IF(Signals_EU!H156=-1,-Signals_EU!S156*Mapping!$C$10,0))</f>
        <v>0</v>
      </c>
      <c r="K156" s="1">
        <f>IF(Signals_EU!F156=1,Signals_EU!R156*Mapping!$C$11,IF(Signals_EU!F156=-1,-Signals_EU!S156*Mapping!$C$11,0))</f>
        <v>-1.0000000000000002E-2</v>
      </c>
      <c r="L156" s="1">
        <f>IF(Signals_EU!N156=1,Signals_EU!R156*Mapping!$C$12,IF(Signals_EU!N156=-1,-Signals_EU!S156*Mapping!$C$12,0))</f>
        <v>0</v>
      </c>
      <c r="M156" s="1">
        <f>IF(Signals_EU!I156=1,Signals_EU!R156*Mapping!$C$13,IF(Signals_EU!I156=-1,-Signals_EU!S156*Mapping!$C$13,0))</f>
        <v>0</v>
      </c>
      <c r="N156" s="1">
        <f>IF(Signals_EU!E156=1,Signals_EU!R156*Mapping!$C$14,IF(Signals_EU!E156=-1,-Signals_EU!S156*Mapping!$C$14,0))</f>
        <v>0</v>
      </c>
      <c r="O156" s="1">
        <f>0</f>
        <v>0</v>
      </c>
      <c r="P156" s="1">
        <f>0</f>
        <v>0</v>
      </c>
      <c r="Q156" s="1">
        <f>IF(Signals_EU!J156=1,Signals_EU!R156*Mapping!$C$17,IF(Signals_EU!J156=-1,-Signals_EU!S156*Mapping!$C$17,0))</f>
        <v>5.000000000000001E-2</v>
      </c>
      <c r="R156" s="1">
        <f>IF(Signals_EU!K156=1,Signals_EU!R156*Mapping!$C$18,IF(Signals_EU!K156=-1,-Signals_EU!S156*Mapping!$C$18,0))</f>
        <v>0</v>
      </c>
      <c r="S156" s="1">
        <f>IF(Signals_EU!M156=1,Signals_EU!R156*Mapping!$C$19,IF(Signals_EU!M156=-1,-Signals_EU!S156*Mapping!$C$19,0))</f>
        <v>0</v>
      </c>
      <c r="T156" s="1">
        <f>IF(Signals_EU!L156=1,Signals_EU!R156*Mapping!$C$20,IF(Signals_EU!L156=-1,-Signals_EU!S156*Mapping!$C$20,0))</f>
        <v>5.000000000000001E-2</v>
      </c>
      <c r="U156" s="1">
        <f t="shared" si="2"/>
        <v>0</v>
      </c>
    </row>
    <row r="157" spans="1:21">
      <c r="A157" s="5">
        <f>Signals_EU!B157</f>
        <v>43770</v>
      </c>
      <c r="B157" s="1">
        <f>IF(Signals_EU!O157=1,Signals_EU!R157*Mapping!$C$2,IF(Signals_EU!O157=-1,-Signals_EU!S157*Mapping!$C$2,0))</f>
        <v>-5.000000000000001E-2</v>
      </c>
      <c r="C157" s="1">
        <f>IF(Signals_EU!F157=1,Signals_EU!R157*Mapping!$C$3,IF(Signals_EU!F157=-1,-Signals_EU!S157*Mapping!$C$3,0))</f>
        <v>-3.0000000000000006E-2</v>
      </c>
      <c r="D157" s="1">
        <f>IF(Signals_EU!C157=1,Signals_EU!R157*Mapping!$C$4,IF(Signals_EU!C157=-1,-Signals_EU!S157*Mapping!$C$4,0))</f>
        <v>0</v>
      </c>
      <c r="E157" s="1">
        <f>IF(Signals_EU!C157=1,Signals_EU!R157*Mapping!$C$5,IF(Signals_EU!C157=-1,-Signals_EU!S157*Mapping!$C$5,0))</f>
        <v>0</v>
      </c>
      <c r="F157" s="1">
        <f>IF(Signals_EU!H157=1,Signals_EU!R157*Mapping!$C$6,IF(Signals_EU!H157=-1,-Signals_EU!S157*Mapping!$C$6,0))</f>
        <v>0</v>
      </c>
      <c r="G157" s="1">
        <f>IF(Signals_EU!F157=1,Signals_EU!R157*Mapping!$C$7,IF(Signals_EU!F157=-1,-Signals_EU!S157*Mapping!$C$7,0))</f>
        <v>-1.0000000000000002E-2</v>
      </c>
      <c r="H157" s="1">
        <f>IF(Signals_EU!D157=1,Signals_EU!R157*Mapping!$C$8,IF(Signals_EU!D157=-1,-Signals_EU!S157*Mapping!$C$8,0))</f>
        <v>0</v>
      </c>
      <c r="I157" s="1">
        <f>IF(Signals_EU!G157=1,Signals_EU!R157*Mapping!$C$9,IF(Signals_EU!G157=-1,-Signals_EU!S157*Mapping!$C$9,0))</f>
        <v>5.000000000000001E-2</v>
      </c>
      <c r="J157" s="1">
        <f>IF(Signals_EU!H157=1,Signals_EU!R157*Mapping!$C$10,IF(Signals_EU!H157=-1,-Signals_EU!S157*Mapping!$C$10,0))</f>
        <v>0</v>
      </c>
      <c r="K157" s="1">
        <f>IF(Signals_EU!F157=1,Signals_EU!R157*Mapping!$C$11,IF(Signals_EU!F157=-1,-Signals_EU!S157*Mapping!$C$11,0))</f>
        <v>-1.0000000000000002E-2</v>
      </c>
      <c r="L157" s="1">
        <f>IF(Signals_EU!N157=1,Signals_EU!R157*Mapping!$C$12,IF(Signals_EU!N157=-1,-Signals_EU!S157*Mapping!$C$12,0))</f>
        <v>-5.000000000000001E-2</v>
      </c>
      <c r="M157" s="1">
        <f>IF(Signals_EU!I157=1,Signals_EU!R157*Mapping!$C$13,IF(Signals_EU!I157=-1,-Signals_EU!S157*Mapping!$C$13,0))</f>
        <v>0</v>
      </c>
      <c r="N157" s="1">
        <f>IF(Signals_EU!E157=1,Signals_EU!R157*Mapping!$C$14,IF(Signals_EU!E157=-1,-Signals_EU!S157*Mapping!$C$14,0))</f>
        <v>0</v>
      </c>
      <c r="O157" s="1">
        <f>0</f>
        <v>0</v>
      </c>
      <c r="P157" s="1">
        <f>0</f>
        <v>0</v>
      </c>
      <c r="Q157" s="1">
        <f>IF(Signals_EU!J157=1,Signals_EU!R157*Mapping!$C$17,IF(Signals_EU!J157=-1,-Signals_EU!S157*Mapping!$C$17,0))</f>
        <v>0</v>
      </c>
      <c r="R157" s="1">
        <f>IF(Signals_EU!K157=1,Signals_EU!R157*Mapping!$C$18,IF(Signals_EU!K157=-1,-Signals_EU!S157*Mapping!$C$18,0))</f>
        <v>5.000000000000001E-2</v>
      </c>
      <c r="S157" s="1">
        <f>IF(Signals_EU!M157=1,Signals_EU!R157*Mapping!$C$19,IF(Signals_EU!M157=-1,-Signals_EU!S157*Mapping!$C$19,0))</f>
        <v>0</v>
      </c>
      <c r="T157" s="1">
        <f>IF(Signals_EU!L157=1,Signals_EU!R157*Mapping!$C$20,IF(Signals_EU!L157=-1,-Signals_EU!S157*Mapping!$C$20,0))</f>
        <v>5.000000000000001E-2</v>
      </c>
      <c r="U157" s="1">
        <f t="shared" si="2"/>
        <v>0</v>
      </c>
    </row>
    <row r="158" spans="1:21">
      <c r="A158" s="5">
        <f>Signals_EU!B158</f>
        <v>43800</v>
      </c>
      <c r="B158" s="1">
        <f>IF(Signals_EU!O158=1,Signals_EU!R158*Mapping!$C$2,IF(Signals_EU!O158=-1,-Signals_EU!S158*Mapping!$C$2,0))</f>
        <v>0</v>
      </c>
      <c r="C158" s="1">
        <f>IF(Signals_EU!F158=1,Signals_EU!R158*Mapping!$C$3,IF(Signals_EU!F158=-1,-Signals_EU!S158*Mapping!$C$3,0))</f>
        <v>-3.0000000000000006E-2</v>
      </c>
      <c r="D158" s="1">
        <f>IF(Signals_EU!C158=1,Signals_EU!R158*Mapping!$C$4,IF(Signals_EU!C158=-1,-Signals_EU!S158*Mapping!$C$4,0))</f>
        <v>0</v>
      </c>
      <c r="E158" s="1">
        <f>IF(Signals_EU!C158=1,Signals_EU!R158*Mapping!$C$5,IF(Signals_EU!C158=-1,-Signals_EU!S158*Mapping!$C$5,0))</f>
        <v>0</v>
      </c>
      <c r="F158" s="1">
        <f>IF(Signals_EU!H158=1,Signals_EU!R158*Mapping!$C$6,IF(Signals_EU!H158=-1,-Signals_EU!S158*Mapping!$C$6,0))</f>
        <v>0</v>
      </c>
      <c r="G158" s="1">
        <f>IF(Signals_EU!F158=1,Signals_EU!R158*Mapping!$C$7,IF(Signals_EU!F158=-1,-Signals_EU!S158*Mapping!$C$7,0))</f>
        <v>-1.0000000000000002E-2</v>
      </c>
      <c r="H158" s="1">
        <f>IF(Signals_EU!D158=1,Signals_EU!R158*Mapping!$C$8,IF(Signals_EU!D158=-1,-Signals_EU!S158*Mapping!$C$8,0))</f>
        <v>-5.000000000000001E-2</v>
      </c>
      <c r="I158" s="1">
        <f>IF(Signals_EU!G158=1,Signals_EU!R158*Mapping!$C$9,IF(Signals_EU!G158=-1,-Signals_EU!S158*Mapping!$C$9,0))</f>
        <v>5.000000000000001E-2</v>
      </c>
      <c r="J158" s="1">
        <f>IF(Signals_EU!H158=1,Signals_EU!R158*Mapping!$C$10,IF(Signals_EU!H158=-1,-Signals_EU!S158*Mapping!$C$10,0))</f>
        <v>0</v>
      </c>
      <c r="K158" s="1">
        <f>IF(Signals_EU!F158=1,Signals_EU!R158*Mapping!$C$11,IF(Signals_EU!F158=-1,-Signals_EU!S158*Mapping!$C$11,0))</f>
        <v>-1.0000000000000002E-2</v>
      </c>
      <c r="L158" s="1">
        <f>IF(Signals_EU!N158=1,Signals_EU!R158*Mapping!$C$12,IF(Signals_EU!N158=-1,-Signals_EU!S158*Mapping!$C$12,0))</f>
        <v>-5.000000000000001E-2</v>
      </c>
      <c r="M158" s="1">
        <f>IF(Signals_EU!I158=1,Signals_EU!R158*Mapping!$C$13,IF(Signals_EU!I158=-1,-Signals_EU!S158*Mapping!$C$13,0))</f>
        <v>0</v>
      </c>
      <c r="N158" s="1">
        <f>IF(Signals_EU!E158=1,Signals_EU!R158*Mapping!$C$14,IF(Signals_EU!E158=-1,-Signals_EU!S158*Mapping!$C$14,0))</f>
        <v>0</v>
      </c>
      <c r="O158" s="1">
        <f>0</f>
        <v>0</v>
      </c>
      <c r="P158" s="1">
        <f>0</f>
        <v>0</v>
      </c>
      <c r="Q158" s="1">
        <f>IF(Signals_EU!J158=1,Signals_EU!R158*Mapping!$C$17,IF(Signals_EU!J158=-1,-Signals_EU!S158*Mapping!$C$17,0))</f>
        <v>0</v>
      </c>
      <c r="R158" s="1">
        <f>IF(Signals_EU!K158=1,Signals_EU!R158*Mapping!$C$18,IF(Signals_EU!K158=-1,-Signals_EU!S158*Mapping!$C$18,0))</f>
        <v>5.000000000000001E-2</v>
      </c>
      <c r="S158" s="1">
        <f>IF(Signals_EU!M158=1,Signals_EU!R158*Mapping!$C$19,IF(Signals_EU!M158=-1,-Signals_EU!S158*Mapping!$C$19,0))</f>
        <v>0</v>
      </c>
      <c r="T158" s="1">
        <f>IF(Signals_EU!L158=1,Signals_EU!R158*Mapping!$C$20,IF(Signals_EU!L158=-1,-Signals_EU!S158*Mapping!$C$20,0))</f>
        <v>5.000000000000001E-2</v>
      </c>
      <c r="U158" s="1">
        <f t="shared" si="2"/>
        <v>0</v>
      </c>
    </row>
    <row r="159" spans="1:21">
      <c r="A159" s="5">
        <f>Signals_EU!B159</f>
        <v>43831</v>
      </c>
      <c r="B159" s="1">
        <f>IF(Signals_EU!O159=1,Signals_EU!R159*Mapping!$C$2,IF(Signals_EU!O159=-1,-Signals_EU!S159*Mapping!$C$2,0))</f>
        <v>0</v>
      </c>
      <c r="C159" s="1">
        <f>IF(Signals_EU!F159=1,Signals_EU!R159*Mapping!$C$3,IF(Signals_EU!F159=-1,-Signals_EU!S159*Mapping!$C$3,0))</f>
        <v>-3.0000000000000006E-2</v>
      </c>
      <c r="D159" s="1">
        <f>IF(Signals_EU!C159=1,Signals_EU!R159*Mapping!$C$4,IF(Signals_EU!C159=-1,-Signals_EU!S159*Mapping!$C$4,0))</f>
        <v>0</v>
      </c>
      <c r="E159" s="1">
        <f>IF(Signals_EU!C159=1,Signals_EU!R159*Mapping!$C$5,IF(Signals_EU!C159=-1,-Signals_EU!S159*Mapping!$C$5,0))</f>
        <v>0</v>
      </c>
      <c r="F159" s="1">
        <f>IF(Signals_EU!H159=1,Signals_EU!R159*Mapping!$C$6,IF(Signals_EU!H159=-1,-Signals_EU!S159*Mapping!$C$6,0))</f>
        <v>-1.0000000000000002E-2</v>
      </c>
      <c r="G159" s="1">
        <f>IF(Signals_EU!F159=1,Signals_EU!R159*Mapping!$C$7,IF(Signals_EU!F159=-1,-Signals_EU!S159*Mapping!$C$7,0))</f>
        <v>-1.0000000000000002E-2</v>
      </c>
      <c r="H159" s="1">
        <f>IF(Signals_EU!D159=1,Signals_EU!R159*Mapping!$C$8,IF(Signals_EU!D159=-1,-Signals_EU!S159*Mapping!$C$8,0))</f>
        <v>0</v>
      </c>
      <c r="I159" s="1">
        <f>IF(Signals_EU!G159=1,Signals_EU!R159*Mapping!$C$9,IF(Signals_EU!G159=-1,-Signals_EU!S159*Mapping!$C$9,0))</f>
        <v>5.000000000000001E-2</v>
      </c>
      <c r="J159" s="1">
        <f>IF(Signals_EU!H159=1,Signals_EU!R159*Mapping!$C$10,IF(Signals_EU!H159=-1,-Signals_EU!S159*Mapping!$C$10,0))</f>
        <v>-4.0000000000000008E-2</v>
      </c>
      <c r="K159" s="1">
        <f>IF(Signals_EU!F159=1,Signals_EU!R159*Mapping!$C$11,IF(Signals_EU!F159=-1,-Signals_EU!S159*Mapping!$C$11,0))</f>
        <v>-1.0000000000000002E-2</v>
      </c>
      <c r="L159" s="1">
        <f>IF(Signals_EU!N159=1,Signals_EU!R159*Mapping!$C$12,IF(Signals_EU!N159=-1,-Signals_EU!S159*Mapping!$C$12,0))</f>
        <v>-5.000000000000001E-2</v>
      </c>
      <c r="M159" s="1">
        <f>IF(Signals_EU!I159=1,Signals_EU!R159*Mapping!$C$13,IF(Signals_EU!I159=-1,-Signals_EU!S159*Mapping!$C$13,0))</f>
        <v>0</v>
      </c>
      <c r="N159" s="1">
        <f>IF(Signals_EU!E159=1,Signals_EU!R159*Mapping!$C$14,IF(Signals_EU!E159=-1,-Signals_EU!S159*Mapping!$C$14,0))</f>
        <v>0</v>
      </c>
      <c r="O159" s="1">
        <f>0</f>
        <v>0</v>
      </c>
      <c r="P159" s="1">
        <f>0</f>
        <v>0</v>
      </c>
      <c r="Q159" s="1">
        <f>IF(Signals_EU!J159=1,Signals_EU!R159*Mapping!$C$17,IF(Signals_EU!J159=-1,-Signals_EU!S159*Mapping!$C$17,0))</f>
        <v>0</v>
      </c>
      <c r="R159" s="1">
        <f>IF(Signals_EU!K159=1,Signals_EU!R159*Mapping!$C$18,IF(Signals_EU!K159=-1,-Signals_EU!S159*Mapping!$C$18,0))</f>
        <v>5.000000000000001E-2</v>
      </c>
      <c r="S159" s="1">
        <f>IF(Signals_EU!M159=1,Signals_EU!R159*Mapping!$C$19,IF(Signals_EU!M159=-1,-Signals_EU!S159*Mapping!$C$19,0))</f>
        <v>0</v>
      </c>
      <c r="T159" s="1">
        <f>IF(Signals_EU!L159=1,Signals_EU!R159*Mapping!$C$20,IF(Signals_EU!L159=-1,-Signals_EU!S159*Mapping!$C$20,0))</f>
        <v>5.000000000000001E-2</v>
      </c>
      <c r="U159" s="1">
        <f t="shared" si="2"/>
        <v>0</v>
      </c>
    </row>
    <row r="160" spans="1:21">
      <c r="A160" s="5">
        <f>Signals_EU!B160</f>
        <v>43862</v>
      </c>
      <c r="B160" s="1">
        <f>IF(Signals_EU!O160=1,Signals_EU!R160*Mapping!$C$2,IF(Signals_EU!O160=-1,-Signals_EU!S160*Mapping!$C$2,0))</f>
        <v>-5.000000000000001E-2</v>
      </c>
      <c r="C160" s="1">
        <f>IF(Signals_EU!F160=1,Signals_EU!R160*Mapping!$C$3,IF(Signals_EU!F160=-1,-Signals_EU!S160*Mapping!$C$3,0))</f>
        <v>0</v>
      </c>
      <c r="D160" s="1">
        <f>IF(Signals_EU!C160=1,Signals_EU!R160*Mapping!$C$4,IF(Signals_EU!C160=-1,-Signals_EU!S160*Mapping!$C$4,0))</f>
        <v>0</v>
      </c>
      <c r="E160" s="1">
        <f>IF(Signals_EU!C160=1,Signals_EU!R160*Mapping!$C$5,IF(Signals_EU!C160=-1,-Signals_EU!S160*Mapping!$C$5,0))</f>
        <v>0</v>
      </c>
      <c r="F160" s="1">
        <f>IF(Signals_EU!H160=1,Signals_EU!R160*Mapping!$C$6,IF(Signals_EU!H160=-1,-Signals_EU!S160*Mapping!$C$6,0))</f>
        <v>0</v>
      </c>
      <c r="G160" s="1">
        <f>IF(Signals_EU!F160=1,Signals_EU!R160*Mapping!$C$7,IF(Signals_EU!F160=-1,-Signals_EU!S160*Mapping!$C$7,0))</f>
        <v>0</v>
      </c>
      <c r="H160" s="1">
        <f>IF(Signals_EU!D160=1,Signals_EU!R160*Mapping!$C$8,IF(Signals_EU!D160=-1,-Signals_EU!S160*Mapping!$C$8,0))</f>
        <v>0</v>
      </c>
      <c r="I160" s="1">
        <f>IF(Signals_EU!G160=1,Signals_EU!R160*Mapping!$C$9,IF(Signals_EU!G160=-1,-Signals_EU!S160*Mapping!$C$9,0))</f>
        <v>5.000000000000001E-2</v>
      </c>
      <c r="J160" s="1">
        <f>IF(Signals_EU!H160=1,Signals_EU!R160*Mapping!$C$10,IF(Signals_EU!H160=-1,-Signals_EU!S160*Mapping!$C$10,0))</f>
        <v>0</v>
      </c>
      <c r="K160" s="1">
        <f>IF(Signals_EU!F160=1,Signals_EU!R160*Mapping!$C$11,IF(Signals_EU!F160=-1,-Signals_EU!S160*Mapping!$C$11,0))</f>
        <v>0</v>
      </c>
      <c r="L160" s="1">
        <f>IF(Signals_EU!N160=1,Signals_EU!R160*Mapping!$C$12,IF(Signals_EU!N160=-1,-Signals_EU!S160*Mapping!$C$12,0))</f>
        <v>-5.000000000000001E-2</v>
      </c>
      <c r="M160" s="1">
        <f>IF(Signals_EU!I160=1,Signals_EU!R160*Mapping!$C$13,IF(Signals_EU!I160=-1,-Signals_EU!S160*Mapping!$C$13,0))</f>
        <v>-5.000000000000001E-2</v>
      </c>
      <c r="N160" s="1">
        <f>IF(Signals_EU!E160=1,Signals_EU!R160*Mapping!$C$14,IF(Signals_EU!E160=-1,-Signals_EU!S160*Mapping!$C$14,0))</f>
        <v>0</v>
      </c>
      <c r="O160" s="1">
        <f>0</f>
        <v>0</v>
      </c>
      <c r="P160" s="1">
        <f>0</f>
        <v>0</v>
      </c>
      <c r="Q160" s="1">
        <f>IF(Signals_EU!J160=1,Signals_EU!R160*Mapping!$C$17,IF(Signals_EU!J160=-1,-Signals_EU!S160*Mapping!$C$17,0))</f>
        <v>5.000000000000001E-2</v>
      </c>
      <c r="R160" s="1">
        <f>IF(Signals_EU!K160=1,Signals_EU!R160*Mapping!$C$18,IF(Signals_EU!K160=-1,-Signals_EU!S160*Mapping!$C$18,0))</f>
        <v>0</v>
      </c>
      <c r="S160" s="1">
        <f>IF(Signals_EU!M160=1,Signals_EU!R160*Mapping!$C$19,IF(Signals_EU!M160=-1,-Signals_EU!S160*Mapping!$C$19,0))</f>
        <v>0</v>
      </c>
      <c r="T160" s="1">
        <f>IF(Signals_EU!L160=1,Signals_EU!R160*Mapping!$C$20,IF(Signals_EU!L160=-1,-Signals_EU!S160*Mapping!$C$20,0))</f>
        <v>5.000000000000001E-2</v>
      </c>
      <c r="U160" s="1">
        <f t="shared" si="2"/>
        <v>0</v>
      </c>
    </row>
    <row r="161" spans="1:21">
      <c r="A161" s="5">
        <f>Signals_EU!B161</f>
        <v>43891</v>
      </c>
      <c r="B161" s="1">
        <f>IF(Signals_EU!O161=1,Signals_EU!R161*Mapping!$C$2,IF(Signals_EU!O161=-1,-Signals_EU!S161*Mapping!$C$2,0))</f>
        <v>0</v>
      </c>
      <c r="C161" s="1">
        <f>IF(Signals_EU!F161=1,Signals_EU!R161*Mapping!$C$3,IF(Signals_EU!F161=-1,-Signals_EU!S161*Mapping!$C$3,0))</f>
        <v>0</v>
      </c>
      <c r="D161" s="1">
        <f>IF(Signals_EU!C161=1,Signals_EU!R161*Mapping!$C$4,IF(Signals_EU!C161=-1,-Signals_EU!S161*Mapping!$C$4,0))</f>
        <v>0</v>
      </c>
      <c r="E161" s="1">
        <f>IF(Signals_EU!C161=1,Signals_EU!R161*Mapping!$C$5,IF(Signals_EU!C161=-1,-Signals_EU!S161*Mapping!$C$5,0))</f>
        <v>0</v>
      </c>
      <c r="F161" s="1">
        <f>IF(Signals_EU!H161=1,Signals_EU!R161*Mapping!$C$6,IF(Signals_EU!H161=-1,-Signals_EU!S161*Mapping!$C$6,0))</f>
        <v>-1.0000000000000002E-2</v>
      </c>
      <c r="G161" s="1">
        <f>IF(Signals_EU!F161=1,Signals_EU!R161*Mapping!$C$7,IF(Signals_EU!F161=-1,-Signals_EU!S161*Mapping!$C$7,0))</f>
        <v>0</v>
      </c>
      <c r="H161" s="1">
        <f>IF(Signals_EU!D161=1,Signals_EU!R161*Mapping!$C$8,IF(Signals_EU!D161=-1,-Signals_EU!S161*Mapping!$C$8,0))</f>
        <v>0</v>
      </c>
      <c r="I161" s="1">
        <f>IF(Signals_EU!G161=1,Signals_EU!R161*Mapping!$C$9,IF(Signals_EU!G161=-1,-Signals_EU!S161*Mapping!$C$9,0))</f>
        <v>5.000000000000001E-2</v>
      </c>
      <c r="J161" s="1">
        <f>IF(Signals_EU!H161=1,Signals_EU!R161*Mapping!$C$10,IF(Signals_EU!H161=-1,-Signals_EU!S161*Mapping!$C$10,0))</f>
        <v>-4.0000000000000008E-2</v>
      </c>
      <c r="K161" s="1">
        <f>IF(Signals_EU!F161=1,Signals_EU!R161*Mapping!$C$11,IF(Signals_EU!F161=-1,-Signals_EU!S161*Mapping!$C$11,0))</f>
        <v>0</v>
      </c>
      <c r="L161" s="1">
        <f>IF(Signals_EU!N161=1,Signals_EU!R161*Mapping!$C$12,IF(Signals_EU!N161=-1,-Signals_EU!S161*Mapping!$C$12,0))</f>
        <v>-5.000000000000001E-2</v>
      </c>
      <c r="M161" s="1">
        <f>IF(Signals_EU!I161=1,Signals_EU!R161*Mapping!$C$13,IF(Signals_EU!I161=-1,-Signals_EU!S161*Mapping!$C$13,0))</f>
        <v>-5.000000000000001E-2</v>
      </c>
      <c r="N161" s="1">
        <f>IF(Signals_EU!E161=1,Signals_EU!R161*Mapping!$C$14,IF(Signals_EU!E161=-1,-Signals_EU!S161*Mapping!$C$14,0))</f>
        <v>0</v>
      </c>
      <c r="O161" s="1">
        <f>0</f>
        <v>0</v>
      </c>
      <c r="P161" s="1">
        <f>0</f>
        <v>0</v>
      </c>
      <c r="Q161" s="1">
        <f>IF(Signals_EU!J161=1,Signals_EU!R161*Mapping!$C$17,IF(Signals_EU!J161=-1,-Signals_EU!S161*Mapping!$C$17,0))</f>
        <v>5.000000000000001E-2</v>
      </c>
      <c r="R161" s="1">
        <f>IF(Signals_EU!K161=1,Signals_EU!R161*Mapping!$C$18,IF(Signals_EU!K161=-1,-Signals_EU!S161*Mapping!$C$18,0))</f>
        <v>0</v>
      </c>
      <c r="S161" s="1">
        <f>IF(Signals_EU!M161=1,Signals_EU!R161*Mapping!$C$19,IF(Signals_EU!M161=-1,-Signals_EU!S161*Mapping!$C$19,0))</f>
        <v>0</v>
      </c>
      <c r="T161" s="1">
        <f>IF(Signals_EU!L161=1,Signals_EU!R161*Mapping!$C$20,IF(Signals_EU!L161=-1,-Signals_EU!S161*Mapping!$C$20,0))</f>
        <v>5.000000000000001E-2</v>
      </c>
      <c r="U161" s="1">
        <f t="shared" si="2"/>
        <v>0</v>
      </c>
    </row>
    <row r="162" spans="1:21">
      <c r="A162" s="5">
        <f>Signals_EU!B162</f>
        <v>43922</v>
      </c>
      <c r="B162" s="1">
        <f>IF(Signals_EU!O162=1,Signals_EU!R162*Mapping!$C$2,IF(Signals_EU!O162=-1,-Signals_EU!S162*Mapping!$C$2,0))</f>
        <v>-5.000000000000001E-2</v>
      </c>
      <c r="C162" s="1">
        <f>IF(Signals_EU!F162=1,Signals_EU!R162*Mapping!$C$3,IF(Signals_EU!F162=-1,-Signals_EU!S162*Mapping!$C$3,0))</f>
        <v>0</v>
      </c>
      <c r="D162" s="1">
        <f>IF(Signals_EU!C162=1,Signals_EU!R162*Mapping!$C$4,IF(Signals_EU!C162=-1,-Signals_EU!S162*Mapping!$C$4,0))</f>
        <v>0</v>
      </c>
      <c r="E162" s="1">
        <f>IF(Signals_EU!C162=1,Signals_EU!R162*Mapping!$C$5,IF(Signals_EU!C162=-1,-Signals_EU!S162*Mapping!$C$5,0))</f>
        <v>0</v>
      </c>
      <c r="F162" s="1">
        <f>IF(Signals_EU!H162=1,Signals_EU!R162*Mapping!$C$6,IF(Signals_EU!H162=-1,-Signals_EU!S162*Mapping!$C$6,0))</f>
        <v>-1.0000000000000002E-2</v>
      </c>
      <c r="G162" s="1">
        <f>IF(Signals_EU!F162=1,Signals_EU!R162*Mapping!$C$7,IF(Signals_EU!F162=-1,-Signals_EU!S162*Mapping!$C$7,0))</f>
        <v>0</v>
      </c>
      <c r="H162" s="1">
        <f>IF(Signals_EU!D162=1,Signals_EU!R162*Mapping!$C$8,IF(Signals_EU!D162=-1,-Signals_EU!S162*Mapping!$C$8,0))</f>
        <v>0</v>
      </c>
      <c r="I162" s="1">
        <f>IF(Signals_EU!G162=1,Signals_EU!R162*Mapping!$C$9,IF(Signals_EU!G162=-1,-Signals_EU!S162*Mapping!$C$9,0))</f>
        <v>5.000000000000001E-2</v>
      </c>
      <c r="J162" s="1">
        <f>IF(Signals_EU!H162=1,Signals_EU!R162*Mapping!$C$10,IF(Signals_EU!H162=-1,-Signals_EU!S162*Mapping!$C$10,0))</f>
        <v>-4.0000000000000008E-2</v>
      </c>
      <c r="K162" s="1">
        <f>IF(Signals_EU!F162=1,Signals_EU!R162*Mapping!$C$11,IF(Signals_EU!F162=-1,-Signals_EU!S162*Mapping!$C$11,0))</f>
        <v>0</v>
      </c>
      <c r="L162" s="1">
        <f>IF(Signals_EU!N162=1,Signals_EU!R162*Mapping!$C$12,IF(Signals_EU!N162=-1,-Signals_EU!S162*Mapping!$C$12,0))</f>
        <v>0</v>
      </c>
      <c r="M162" s="1">
        <f>IF(Signals_EU!I162=1,Signals_EU!R162*Mapping!$C$13,IF(Signals_EU!I162=-1,-Signals_EU!S162*Mapping!$C$13,0))</f>
        <v>-5.000000000000001E-2</v>
      </c>
      <c r="N162" s="1">
        <f>IF(Signals_EU!E162=1,Signals_EU!R162*Mapping!$C$14,IF(Signals_EU!E162=-1,-Signals_EU!S162*Mapping!$C$14,0))</f>
        <v>0</v>
      </c>
      <c r="O162" s="1">
        <f>0</f>
        <v>0</v>
      </c>
      <c r="P162" s="1">
        <f>0</f>
        <v>0</v>
      </c>
      <c r="Q162" s="1">
        <f>IF(Signals_EU!J162=1,Signals_EU!R162*Mapping!$C$17,IF(Signals_EU!J162=-1,-Signals_EU!S162*Mapping!$C$17,0))</f>
        <v>5.000000000000001E-2</v>
      </c>
      <c r="R162" s="1">
        <f>IF(Signals_EU!K162=1,Signals_EU!R162*Mapping!$C$18,IF(Signals_EU!K162=-1,-Signals_EU!S162*Mapping!$C$18,0))</f>
        <v>0</v>
      </c>
      <c r="S162" s="1">
        <f>IF(Signals_EU!M162=1,Signals_EU!R162*Mapping!$C$19,IF(Signals_EU!M162=-1,-Signals_EU!S162*Mapping!$C$19,0))</f>
        <v>0</v>
      </c>
      <c r="T162" s="1">
        <f>IF(Signals_EU!L162=1,Signals_EU!R162*Mapping!$C$20,IF(Signals_EU!L162=-1,-Signals_EU!S162*Mapping!$C$20,0))</f>
        <v>5.000000000000001E-2</v>
      </c>
      <c r="U162" s="1">
        <f t="shared" si="2"/>
        <v>0</v>
      </c>
    </row>
    <row r="163" spans="1:21">
      <c r="A163" s="5">
        <f>Signals_EU!B163</f>
        <v>43952</v>
      </c>
      <c r="B163" s="1">
        <f>IF(Signals_EU!O163=1,Signals_EU!R163*Mapping!$C$2,IF(Signals_EU!O163=-1,-Signals_EU!S163*Mapping!$C$2,0))</f>
        <v>-5.000000000000001E-2</v>
      </c>
      <c r="C163" s="1">
        <f>IF(Signals_EU!F163=1,Signals_EU!R163*Mapping!$C$3,IF(Signals_EU!F163=-1,-Signals_EU!S163*Mapping!$C$3,0))</f>
        <v>0</v>
      </c>
      <c r="D163" s="1">
        <f>IF(Signals_EU!C163=1,Signals_EU!R163*Mapping!$C$4,IF(Signals_EU!C163=-1,-Signals_EU!S163*Mapping!$C$4,0))</f>
        <v>0</v>
      </c>
      <c r="E163" s="1">
        <f>IF(Signals_EU!C163=1,Signals_EU!R163*Mapping!$C$5,IF(Signals_EU!C163=-1,-Signals_EU!S163*Mapping!$C$5,0))</f>
        <v>0</v>
      </c>
      <c r="F163" s="1">
        <f>IF(Signals_EU!H163=1,Signals_EU!R163*Mapping!$C$6,IF(Signals_EU!H163=-1,-Signals_EU!S163*Mapping!$C$6,0))</f>
        <v>-1.0000000000000002E-2</v>
      </c>
      <c r="G163" s="1">
        <f>IF(Signals_EU!F163=1,Signals_EU!R163*Mapping!$C$7,IF(Signals_EU!F163=-1,-Signals_EU!S163*Mapping!$C$7,0))</f>
        <v>0</v>
      </c>
      <c r="H163" s="1">
        <f>IF(Signals_EU!D163=1,Signals_EU!R163*Mapping!$C$8,IF(Signals_EU!D163=-1,-Signals_EU!S163*Mapping!$C$8,0))</f>
        <v>0</v>
      </c>
      <c r="I163" s="1">
        <f>IF(Signals_EU!G163=1,Signals_EU!R163*Mapping!$C$9,IF(Signals_EU!G163=-1,-Signals_EU!S163*Mapping!$C$9,0))</f>
        <v>5.000000000000001E-2</v>
      </c>
      <c r="J163" s="1">
        <f>IF(Signals_EU!H163=1,Signals_EU!R163*Mapping!$C$10,IF(Signals_EU!H163=-1,-Signals_EU!S163*Mapping!$C$10,0))</f>
        <v>-4.0000000000000008E-2</v>
      </c>
      <c r="K163" s="1">
        <f>IF(Signals_EU!F163=1,Signals_EU!R163*Mapping!$C$11,IF(Signals_EU!F163=-1,-Signals_EU!S163*Mapping!$C$11,0))</f>
        <v>0</v>
      </c>
      <c r="L163" s="1">
        <f>IF(Signals_EU!N163=1,Signals_EU!R163*Mapping!$C$12,IF(Signals_EU!N163=-1,-Signals_EU!S163*Mapping!$C$12,0))</f>
        <v>-5.000000000000001E-2</v>
      </c>
      <c r="M163" s="1">
        <f>IF(Signals_EU!I163=1,Signals_EU!R163*Mapping!$C$13,IF(Signals_EU!I163=-1,-Signals_EU!S163*Mapping!$C$13,0))</f>
        <v>0</v>
      </c>
      <c r="N163" s="1">
        <f>IF(Signals_EU!E163=1,Signals_EU!R163*Mapping!$C$14,IF(Signals_EU!E163=-1,-Signals_EU!S163*Mapping!$C$14,0))</f>
        <v>0</v>
      </c>
      <c r="O163" s="1">
        <f>0</f>
        <v>0</v>
      </c>
      <c r="P163" s="1">
        <f>0</f>
        <v>0</v>
      </c>
      <c r="Q163" s="1">
        <f>IF(Signals_EU!J163=1,Signals_EU!R163*Mapping!$C$17,IF(Signals_EU!J163=-1,-Signals_EU!S163*Mapping!$C$17,0))</f>
        <v>5.000000000000001E-2</v>
      </c>
      <c r="R163" s="1">
        <f>IF(Signals_EU!K163=1,Signals_EU!R163*Mapping!$C$18,IF(Signals_EU!K163=-1,-Signals_EU!S163*Mapping!$C$18,0))</f>
        <v>5.000000000000001E-2</v>
      </c>
      <c r="S163" s="1">
        <f>IF(Signals_EU!M163=1,Signals_EU!R163*Mapping!$C$19,IF(Signals_EU!M163=-1,-Signals_EU!S163*Mapping!$C$19,0))</f>
        <v>0</v>
      </c>
      <c r="T163" s="1">
        <f>IF(Signals_EU!L163=1,Signals_EU!R163*Mapping!$C$20,IF(Signals_EU!L163=-1,-Signals_EU!S163*Mapping!$C$20,0))</f>
        <v>0</v>
      </c>
      <c r="U163" s="1">
        <f t="shared" si="2"/>
        <v>0</v>
      </c>
    </row>
    <row r="164" spans="1:21">
      <c r="A164" s="5">
        <f>Signals_EU!B164</f>
        <v>43983</v>
      </c>
      <c r="B164" s="1">
        <f>IF(Signals_EU!O164=1,Signals_EU!R164*Mapping!$C$2,IF(Signals_EU!O164=-1,-Signals_EU!S164*Mapping!$C$2,0))</f>
        <v>0</v>
      </c>
      <c r="C164" s="1">
        <f>IF(Signals_EU!F164=1,Signals_EU!R164*Mapping!$C$3,IF(Signals_EU!F164=-1,-Signals_EU!S164*Mapping!$C$3,0))</f>
        <v>0</v>
      </c>
      <c r="D164" s="1">
        <f>IF(Signals_EU!C164=1,Signals_EU!R164*Mapping!$C$4,IF(Signals_EU!C164=-1,-Signals_EU!S164*Mapping!$C$4,0))</f>
        <v>0</v>
      </c>
      <c r="E164" s="1">
        <f>IF(Signals_EU!C164=1,Signals_EU!R164*Mapping!$C$5,IF(Signals_EU!C164=-1,-Signals_EU!S164*Mapping!$C$5,0))</f>
        <v>0</v>
      </c>
      <c r="F164" s="1">
        <f>IF(Signals_EU!H164=1,Signals_EU!R164*Mapping!$C$6,IF(Signals_EU!H164=-1,-Signals_EU!S164*Mapping!$C$6,0))</f>
        <v>-1.0000000000000002E-2</v>
      </c>
      <c r="G164" s="1">
        <f>IF(Signals_EU!F164=1,Signals_EU!R164*Mapping!$C$7,IF(Signals_EU!F164=-1,-Signals_EU!S164*Mapping!$C$7,0))</f>
        <v>0</v>
      </c>
      <c r="H164" s="1">
        <f>IF(Signals_EU!D164=1,Signals_EU!R164*Mapping!$C$8,IF(Signals_EU!D164=-1,-Signals_EU!S164*Mapping!$C$8,0))</f>
        <v>0</v>
      </c>
      <c r="I164" s="1">
        <f>IF(Signals_EU!G164=1,Signals_EU!R164*Mapping!$C$9,IF(Signals_EU!G164=-1,-Signals_EU!S164*Mapping!$C$9,0))</f>
        <v>5.000000000000001E-2</v>
      </c>
      <c r="J164" s="1">
        <f>IF(Signals_EU!H164=1,Signals_EU!R164*Mapping!$C$10,IF(Signals_EU!H164=-1,-Signals_EU!S164*Mapping!$C$10,0))</f>
        <v>-4.0000000000000008E-2</v>
      </c>
      <c r="K164" s="1">
        <f>IF(Signals_EU!F164=1,Signals_EU!R164*Mapping!$C$11,IF(Signals_EU!F164=-1,-Signals_EU!S164*Mapping!$C$11,0))</f>
        <v>0</v>
      </c>
      <c r="L164" s="1">
        <f>IF(Signals_EU!N164=1,Signals_EU!R164*Mapping!$C$12,IF(Signals_EU!N164=-1,-Signals_EU!S164*Mapping!$C$12,0))</f>
        <v>-5.000000000000001E-2</v>
      </c>
      <c r="M164" s="1">
        <f>IF(Signals_EU!I164=1,Signals_EU!R164*Mapping!$C$13,IF(Signals_EU!I164=-1,-Signals_EU!S164*Mapping!$C$13,0))</f>
        <v>0</v>
      </c>
      <c r="N164" s="1">
        <f>IF(Signals_EU!E164=1,Signals_EU!R164*Mapping!$C$14,IF(Signals_EU!E164=-1,-Signals_EU!S164*Mapping!$C$14,0))</f>
        <v>-5.000000000000001E-2</v>
      </c>
      <c r="O164" s="1">
        <f>0</f>
        <v>0</v>
      </c>
      <c r="P164" s="1">
        <f>0</f>
        <v>0</v>
      </c>
      <c r="Q164" s="1">
        <f>IF(Signals_EU!J164=1,Signals_EU!R164*Mapping!$C$17,IF(Signals_EU!J164=-1,-Signals_EU!S164*Mapping!$C$17,0))</f>
        <v>5.000000000000001E-2</v>
      </c>
      <c r="R164" s="1">
        <f>IF(Signals_EU!K164=1,Signals_EU!R164*Mapping!$C$18,IF(Signals_EU!K164=-1,-Signals_EU!S164*Mapping!$C$18,0))</f>
        <v>5.000000000000001E-2</v>
      </c>
      <c r="S164" s="1">
        <f>IF(Signals_EU!M164=1,Signals_EU!R164*Mapping!$C$19,IF(Signals_EU!M164=-1,-Signals_EU!S164*Mapping!$C$19,0))</f>
        <v>0</v>
      </c>
      <c r="T164" s="1">
        <f>IF(Signals_EU!L164=1,Signals_EU!R164*Mapping!$C$20,IF(Signals_EU!L164=-1,-Signals_EU!S164*Mapping!$C$20,0))</f>
        <v>0</v>
      </c>
      <c r="U164" s="1">
        <f t="shared" si="2"/>
        <v>0</v>
      </c>
    </row>
    <row r="165" spans="1:21">
      <c r="A165" s="5">
        <f>Signals_EU!B165</f>
        <v>44013</v>
      </c>
      <c r="B165" s="1">
        <f>IF(Signals_EU!O165=1,Signals_EU!R165*Mapping!$C$2,IF(Signals_EU!O165=-1,-Signals_EU!S165*Mapping!$C$2,0))</f>
        <v>0</v>
      </c>
      <c r="C165" s="1">
        <f>IF(Signals_EU!F165=1,Signals_EU!R165*Mapping!$C$3,IF(Signals_EU!F165=-1,-Signals_EU!S165*Mapping!$C$3,0))</f>
        <v>0</v>
      </c>
      <c r="D165" s="1">
        <f>IF(Signals_EU!C165=1,Signals_EU!R165*Mapping!$C$4,IF(Signals_EU!C165=-1,-Signals_EU!S165*Mapping!$C$4,0))</f>
        <v>0</v>
      </c>
      <c r="E165" s="1">
        <f>IF(Signals_EU!C165=1,Signals_EU!R165*Mapping!$C$5,IF(Signals_EU!C165=-1,-Signals_EU!S165*Mapping!$C$5,0))</f>
        <v>0</v>
      </c>
      <c r="F165" s="1">
        <f>IF(Signals_EU!H165=1,Signals_EU!R165*Mapping!$C$6,IF(Signals_EU!H165=-1,-Signals_EU!S165*Mapping!$C$6,0))</f>
        <v>-1.0000000000000002E-2</v>
      </c>
      <c r="G165" s="1">
        <f>IF(Signals_EU!F165=1,Signals_EU!R165*Mapping!$C$7,IF(Signals_EU!F165=-1,-Signals_EU!S165*Mapping!$C$7,0))</f>
        <v>0</v>
      </c>
      <c r="H165" s="1">
        <f>IF(Signals_EU!D165=1,Signals_EU!R165*Mapping!$C$8,IF(Signals_EU!D165=-1,-Signals_EU!S165*Mapping!$C$8,0))</f>
        <v>0</v>
      </c>
      <c r="I165" s="1">
        <f>IF(Signals_EU!G165=1,Signals_EU!R165*Mapping!$C$9,IF(Signals_EU!G165=-1,-Signals_EU!S165*Mapping!$C$9,0))</f>
        <v>5.000000000000001E-2</v>
      </c>
      <c r="J165" s="1">
        <f>IF(Signals_EU!H165=1,Signals_EU!R165*Mapping!$C$10,IF(Signals_EU!H165=-1,-Signals_EU!S165*Mapping!$C$10,0))</f>
        <v>-4.0000000000000008E-2</v>
      </c>
      <c r="K165" s="1">
        <f>IF(Signals_EU!F165=1,Signals_EU!R165*Mapping!$C$11,IF(Signals_EU!F165=-1,-Signals_EU!S165*Mapping!$C$11,0))</f>
        <v>0</v>
      </c>
      <c r="L165" s="1">
        <f>IF(Signals_EU!N165=1,Signals_EU!R165*Mapping!$C$12,IF(Signals_EU!N165=-1,-Signals_EU!S165*Mapping!$C$12,0))</f>
        <v>-5.000000000000001E-2</v>
      </c>
      <c r="M165" s="1">
        <f>IF(Signals_EU!I165=1,Signals_EU!R165*Mapping!$C$13,IF(Signals_EU!I165=-1,-Signals_EU!S165*Mapping!$C$13,0))</f>
        <v>0</v>
      </c>
      <c r="N165" s="1">
        <f>IF(Signals_EU!E165=1,Signals_EU!R165*Mapping!$C$14,IF(Signals_EU!E165=-1,-Signals_EU!S165*Mapping!$C$14,0))</f>
        <v>-5.000000000000001E-2</v>
      </c>
      <c r="O165" s="1">
        <f>0</f>
        <v>0</v>
      </c>
      <c r="P165" s="1">
        <f>0</f>
        <v>0</v>
      </c>
      <c r="Q165" s="1">
        <f>IF(Signals_EU!J165=1,Signals_EU!R165*Mapping!$C$17,IF(Signals_EU!J165=-1,-Signals_EU!S165*Mapping!$C$17,0))</f>
        <v>5.000000000000001E-2</v>
      </c>
      <c r="R165" s="1">
        <f>IF(Signals_EU!K165=1,Signals_EU!R165*Mapping!$C$18,IF(Signals_EU!K165=-1,-Signals_EU!S165*Mapping!$C$18,0))</f>
        <v>5.000000000000001E-2</v>
      </c>
      <c r="S165" s="1">
        <f>IF(Signals_EU!M165=1,Signals_EU!R165*Mapping!$C$19,IF(Signals_EU!M165=-1,-Signals_EU!S165*Mapping!$C$19,0))</f>
        <v>0</v>
      </c>
      <c r="T165" s="1">
        <f>IF(Signals_EU!L165=1,Signals_EU!R165*Mapping!$C$20,IF(Signals_EU!L165=-1,-Signals_EU!S165*Mapping!$C$20,0))</f>
        <v>0</v>
      </c>
      <c r="U165" s="1">
        <f t="shared" si="2"/>
        <v>0</v>
      </c>
    </row>
    <row r="166" spans="1:21">
      <c r="A166" s="5">
        <f>Signals_EU!B166</f>
        <v>44044</v>
      </c>
      <c r="B166" s="1">
        <f>IF(Signals_EU!O166=1,Signals_EU!R166*Mapping!$C$2,IF(Signals_EU!O166=-1,-Signals_EU!S166*Mapping!$C$2,0))</f>
        <v>0</v>
      </c>
      <c r="C166" s="1">
        <f>IF(Signals_EU!F166=1,Signals_EU!R166*Mapping!$C$3,IF(Signals_EU!F166=-1,-Signals_EU!S166*Mapping!$C$3,0))</f>
        <v>0</v>
      </c>
      <c r="D166" s="1">
        <f>IF(Signals_EU!C166=1,Signals_EU!R166*Mapping!$C$4,IF(Signals_EU!C166=-1,-Signals_EU!S166*Mapping!$C$4,0))</f>
        <v>0</v>
      </c>
      <c r="E166" s="1">
        <f>IF(Signals_EU!C166=1,Signals_EU!R166*Mapping!$C$5,IF(Signals_EU!C166=-1,-Signals_EU!S166*Mapping!$C$5,0))</f>
        <v>0</v>
      </c>
      <c r="F166" s="1">
        <f>IF(Signals_EU!H166=1,Signals_EU!R166*Mapping!$C$6,IF(Signals_EU!H166=-1,-Signals_EU!S166*Mapping!$C$6,0))</f>
        <v>-1.0000000000000002E-2</v>
      </c>
      <c r="G166" s="1">
        <f>IF(Signals_EU!F166=1,Signals_EU!R166*Mapping!$C$7,IF(Signals_EU!F166=-1,-Signals_EU!S166*Mapping!$C$7,0))</f>
        <v>0</v>
      </c>
      <c r="H166" s="1">
        <f>IF(Signals_EU!D166=1,Signals_EU!R166*Mapping!$C$8,IF(Signals_EU!D166=-1,-Signals_EU!S166*Mapping!$C$8,0))</f>
        <v>0</v>
      </c>
      <c r="I166" s="1">
        <f>IF(Signals_EU!G166=1,Signals_EU!R166*Mapping!$C$9,IF(Signals_EU!G166=-1,-Signals_EU!S166*Mapping!$C$9,0))</f>
        <v>5.000000000000001E-2</v>
      </c>
      <c r="J166" s="1">
        <f>IF(Signals_EU!H166=1,Signals_EU!R166*Mapping!$C$10,IF(Signals_EU!H166=-1,-Signals_EU!S166*Mapping!$C$10,0))</f>
        <v>-4.0000000000000008E-2</v>
      </c>
      <c r="K166" s="1">
        <f>IF(Signals_EU!F166=1,Signals_EU!R166*Mapping!$C$11,IF(Signals_EU!F166=-1,-Signals_EU!S166*Mapping!$C$11,0))</f>
        <v>0</v>
      </c>
      <c r="L166" s="1">
        <f>IF(Signals_EU!N166=1,Signals_EU!R166*Mapping!$C$12,IF(Signals_EU!N166=-1,-Signals_EU!S166*Mapping!$C$12,0))</f>
        <v>0</v>
      </c>
      <c r="M166" s="1">
        <f>IF(Signals_EU!I166=1,Signals_EU!R166*Mapping!$C$13,IF(Signals_EU!I166=-1,-Signals_EU!S166*Mapping!$C$13,0))</f>
        <v>-5.000000000000001E-2</v>
      </c>
      <c r="N166" s="1">
        <f>IF(Signals_EU!E166=1,Signals_EU!R166*Mapping!$C$14,IF(Signals_EU!E166=-1,-Signals_EU!S166*Mapping!$C$14,0))</f>
        <v>-5.000000000000001E-2</v>
      </c>
      <c r="O166" s="1">
        <f>0</f>
        <v>0</v>
      </c>
      <c r="P166" s="1">
        <f>0</f>
        <v>0</v>
      </c>
      <c r="Q166" s="1">
        <f>IF(Signals_EU!J166=1,Signals_EU!R166*Mapping!$C$17,IF(Signals_EU!J166=-1,-Signals_EU!S166*Mapping!$C$17,0))</f>
        <v>5.000000000000001E-2</v>
      </c>
      <c r="R166" s="1">
        <f>IF(Signals_EU!K166=1,Signals_EU!R166*Mapping!$C$18,IF(Signals_EU!K166=-1,-Signals_EU!S166*Mapping!$C$18,0))</f>
        <v>5.000000000000001E-2</v>
      </c>
      <c r="S166" s="1">
        <f>IF(Signals_EU!M166=1,Signals_EU!R166*Mapping!$C$19,IF(Signals_EU!M166=-1,-Signals_EU!S166*Mapping!$C$19,0))</f>
        <v>0</v>
      </c>
      <c r="T166" s="1">
        <f>IF(Signals_EU!L166=1,Signals_EU!R166*Mapping!$C$20,IF(Signals_EU!L166=-1,-Signals_EU!S166*Mapping!$C$20,0))</f>
        <v>0</v>
      </c>
      <c r="U166" s="1">
        <f t="shared" si="2"/>
        <v>0</v>
      </c>
    </row>
    <row r="167" spans="1:21">
      <c r="A167" s="5">
        <f>Signals_EU!B167</f>
        <v>44075</v>
      </c>
      <c r="B167" s="1">
        <f>IF(Signals_EU!O167=1,Signals_EU!R167*Mapping!$C$2,IF(Signals_EU!O167=-1,-Signals_EU!S167*Mapping!$C$2,0))</f>
        <v>0</v>
      </c>
      <c r="C167" s="1">
        <f>IF(Signals_EU!F167=1,Signals_EU!R167*Mapping!$C$3,IF(Signals_EU!F167=-1,-Signals_EU!S167*Mapping!$C$3,0))</f>
        <v>0</v>
      </c>
      <c r="D167" s="1">
        <f>IF(Signals_EU!C167=1,Signals_EU!R167*Mapping!$C$4,IF(Signals_EU!C167=-1,-Signals_EU!S167*Mapping!$C$4,0))</f>
        <v>0</v>
      </c>
      <c r="E167" s="1">
        <f>IF(Signals_EU!C167=1,Signals_EU!R167*Mapping!$C$5,IF(Signals_EU!C167=-1,-Signals_EU!S167*Mapping!$C$5,0))</f>
        <v>0</v>
      </c>
      <c r="F167" s="1">
        <f>IF(Signals_EU!H167=1,Signals_EU!R167*Mapping!$C$6,IF(Signals_EU!H167=-1,-Signals_EU!S167*Mapping!$C$6,0))</f>
        <v>0</v>
      </c>
      <c r="G167" s="1">
        <f>IF(Signals_EU!F167=1,Signals_EU!R167*Mapping!$C$7,IF(Signals_EU!F167=-1,-Signals_EU!S167*Mapping!$C$7,0))</f>
        <v>0</v>
      </c>
      <c r="H167" s="1">
        <f>IF(Signals_EU!D167=1,Signals_EU!R167*Mapping!$C$8,IF(Signals_EU!D167=-1,-Signals_EU!S167*Mapping!$C$8,0))</f>
        <v>0</v>
      </c>
      <c r="I167" s="1">
        <f>IF(Signals_EU!G167=1,Signals_EU!R167*Mapping!$C$9,IF(Signals_EU!G167=-1,-Signals_EU!S167*Mapping!$C$9,0))</f>
        <v>5.000000000000001E-2</v>
      </c>
      <c r="J167" s="1">
        <f>IF(Signals_EU!H167=1,Signals_EU!R167*Mapping!$C$10,IF(Signals_EU!H167=-1,-Signals_EU!S167*Mapping!$C$10,0))</f>
        <v>0</v>
      </c>
      <c r="K167" s="1">
        <f>IF(Signals_EU!F167=1,Signals_EU!R167*Mapping!$C$11,IF(Signals_EU!F167=-1,-Signals_EU!S167*Mapping!$C$11,0))</f>
        <v>0</v>
      </c>
      <c r="L167" s="1">
        <f>IF(Signals_EU!N167=1,Signals_EU!R167*Mapping!$C$12,IF(Signals_EU!N167=-1,-Signals_EU!S167*Mapping!$C$12,0))</f>
        <v>-5.000000000000001E-2</v>
      </c>
      <c r="M167" s="1">
        <f>IF(Signals_EU!I167=1,Signals_EU!R167*Mapping!$C$13,IF(Signals_EU!I167=-1,-Signals_EU!S167*Mapping!$C$13,0))</f>
        <v>-5.000000000000001E-2</v>
      </c>
      <c r="N167" s="1">
        <f>IF(Signals_EU!E167=1,Signals_EU!R167*Mapping!$C$14,IF(Signals_EU!E167=-1,-Signals_EU!S167*Mapping!$C$14,0))</f>
        <v>-5.000000000000001E-2</v>
      </c>
      <c r="O167" s="1">
        <f>0</f>
        <v>0</v>
      </c>
      <c r="P167" s="1">
        <f>0</f>
        <v>0</v>
      </c>
      <c r="Q167" s="1">
        <f>IF(Signals_EU!J167=1,Signals_EU!R167*Mapping!$C$17,IF(Signals_EU!J167=-1,-Signals_EU!S167*Mapping!$C$17,0))</f>
        <v>5.000000000000001E-2</v>
      </c>
      <c r="R167" s="1">
        <f>IF(Signals_EU!K167=1,Signals_EU!R167*Mapping!$C$18,IF(Signals_EU!K167=-1,-Signals_EU!S167*Mapping!$C$18,0))</f>
        <v>5.000000000000001E-2</v>
      </c>
      <c r="S167" s="1">
        <f>IF(Signals_EU!M167=1,Signals_EU!R167*Mapping!$C$19,IF(Signals_EU!M167=-1,-Signals_EU!S167*Mapping!$C$19,0))</f>
        <v>0</v>
      </c>
      <c r="T167" s="1">
        <f>IF(Signals_EU!L167=1,Signals_EU!R167*Mapping!$C$20,IF(Signals_EU!L167=-1,-Signals_EU!S167*Mapping!$C$20,0))</f>
        <v>0</v>
      </c>
      <c r="U167" s="1">
        <f t="shared" si="2"/>
        <v>0</v>
      </c>
    </row>
    <row r="168" spans="1:21">
      <c r="A168" s="5">
        <f>Signals_EU!B168</f>
        <v>44105</v>
      </c>
      <c r="B168" s="1">
        <f>IF(Signals_EU!O168=1,Signals_EU!R168*Mapping!$C$2,IF(Signals_EU!O168=-1,-Signals_EU!S168*Mapping!$C$2,0))</f>
        <v>0</v>
      </c>
      <c r="C168" s="1">
        <f>IF(Signals_EU!F168=1,Signals_EU!R168*Mapping!$C$3,IF(Signals_EU!F168=-1,-Signals_EU!S168*Mapping!$C$3,0))</f>
        <v>0</v>
      </c>
      <c r="D168" s="1">
        <f>IF(Signals_EU!C168=1,Signals_EU!R168*Mapping!$C$4,IF(Signals_EU!C168=-1,-Signals_EU!S168*Mapping!$C$4,0))</f>
        <v>2.5000000000000005E-2</v>
      </c>
      <c r="E168" s="1">
        <f>IF(Signals_EU!C168=1,Signals_EU!R168*Mapping!$C$5,IF(Signals_EU!C168=-1,-Signals_EU!S168*Mapping!$C$5,0))</f>
        <v>2.5000000000000005E-2</v>
      </c>
      <c r="F168" s="1">
        <f>IF(Signals_EU!H168=1,Signals_EU!R168*Mapping!$C$6,IF(Signals_EU!H168=-1,-Signals_EU!S168*Mapping!$C$6,0))</f>
        <v>-1.0000000000000002E-2</v>
      </c>
      <c r="G168" s="1">
        <f>IF(Signals_EU!F168=1,Signals_EU!R168*Mapping!$C$7,IF(Signals_EU!F168=-1,-Signals_EU!S168*Mapping!$C$7,0))</f>
        <v>0</v>
      </c>
      <c r="H168" s="1">
        <f>IF(Signals_EU!D168=1,Signals_EU!R168*Mapping!$C$8,IF(Signals_EU!D168=-1,-Signals_EU!S168*Mapping!$C$8,0))</f>
        <v>0</v>
      </c>
      <c r="I168" s="1">
        <f>IF(Signals_EU!G168=1,Signals_EU!R168*Mapping!$C$9,IF(Signals_EU!G168=-1,-Signals_EU!S168*Mapping!$C$9,0))</f>
        <v>0</v>
      </c>
      <c r="J168" s="1">
        <f>IF(Signals_EU!H168=1,Signals_EU!R168*Mapping!$C$10,IF(Signals_EU!H168=-1,-Signals_EU!S168*Mapping!$C$10,0))</f>
        <v>-4.0000000000000008E-2</v>
      </c>
      <c r="K168" s="1">
        <f>IF(Signals_EU!F168=1,Signals_EU!R168*Mapping!$C$11,IF(Signals_EU!F168=-1,-Signals_EU!S168*Mapping!$C$11,0))</f>
        <v>0</v>
      </c>
      <c r="L168" s="1">
        <f>IF(Signals_EU!N168=1,Signals_EU!R168*Mapping!$C$12,IF(Signals_EU!N168=-1,-Signals_EU!S168*Mapping!$C$12,0))</f>
        <v>-5.000000000000001E-2</v>
      </c>
      <c r="M168" s="1">
        <f>IF(Signals_EU!I168=1,Signals_EU!R168*Mapping!$C$13,IF(Signals_EU!I168=-1,-Signals_EU!S168*Mapping!$C$13,0))</f>
        <v>0</v>
      </c>
      <c r="N168" s="1">
        <f>IF(Signals_EU!E168=1,Signals_EU!R168*Mapping!$C$14,IF(Signals_EU!E168=-1,-Signals_EU!S168*Mapping!$C$14,0))</f>
        <v>-5.000000000000001E-2</v>
      </c>
      <c r="O168" s="1">
        <f>0</f>
        <v>0</v>
      </c>
      <c r="P168" s="1">
        <f>0</f>
        <v>0</v>
      </c>
      <c r="Q168" s="1">
        <f>IF(Signals_EU!J168=1,Signals_EU!R168*Mapping!$C$17,IF(Signals_EU!J168=-1,-Signals_EU!S168*Mapping!$C$17,0))</f>
        <v>5.000000000000001E-2</v>
      </c>
      <c r="R168" s="1">
        <f>IF(Signals_EU!K168=1,Signals_EU!R168*Mapping!$C$18,IF(Signals_EU!K168=-1,-Signals_EU!S168*Mapping!$C$18,0))</f>
        <v>5.000000000000001E-2</v>
      </c>
      <c r="S168" s="1">
        <f>IF(Signals_EU!M168=1,Signals_EU!R168*Mapping!$C$19,IF(Signals_EU!M168=-1,-Signals_EU!S168*Mapping!$C$19,0))</f>
        <v>0</v>
      </c>
      <c r="T168" s="1">
        <f>IF(Signals_EU!L168=1,Signals_EU!R168*Mapping!$C$20,IF(Signals_EU!L168=-1,-Signals_EU!S168*Mapping!$C$20,0))</f>
        <v>0</v>
      </c>
      <c r="U168" s="1">
        <f t="shared" si="2"/>
        <v>0</v>
      </c>
    </row>
    <row r="169" spans="1:21">
      <c r="A169" s="5">
        <f>Signals_EU!B169</f>
        <v>44136</v>
      </c>
      <c r="B169" s="1">
        <f>IF(Signals_EU!O169=1,Signals_EU!R169*Mapping!$C$2,IF(Signals_EU!O169=-1,-Signals_EU!S169*Mapping!$C$2,0))</f>
        <v>5.000000000000001E-2</v>
      </c>
      <c r="C169" s="1">
        <f>IF(Signals_EU!F169=1,Signals_EU!R169*Mapping!$C$3,IF(Signals_EU!F169=-1,-Signals_EU!S169*Mapping!$C$3,0))</f>
        <v>0</v>
      </c>
      <c r="D169" s="1">
        <f>IF(Signals_EU!C169=1,Signals_EU!R169*Mapping!$C$4,IF(Signals_EU!C169=-1,-Signals_EU!S169*Mapping!$C$4,0))</f>
        <v>2.5000000000000005E-2</v>
      </c>
      <c r="E169" s="1">
        <f>IF(Signals_EU!C169=1,Signals_EU!R169*Mapping!$C$5,IF(Signals_EU!C169=-1,-Signals_EU!S169*Mapping!$C$5,0))</f>
        <v>2.5000000000000005E-2</v>
      </c>
      <c r="F169" s="1">
        <f>IF(Signals_EU!H169=1,Signals_EU!R169*Mapping!$C$6,IF(Signals_EU!H169=-1,-Signals_EU!S169*Mapping!$C$6,0))</f>
        <v>-1.0000000000000002E-2</v>
      </c>
      <c r="G169" s="1">
        <f>IF(Signals_EU!F169=1,Signals_EU!R169*Mapping!$C$7,IF(Signals_EU!F169=-1,-Signals_EU!S169*Mapping!$C$7,0))</f>
        <v>0</v>
      </c>
      <c r="H169" s="1">
        <f>IF(Signals_EU!D169=1,Signals_EU!R169*Mapping!$C$8,IF(Signals_EU!D169=-1,-Signals_EU!S169*Mapping!$C$8,0))</f>
        <v>0</v>
      </c>
      <c r="I169" s="1">
        <f>IF(Signals_EU!G169=1,Signals_EU!R169*Mapping!$C$9,IF(Signals_EU!G169=-1,-Signals_EU!S169*Mapping!$C$9,0))</f>
        <v>0</v>
      </c>
      <c r="J169" s="1">
        <f>IF(Signals_EU!H169=1,Signals_EU!R169*Mapping!$C$10,IF(Signals_EU!H169=-1,-Signals_EU!S169*Mapping!$C$10,0))</f>
        <v>-4.0000000000000008E-2</v>
      </c>
      <c r="K169" s="1">
        <f>IF(Signals_EU!F169=1,Signals_EU!R169*Mapping!$C$11,IF(Signals_EU!F169=-1,-Signals_EU!S169*Mapping!$C$11,0))</f>
        <v>0</v>
      </c>
      <c r="L169" s="1">
        <f>IF(Signals_EU!N169=1,Signals_EU!R169*Mapping!$C$12,IF(Signals_EU!N169=-1,-Signals_EU!S169*Mapping!$C$12,0))</f>
        <v>-5.000000000000001E-2</v>
      </c>
      <c r="M169" s="1">
        <f>IF(Signals_EU!I169=1,Signals_EU!R169*Mapping!$C$13,IF(Signals_EU!I169=-1,-Signals_EU!S169*Mapping!$C$13,0))</f>
        <v>0</v>
      </c>
      <c r="N169" s="1">
        <f>IF(Signals_EU!E169=1,Signals_EU!R169*Mapping!$C$14,IF(Signals_EU!E169=-1,-Signals_EU!S169*Mapping!$C$14,0))</f>
        <v>-5.000000000000001E-2</v>
      </c>
      <c r="O169" s="1">
        <f>0</f>
        <v>0</v>
      </c>
      <c r="P169" s="1">
        <f>0</f>
        <v>0</v>
      </c>
      <c r="Q169" s="1">
        <f>IF(Signals_EU!J169=1,Signals_EU!R169*Mapping!$C$17,IF(Signals_EU!J169=-1,-Signals_EU!S169*Mapping!$C$17,0))</f>
        <v>0</v>
      </c>
      <c r="R169" s="1">
        <f>IF(Signals_EU!K169=1,Signals_EU!R169*Mapping!$C$18,IF(Signals_EU!K169=-1,-Signals_EU!S169*Mapping!$C$18,0))</f>
        <v>5.000000000000001E-2</v>
      </c>
      <c r="S169" s="1">
        <f>IF(Signals_EU!M169=1,Signals_EU!R169*Mapping!$C$19,IF(Signals_EU!M169=-1,-Signals_EU!S169*Mapping!$C$19,0))</f>
        <v>0</v>
      </c>
      <c r="T169" s="1">
        <f>IF(Signals_EU!L169=1,Signals_EU!R169*Mapping!$C$20,IF(Signals_EU!L169=-1,-Signals_EU!S169*Mapping!$C$20,0))</f>
        <v>0</v>
      </c>
      <c r="U169" s="1">
        <f t="shared" si="2"/>
        <v>0</v>
      </c>
    </row>
    <row r="170" spans="1:21">
      <c r="A170" s="5">
        <f>Signals_EU!B170</f>
        <v>44166</v>
      </c>
      <c r="B170" s="1">
        <f>IF(Signals_EU!O170=1,Signals_EU!R170*Mapping!$C$2,IF(Signals_EU!O170=-1,-Signals_EU!S170*Mapping!$C$2,0))</f>
        <v>0</v>
      </c>
      <c r="C170" s="1">
        <f>IF(Signals_EU!F170=1,Signals_EU!R170*Mapping!$C$3,IF(Signals_EU!F170=-1,-Signals_EU!S170*Mapping!$C$3,0))</f>
        <v>-3.0000000000000006E-2</v>
      </c>
      <c r="D170" s="1">
        <f>IF(Signals_EU!C170=1,Signals_EU!R170*Mapping!$C$4,IF(Signals_EU!C170=-1,-Signals_EU!S170*Mapping!$C$4,0))</f>
        <v>2.5000000000000005E-2</v>
      </c>
      <c r="E170" s="1">
        <f>IF(Signals_EU!C170=1,Signals_EU!R170*Mapping!$C$5,IF(Signals_EU!C170=-1,-Signals_EU!S170*Mapping!$C$5,0))</f>
        <v>2.5000000000000005E-2</v>
      </c>
      <c r="F170" s="1">
        <f>IF(Signals_EU!H170=1,Signals_EU!R170*Mapping!$C$6,IF(Signals_EU!H170=-1,-Signals_EU!S170*Mapping!$C$6,0))</f>
        <v>0</v>
      </c>
      <c r="G170" s="1">
        <f>IF(Signals_EU!F170=1,Signals_EU!R170*Mapping!$C$7,IF(Signals_EU!F170=-1,-Signals_EU!S170*Mapping!$C$7,0))</f>
        <v>-1.0000000000000002E-2</v>
      </c>
      <c r="H170" s="1">
        <f>IF(Signals_EU!D170=1,Signals_EU!R170*Mapping!$C$8,IF(Signals_EU!D170=-1,-Signals_EU!S170*Mapping!$C$8,0))</f>
        <v>5.000000000000001E-2</v>
      </c>
      <c r="I170" s="1">
        <f>IF(Signals_EU!G170=1,Signals_EU!R170*Mapping!$C$9,IF(Signals_EU!G170=-1,-Signals_EU!S170*Mapping!$C$9,0))</f>
        <v>0</v>
      </c>
      <c r="J170" s="1">
        <f>IF(Signals_EU!H170=1,Signals_EU!R170*Mapping!$C$10,IF(Signals_EU!H170=-1,-Signals_EU!S170*Mapping!$C$10,0))</f>
        <v>0</v>
      </c>
      <c r="K170" s="1">
        <f>IF(Signals_EU!F170=1,Signals_EU!R170*Mapping!$C$11,IF(Signals_EU!F170=-1,-Signals_EU!S170*Mapping!$C$11,0))</f>
        <v>-1.0000000000000002E-2</v>
      </c>
      <c r="L170" s="1">
        <f>IF(Signals_EU!N170=1,Signals_EU!R170*Mapping!$C$12,IF(Signals_EU!N170=-1,-Signals_EU!S170*Mapping!$C$12,0))</f>
        <v>-5.000000000000001E-2</v>
      </c>
      <c r="M170" s="1">
        <f>IF(Signals_EU!I170=1,Signals_EU!R170*Mapping!$C$13,IF(Signals_EU!I170=-1,-Signals_EU!S170*Mapping!$C$13,0))</f>
        <v>-5.000000000000001E-2</v>
      </c>
      <c r="N170" s="1">
        <f>IF(Signals_EU!E170=1,Signals_EU!R170*Mapping!$C$14,IF(Signals_EU!E170=-1,-Signals_EU!S170*Mapping!$C$14,0))</f>
        <v>0</v>
      </c>
      <c r="O170" s="1">
        <f>0</f>
        <v>0</v>
      </c>
      <c r="P170" s="1">
        <f>0</f>
        <v>0</v>
      </c>
      <c r="Q170" s="1">
        <f>IF(Signals_EU!J170=1,Signals_EU!R170*Mapping!$C$17,IF(Signals_EU!J170=-1,-Signals_EU!S170*Mapping!$C$17,0))</f>
        <v>5.000000000000001E-2</v>
      </c>
      <c r="R170" s="1">
        <f>IF(Signals_EU!K170=1,Signals_EU!R170*Mapping!$C$18,IF(Signals_EU!K170=-1,-Signals_EU!S170*Mapping!$C$18,0))</f>
        <v>0</v>
      </c>
      <c r="S170" s="1">
        <f>IF(Signals_EU!M170=1,Signals_EU!R170*Mapping!$C$19,IF(Signals_EU!M170=-1,-Signals_EU!S170*Mapping!$C$19,0))</f>
        <v>0</v>
      </c>
      <c r="T170" s="1">
        <f>IF(Signals_EU!L170=1,Signals_EU!R170*Mapping!$C$20,IF(Signals_EU!L170=-1,-Signals_EU!S170*Mapping!$C$20,0))</f>
        <v>0</v>
      </c>
      <c r="U170" s="1">
        <f t="shared" si="2"/>
        <v>0</v>
      </c>
    </row>
    <row r="171" spans="1:21">
      <c r="A171" s="5">
        <f>Signals_EU!B171</f>
        <v>44197</v>
      </c>
      <c r="B171" s="1">
        <f>IF(Signals_EU!O171=1,Signals_EU!R171*Mapping!$C$2,IF(Signals_EU!O171=-1,-Signals_EU!S171*Mapping!$C$2,0))</f>
        <v>5.000000000000001E-2</v>
      </c>
      <c r="C171" s="1">
        <f>IF(Signals_EU!F171=1,Signals_EU!R171*Mapping!$C$3,IF(Signals_EU!F171=-1,-Signals_EU!S171*Mapping!$C$3,0))</f>
        <v>-3.0000000000000006E-2</v>
      </c>
      <c r="D171" s="1">
        <f>IF(Signals_EU!C171=1,Signals_EU!R171*Mapping!$C$4,IF(Signals_EU!C171=-1,-Signals_EU!S171*Mapping!$C$4,0))</f>
        <v>2.5000000000000005E-2</v>
      </c>
      <c r="E171" s="1">
        <f>IF(Signals_EU!C171=1,Signals_EU!R171*Mapping!$C$5,IF(Signals_EU!C171=-1,-Signals_EU!S171*Mapping!$C$5,0))</f>
        <v>2.5000000000000005E-2</v>
      </c>
      <c r="F171" s="1">
        <f>IF(Signals_EU!H171=1,Signals_EU!R171*Mapping!$C$6,IF(Signals_EU!H171=-1,-Signals_EU!S171*Mapping!$C$6,0))</f>
        <v>0</v>
      </c>
      <c r="G171" s="1">
        <f>IF(Signals_EU!F171=1,Signals_EU!R171*Mapping!$C$7,IF(Signals_EU!F171=-1,-Signals_EU!S171*Mapping!$C$7,0))</f>
        <v>-1.0000000000000002E-2</v>
      </c>
      <c r="H171" s="1">
        <f>IF(Signals_EU!D171=1,Signals_EU!R171*Mapping!$C$8,IF(Signals_EU!D171=-1,-Signals_EU!S171*Mapping!$C$8,0))</f>
        <v>5.000000000000001E-2</v>
      </c>
      <c r="I171" s="1">
        <f>IF(Signals_EU!G171=1,Signals_EU!R171*Mapping!$C$9,IF(Signals_EU!G171=-1,-Signals_EU!S171*Mapping!$C$9,0))</f>
        <v>0</v>
      </c>
      <c r="J171" s="1">
        <f>IF(Signals_EU!H171=1,Signals_EU!R171*Mapping!$C$10,IF(Signals_EU!H171=-1,-Signals_EU!S171*Mapping!$C$10,0))</f>
        <v>0</v>
      </c>
      <c r="K171" s="1">
        <f>IF(Signals_EU!F171=1,Signals_EU!R171*Mapping!$C$11,IF(Signals_EU!F171=-1,-Signals_EU!S171*Mapping!$C$11,0))</f>
        <v>-1.0000000000000002E-2</v>
      </c>
      <c r="L171" s="1">
        <f>IF(Signals_EU!N171=1,Signals_EU!R171*Mapping!$C$12,IF(Signals_EU!N171=-1,-Signals_EU!S171*Mapping!$C$12,0))</f>
        <v>0</v>
      </c>
      <c r="M171" s="1">
        <f>IF(Signals_EU!I171=1,Signals_EU!R171*Mapping!$C$13,IF(Signals_EU!I171=-1,-Signals_EU!S171*Mapping!$C$13,0))</f>
        <v>-5.000000000000001E-2</v>
      </c>
      <c r="N171" s="1">
        <f>IF(Signals_EU!E171=1,Signals_EU!R171*Mapping!$C$14,IF(Signals_EU!E171=-1,-Signals_EU!S171*Mapping!$C$14,0))</f>
        <v>-5.000000000000001E-2</v>
      </c>
      <c r="O171" s="1">
        <f>0</f>
        <v>0</v>
      </c>
      <c r="P171" s="1">
        <f>0</f>
        <v>0</v>
      </c>
      <c r="Q171" s="1">
        <f>IF(Signals_EU!J171=1,Signals_EU!R171*Mapping!$C$17,IF(Signals_EU!J171=-1,-Signals_EU!S171*Mapping!$C$17,0))</f>
        <v>0</v>
      </c>
      <c r="R171" s="1">
        <f>IF(Signals_EU!K171=1,Signals_EU!R171*Mapping!$C$18,IF(Signals_EU!K171=-1,-Signals_EU!S171*Mapping!$C$18,0))</f>
        <v>0</v>
      </c>
      <c r="S171" s="1">
        <f>IF(Signals_EU!M171=1,Signals_EU!R171*Mapping!$C$19,IF(Signals_EU!M171=-1,-Signals_EU!S171*Mapping!$C$19,0))</f>
        <v>0</v>
      </c>
      <c r="T171" s="1">
        <f>IF(Signals_EU!L171=1,Signals_EU!R171*Mapping!$C$20,IF(Signals_EU!L171=-1,-Signals_EU!S171*Mapping!$C$20,0))</f>
        <v>0</v>
      </c>
      <c r="U171" s="1">
        <f t="shared" si="2"/>
        <v>0</v>
      </c>
    </row>
    <row r="172" spans="1:21">
      <c r="A172" s="5">
        <f>Signals_EU!B172</f>
        <v>44228</v>
      </c>
      <c r="B172" s="1">
        <f>IF(Signals_EU!O172=1,Signals_EU!R172*Mapping!$C$2,IF(Signals_EU!O172=-1,-Signals_EU!S172*Mapping!$C$2,0))</f>
        <v>5.000000000000001E-2</v>
      </c>
      <c r="C172" s="1">
        <f>IF(Signals_EU!F172=1,Signals_EU!R172*Mapping!$C$3,IF(Signals_EU!F172=-1,-Signals_EU!S172*Mapping!$C$3,0))</f>
        <v>-3.0000000000000006E-2</v>
      </c>
      <c r="D172" s="1">
        <f>IF(Signals_EU!C172=1,Signals_EU!R172*Mapping!$C$4,IF(Signals_EU!C172=-1,-Signals_EU!S172*Mapping!$C$4,0))</f>
        <v>2.5000000000000005E-2</v>
      </c>
      <c r="E172" s="1">
        <f>IF(Signals_EU!C172=1,Signals_EU!R172*Mapping!$C$5,IF(Signals_EU!C172=-1,-Signals_EU!S172*Mapping!$C$5,0))</f>
        <v>2.5000000000000005E-2</v>
      </c>
      <c r="F172" s="1">
        <f>IF(Signals_EU!H172=1,Signals_EU!R172*Mapping!$C$6,IF(Signals_EU!H172=-1,-Signals_EU!S172*Mapping!$C$6,0))</f>
        <v>0</v>
      </c>
      <c r="G172" s="1">
        <f>IF(Signals_EU!F172=1,Signals_EU!R172*Mapping!$C$7,IF(Signals_EU!F172=-1,-Signals_EU!S172*Mapping!$C$7,0))</f>
        <v>-1.0000000000000002E-2</v>
      </c>
      <c r="H172" s="1">
        <f>IF(Signals_EU!D172=1,Signals_EU!R172*Mapping!$C$8,IF(Signals_EU!D172=-1,-Signals_EU!S172*Mapping!$C$8,0))</f>
        <v>5.000000000000001E-2</v>
      </c>
      <c r="I172" s="1">
        <f>IF(Signals_EU!G172=1,Signals_EU!R172*Mapping!$C$9,IF(Signals_EU!G172=-1,-Signals_EU!S172*Mapping!$C$9,0))</f>
        <v>0</v>
      </c>
      <c r="J172" s="1">
        <f>IF(Signals_EU!H172=1,Signals_EU!R172*Mapping!$C$10,IF(Signals_EU!H172=-1,-Signals_EU!S172*Mapping!$C$10,0))</f>
        <v>0</v>
      </c>
      <c r="K172" s="1">
        <f>IF(Signals_EU!F172=1,Signals_EU!R172*Mapping!$C$11,IF(Signals_EU!F172=-1,-Signals_EU!S172*Mapping!$C$11,0))</f>
        <v>-1.0000000000000002E-2</v>
      </c>
      <c r="L172" s="1">
        <f>IF(Signals_EU!N172=1,Signals_EU!R172*Mapping!$C$12,IF(Signals_EU!N172=-1,-Signals_EU!S172*Mapping!$C$12,0))</f>
        <v>0</v>
      </c>
      <c r="M172" s="1">
        <f>IF(Signals_EU!I172=1,Signals_EU!R172*Mapping!$C$13,IF(Signals_EU!I172=-1,-Signals_EU!S172*Mapping!$C$13,0))</f>
        <v>-5.000000000000001E-2</v>
      </c>
      <c r="N172" s="1">
        <f>IF(Signals_EU!E172=1,Signals_EU!R172*Mapping!$C$14,IF(Signals_EU!E172=-1,-Signals_EU!S172*Mapping!$C$14,0))</f>
        <v>-5.000000000000001E-2</v>
      </c>
      <c r="O172" s="1">
        <f>0</f>
        <v>0</v>
      </c>
      <c r="P172" s="1">
        <f>0</f>
        <v>0</v>
      </c>
      <c r="Q172" s="1">
        <f>IF(Signals_EU!J172=1,Signals_EU!R172*Mapping!$C$17,IF(Signals_EU!J172=-1,-Signals_EU!S172*Mapping!$C$17,0))</f>
        <v>0</v>
      </c>
      <c r="R172" s="1">
        <f>IF(Signals_EU!K172=1,Signals_EU!R172*Mapping!$C$18,IF(Signals_EU!K172=-1,-Signals_EU!S172*Mapping!$C$18,0))</f>
        <v>0</v>
      </c>
      <c r="S172" s="1">
        <f>IF(Signals_EU!M172=1,Signals_EU!R172*Mapping!$C$19,IF(Signals_EU!M172=-1,-Signals_EU!S172*Mapping!$C$19,0))</f>
        <v>0</v>
      </c>
      <c r="T172" s="1">
        <f>IF(Signals_EU!L172=1,Signals_EU!R172*Mapping!$C$20,IF(Signals_EU!L172=-1,-Signals_EU!S172*Mapping!$C$20,0))</f>
        <v>0</v>
      </c>
      <c r="U172" s="1">
        <f t="shared" si="2"/>
        <v>0</v>
      </c>
    </row>
    <row r="173" spans="1:21">
      <c r="A173" s="5">
        <f>Signals_EU!B173</f>
        <v>44256</v>
      </c>
      <c r="B173" s="1">
        <f>IF(Signals_EU!O173=1,Signals_EU!R173*Mapping!$C$2,IF(Signals_EU!O173=-1,-Signals_EU!S173*Mapping!$C$2,0))</f>
        <v>0</v>
      </c>
      <c r="C173" s="1">
        <f>IF(Signals_EU!F173=1,Signals_EU!R173*Mapping!$C$3,IF(Signals_EU!F173=-1,-Signals_EU!S173*Mapping!$C$3,0))</f>
        <v>-3.0000000000000006E-2</v>
      </c>
      <c r="D173" s="1">
        <f>IF(Signals_EU!C173=1,Signals_EU!R173*Mapping!$C$4,IF(Signals_EU!C173=-1,-Signals_EU!S173*Mapping!$C$4,0))</f>
        <v>2.5000000000000005E-2</v>
      </c>
      <c r="E173" s="1">
        <f>IF(Signals_EU!C173=1,Signals_EU!R173*Mapping!$C$5,IF(Signals_EU!C173=-1,-Signals_EU!S173*Mapping!$C$5,0))</f>
        <v>2.5000000000000005E-2</v>
      </c>
      <c r="F173" s="1">
        <f>IF(Signals_EU!H173=1,Signals_EU!R173*Mapping!$C$6,IF(Signals_EU!H173=-1,-Signals_EU!S173*Mapping!$C$6,0))</f>
        <v>0</v>
      </c>
      <c r="G173" s="1">
        <f>IF(Signals_EU!F173=1,Signals_EU!R173*Mapping!$C$7,IF(Signals_EU!F173=-1,-Signals_EU!S173*Mapping!$C$7,0))</f>
        <v>-1.0000000000000002E-2</v>
      </c>
      <c r="H173" s="1">
        <f>IF(Signals_EU!D173=1,Signals_EU!R173*Mapping!$C$8,IF(Signals_EU!D173=-1,-Signals_EU!S173*Mapping!$C$8,0))</f>
        <v>5.000000000000001E-2</v>
      </c>
      <c r="I173" s="1">
        <f>IF(Signals_EU!G173=1,Signals_EU!R173*Mapping!$C$9,IF(Signals_EU!G173=-1,-Signals_EU!S173*Mapping!$C$9,0))</f>
        <v>0</v>
      </c>
      <c r="J173" s="1">
        <f>IF(Signals_EU!H173=1,Signals_EU!R173*Mapping!$C$10,IF(Signals_EU!H173=-1,-Signals_EU!S173*Mapping!$C$10,0))</f>
        <v>0</v>
      </c>
      <c r="K173" s="1">
        <f>IF(Signals_EU!F173=1,Signals_EU!R173*Mapping!$C$11,IF(Signals_EU!F173=-1,-Signals_EU!S173*Mapping!$C$11,0))</f>
        <v>-1.0000000000000002E-2</v>
      </c>
      <c r="L173" s="1">
        <f>IF(Signals_EU!N173=1,Signals_EU!R173*Mapping!$C$12,IF(Signals_EU!N173=-1,-Signals_EU!S173*Mapping!$C$12,0))</f>
        <v>-5.000000000000001E-2</v>
      </c>
      <c r="M173" s="1">
        <f>IF(Signals_EU!I173=1,Signals_EU!R173*Mapping!$C$13,IF(Signals_EU!I173=-1,-Signals_EU!S173*Mapping!$C$13,0))</f>
        <v>-5.000000000000001E-2</v>
      </c>
      <c r="N173" s="1">
        <f>IF(Signals_EU!E173=1,Signals_EU!R173*Mapping!$C$14,IF(Signals_EU!E173=-1,-Signals_EU!S173*Mapping!$C$14,0))</f>
        <v>0</v>
      </c>
      <c r="O173" s="1">
        <f>0</f>
        <v>0</v>
      </c>
      <c r="P173" s="1">
        <f>0</f>
        <v>0</v>
      </c>
      <c r="Q173" s="1">
        <f>IF(Signals_EU!J173=1,Signals_EU!R173*Mapping!$C$17,IF(Signals_EU!J173=-1,-Signals_EU!S173*Mapping!$C$17,0))</f>
        <v>5.000000000000001E-2</v>
      </c>
      <c r="R173" s="1">
        <f>IF(Signals_EU!K173=1,Signals_EU!R173*Mapping!$C$18,IF(Signals_EU!K173=-1,-Signals_EU!S173*Mapping!$C$18,0))</f>
        <v>0</v>
      </c>
      <c r="S173" s="1">
        <f>IF(Signals_EU!M173=1,Signals_EU!R173*Mapping!$C$19,IF(Signals_EU!M173=-1,-Signals_EU!S173*Mapping!$C$19,0))</f>
        <v>0</v>
      </c>
      <c r="T173" s="1">
        <f>IF(Signals_EU!L173=1,Signals_EU!R173*Mapping!$C$20,IF(Signals_EU!L173=-1,-Signals_EU!S173*Mapping!$C$20,0))</f>
        <v>0</v>
      </c>
      <c r="U173" s="1">
        <f t="shared" si="2"/>
        <v>0</v>
      </c>
    </row>
    <row r="174" spans="1:21">
      <c r="A174" s="5">
        <f>Signals_EU!B174</f>
        <v>44287</v>
      </c>
      <c r="B174" s="1">
        <f>IF(Signals_EU!O174=1,Signals_EU!R174*Mapping!$C$2,IF(Signals_EU!O174=-1,-Signals_EU!S174*Mapping!$C$2,0))</f>
        <v>5.000000000000001E-2</v>
      </c>
      <c r="C174" s="1">
        <f>IF(Signals_EU!F174=1,Signals_EU!R174*Mapping!$C$3,IF(Signals_EU!F174=-1,-Signals_EU!S174*Mapping!$C$3,0))</f>
        <v>-3.0000000000000006E-2</v>
      </c>
      <c r="D174" s="1">
        <f>IF(Signals_EU!C174=1,Signals_EU!R174*Mapping!$C$4,IF(Signals_EU!C174=-1,-Signals_EU!S174*Mapping!$C$4,0))</f>
        <v>2.5000000000000005E-2</v>
      </c>
      <c r="E174" s="1">
        <f>IF(Signals_EU!C174=1,Signals_EU!R174*Mapping!$C$5,IF(Signals_EU!C174=-1,-Signals_EU!S174*Mapping!$C$5,0))</f>
        <v>2.5000000000000005E-2</v>
      </c>
      <c r="F174" s="1">
        <f>IF(Signals_EU!H174=1,Signals_EU!R174*Mapping!$C$6,IF(Signals_EU!H174=-1,-Signals_EU!S174*Mapping!$C$6,0))</f>
        <v>-1.0000000000000002E-2</v>
      </c>
      <c r="G174" s="1">
        <f>IF(Signals_EU!F174=1,Signals_EU!R174*Mapping!$C$7,IF(Signals_EU!F174=-1,-Signals_EU!S174*Mapping!$C$7,0))</f>
        <v>-1.0000000000000002E-2</v>
      </c>
      <c r="H174" s="1">
        <f>IF(Signals_EU!D174=1,Signals_EU!R174*Mapping!$C$8,IF(Signals_EU!D174=-1,-Signals_EU!S174*Mapping!$C$8,0))</f>
        <v>0</v>
      </c>
      <c r="I174" s="1">
        <f>IF(Signals_EU!G174=1,Signals_EU!R174*Mapping!$C$9,IF(Signals_EU!G174=-1,-Signals_EU!S174*Mapping!$C$9,0))</f>
        <v>0</v>
      </c>
      <c r="J174" s="1">
        <f>IF(Signals_EU!H174=1,Signals_EU!R174*Mapping!$C$10,IF(Signals_EU!H174=-1,-Signals_EU!S174*Mapping!$C$10,0))</f>
        <v>-4.0000000000000008E-2</v>
      </c>
      <c r="K174" s="1">
        <f>IF(Signals_EU!F174=1,Signals_EU!R174*Mapping!$C$11,IF(Signals_EU!F174=-1,-Signals_EU!S174*Mapping!$C$11,0))</f>
        <v>-1.0000000000000002E-2</v>
      </c>
      <c r="L174" s="1">
        <f>IF(Signals_EU!N174=1,Signals_EU!R174*Mapping!$C$12,IF(Signals_EU!N174=-1,-Signals_EU!S174*Mapping!$C$12,0))</f>
        <v>-5.000000000000001E-2</v>
      </c>
      <c r="M174" s="1">
        <f>IF(Signals_EU!I174=1,Signals_EU!R174*Mapping!$C$13,IF(Signals_EU!I174=-1,-Signals_EU!S174*Mapping!$C$13,0))</f>
        <v>0</v>
      </c>
      <c r="N174" s="1">
        <f>IF(Signals_EU!E174=1,Signals_EU!R174*Mapping!$C$14,IF(Signals_EU!E174=-1,-Signals_EU!S174*Mapping!$C$14,0))</f>
        <v>0</v>
      </c>
      <c r="O174" s="1">
        <f>0</f>
        <v>0</v>
      </c>
      <c r="P174" s="1">
        <f>0</f>
        <v>0</v>
      </c>
      <c r="Q174" s="1">
        <f>IF(Signals_EU!J174=1,Signals_EU!R174*Mapping!$C$17,IF(Signals_EU!J174=-1,-Signals_EU!S174*Mapping!$C$17,0))</f>
        <v>5.000000000000001E-2</v>
      </c>
      <c r="R174" s="1">
        <f>IF(Signals_EU!K174=1,Signals_EU!R174*Mapping!$C$18,IF(Signals_EU!K174=-1,-Signals_EU!S174*Mapping!$C$18,0))</f>
        <v>0</v>
      </c>
      <c r="S174" s="1">
        <f>IF(Signals_EU!M174=1,Signals_EU!R174*Mapping!$C$19,IF(Signals_EU!M174=-1,-Signals_EU!S174*Mapping!$C$19,0))</f>
        <v>0</v>
      </c>
      <c r="T174" s="1">
        <f>IF(Signals_EU!L174=1,Signals_EU!R174*Mapping!$C$20,IF(Signals_EU!L174=-1,-Signals_EU!S174*Mapping!$C$20,0))</f>
        <v>0</v>
      </c>
      <c r="U174" s="1">
        <f t="shared" si="2"/>
        <v>0</v>
      </c>
    </row>
    <row r="175" spans="1:21">
      <c r="A175" s="5">
        <f>Signals_EU!B175</f>
        <v>44317</v>
      </c>
      <c r="B175" s="1">
        <f>IF(Signals_EU!O175=1,Signals_EU!R175*Mapping!$C$2,IF(Signals_EU!O175=-1,-Signals_EU!S175*Mapping!$C$2,0))</f>
        <v>5.000000000000001E-2</v>
      </c>
      <c r="C175" s="1">
        <f>IF(Signals_EU!F175=1,Signals_EU!R175*Mapping!$C$3,IF(Signals_EU!F175=-1,-Signals_EU!S175*Mapping!$C$3,0))</f>
        <v>-3.0000000000000006E-2</v>
      </c>
      <c r="D175" s="1">
        <f>IF(Signals_EU!C175=1,Signals_EU!R175*Mapping!$C$4,IF(Signals_EU!C175=-1,-Signals_EU!S175*Mapping!$C$4,0))</f>
        <v>2.5000000000000005E-2</v>
      </c>
      <c r="E175" s="1">
        <f>IF(Signals_EU!C175=1,Signals_EU!R175*Mapping!$C$5,IF(Signals_EU!C175=-1,-Signals_EU!S175*Mapping!$C$5,0))</f>
        <v>2.5000000000000005E-2</v>
      </c>
      <c r="F175" s="1">
        <f>IF(Signals_EU!H175=1,Signals_EU!R175*Mapping!$C$6,IF(Signals_EU!H175=-1,-Signals_EU!S175*Mapping!$C$6,0))</f>
        <v>0</v>
      </c>
      <c r="G175" s="1">
        <f>IF(Signals_EU!F175=1,Signals_EU!R175*Mapping!$C$7,IF(Signals_EU!F175=-1,-Signals_EU!S175*Mapping!$C$7,0))</f>
        <v>-1.0000000000000002E-2</v>
      </c>
      <c r="H175" s="1">
        <f>IF(Signals_EU!D175=1,Signals_EU!R175*Mapping!$C$8,IF(Signals_EU!D175=-1,-Signals_EU!S175*Mapping!$C$8,0))</f>
        <v>0</v>
      </c>
      <c r="I175" s="1">
        <f>IF(Signals_EU!G175=1,Signals_EU!R175*Mapping!$C$9,IF(Signals_EU!G175=-1,-Signals_EU!S175*Mapping!$C$9,0))</f>
        <v>0</v>
      </c>
      <c r="J175" s="1">
        <f>IF(Signals_EU!H175=1,Signals_EU!R175*Mapping!$C$10,IF(Signals_EU!H175=-1,-Signals_EU!S175*Mapping!$C$10,0))</f>
        <v>0</v>
      </c>
      <c r="K175" s="1">
        <f>IF(Signals_EU!F175=1,Signals_EU!R175*Mapping!$C$11,IF(Signals_EU!F175=-1,-Signals_EU!S175*Mapping!$C$11,0))</f>
        <v>-1.0000000000000002E-2</v>
      </c>
      <c r="L175" s="1">
        <f>IF(Signals_EU!N175=1,Signals_EU!R175*Mapping!$C$12,IF(Signals_EU!N175=-1,-Signals_EU!S175*Mapping!$C$12,0))</f>
        <v>-5.000000000000001E-2</v>
      </c>
      <c r="M175" s="1">
        <f>IF(Signals_EU!I175=1,Signals_EU!R175*Mapping!$C$13,IF(Signals_EU!I175=-1,-Signals_EU!S175*Mapping!$C$13,0))</f>
        <v>0</v>
      </c>
      <c r="N175" s="1">
        <f>IF(Signals_EU!E175=1,Signals_EU!R175*Mapping!$C$14,IF(Signals_EU!E175=-1,-Signals_EU!S175*Mapping!$C$14,0))</f>
        <v>-5.000000000000001E-2</v>
      </c>
      <c r="O175" s="1">
        <f>0</f>
        <v>0</v>
      </c>
      <c r="P175" s="1">
        <f>0</f>
        <v>0</v>
      </c>
      <c r="Q175" s="1">
        <f>IF(Signals_EU!J175=1,Signals_EU!R175*Mapping!$C$17,IF(Signals_EU!J175=-1,-Signals_EU!S175*Mapping!$C$17,0))</f>
        <v>5.000000000000001E-2</v>
      </c>
      <c r="R175" s="1">
        <f>IF(Signals_EU!K175=1,Signals_EU!R175*Mapping!$C$18,IF(Signals_EU!K175=-1,-Signals_EU!S175*Mapping!$C$18,0))</f>
        <v>0</v>
      </c>
      <c r="S175" s="1">
        <f>IF(Signals_EU!M175=1,Signals_EU!R175*Mapping!$C$19,IF(Signals_EU!M175=-1,-Signals_EU!S175*Mapping!$C$19,0))</f>
        <v>0</v>
      </c>
      <c r="T175" s="1">
        <f>IF(Signals_EU!L175=1,Signals_EU!R175*Mapping!$C$20,IF(Signals_EU!L175=-1,-Signals_EU!S175*Mapping!$C$20,0))</f>
        <v>0</v>
      </c>
      <c r="U175" s="1">
        <f t="shared" si="2"/>
        <v>0</v>
      </c>
    </row>
    <row r="176" spans="1:21">
      <c r="A176" s="5">
        <f>Signals_EU!B176</f>
        <v>44348</v>
      </c>
      <c r="B176" s="1">
        <f>IF(Signals_EU!O176=1,Signals_EU!R176*Mapping!$C$2,IF(Signals_EU!O176=-1,-Signals_EU!S176*Mapping!$C$2,0))</f>
        <v>5.000000000000001E-2</v>
      </c>
      <c r="C176" s="1">
        <f>IF(Signals_EU!F176=1,Signals_EU!R176*Mapping!$C$3,IF(Signals_EU!F176=-1,-Signals_EU!S176*Mapping!$C$3,0))</f>
        <v>-3.0000000000000006E-2</v>
      </c>
      <c r="D176" s="1">
        <f>IF(Signals_EU!C176=1,Signals_EU!R176*Mapping!$C$4,IF(Signals_EU!C176=-1,-Signals_EU!S176*Mapping!$C$4,0))</f>
        <v>2.5000000000000005E-2</v>
      </c>
      <c r="E176" s="1">
        <f>IF(Signals_EU!C176=1,Signals_EU!R176*Mapping!$C$5,IF(Signals_EU!C176=-1,-Signals_EU!S176*Mapping!$C$5,0))</f>
        <v>2.5000000000000005E-2</v>
      </c>
      <c r="F176" s="1">
        <f>IF(Signals_EU!H176=1,Signals_EU!R176*Mapping!$C$6,IF(Signals_EU!H176=-1,-Signals_EU!S176*Mapping!$C$6,0))</f>
        <v>0</v>
      </c>
      <c r="G176" s="1">
        <f>IF(Signals_EU!F176=1,Signals_EU!R176*Mapping!$C$7,IF(Signals_EU!F176=-1,-Signals_EU!S176*Mapping!$C$7,0))</f>
        <v>-1.0000000000000002E-2</v>
      </c>
      <c r="H176" s="1">
        <f>IF(Signals_EU!D176=1,Signals_EU!R176*Mapping!$C$8,IF(Signals_EU!D176=-1,-Signals_EU!S176*Mapping!$C$8,0))</f>
        <v>0</v>
      </c>
      <c r="I176" s="1">
        <f>IF(Signals_EU!G176=1,Signals_EU!R176*Mapping!$C$9,IF(Signals_EU!G176=-1,-Signals_EU!S176*Mapping!$C$9,0))</f>
        <v>0</v>
      </c>
      <c r="J176" s="1">
        <f>IF(Signals_EU!H176=1,Signals_EU!R176*Mapping!$C$10,IF(Signals_EU!H176=-1,-Signals_EU!S176*Mapping!$C$10,0))</f>
        <v>0</v>
      </c>
      <c r="K176" s="1">
        <f>IF(Signals_EU!F176=1,Signals_EU!R176*Mapping!$C$11,IF(Signals_EU!F176=-1,-Signals_EU!S176*Mapping!$C$11,0))</f>
        <v>-1.0000000000000002E-2</v>
      </c>
      <c r="L176" s="1">
        <f>IF(Signals_EU!N176=1,Signals_EU!R176*Mapping!$C$12,IF(Signals_EU!N176=-1,-Signals_EU!S176*Mapping!$C$12,0))</f>
        <v>-5.000000000000001E-2</v>
      </c>
      <c r="M176" s="1">
        <f>IF(Signals_EU!I176=1,Signals_EU!R176*Mapping!$C$13,IF(Signals_EU!I176=-1,-Signals_EU!S176*Mapping!$C$13,0))</f>
        <v>0</v>
      </c>
      <c r="N176" s="1">
        <f>IF(Signals_EU!E176=1,Signals_EU!R176*Mapping!$C$14,IF(Signals_EU!E176=-1,-Signals_EU!S176*Mapping!$C$14,0))</f>
        <v>0</v>
      </c>
      <c r="O176" s="1">
        <f>0</f>
        <v>0</v>
      </c>
      <c r="P176" s="1">
        <f>0</f>
        <v>0</v>
      </c>
      <c r="Q176" s="1">
        <f>IF(Signals_EU!J176=1,Signals_EU!R176*Mapping!$C$17,IF(Signals_EU!J176=-1,-Signals_EU!S176*Mapping!$C$17,0))</f>
        <v>5.000000000000001E-2</v>
      </c>
      <c r="R176" s="1">
        <f>IF(Signals_EU!K176=1,Signals_EU!R176*Mapping!$C$18,IF(Signals_EU!K176=-1,-Signals_EU!S176*Mapping!$C$18,0))</f>
        <v>-5.000000000000001E-2</v>
      </c>
      <c r="S176" s="1">
        <f>IF(Signals_EU!M176=1,Signals_EU!R176*Mapping!$C$19,IF(Signals_EU!M176=-1,-Signals_EU!S176*Mapping!$C$19,0))</f>
        <v>0</v>
      </c>
      <c r="T176" s="1">
        <f>IF(Signals_EU!L176=1,Signals_EU!R176*Mapping!$C$20,IF(Signals_EU!L176=-1,-Signals_EU!S176*Mapping!$C$20,0))</f>
        <v>0</v>
      </c>
      <c r="U176" s="1">
        <f t="shared" si="2"/>
        <v>0</v>
      </c>
    </row>
    <row r="177" spans="1:21">
      <c r="A177" s="5">
        <f>Signals_EU!B177</f>
        <v>44378</v>
      </c>
      <c r="B177" s="1">
        <f>IF(Signals_EU!O177=1,Signals_EU!R177*Mapping!$C$2,IF(Signals_EU!O177=-1,-Signals_EU!S177*Mapping!$C$2,0))</f>
        <v>5.000000000000001E-2</v>
      </c>
      <c r="C177" s="1">
        <f>IF(Signals_EU!F177=1,Signals_EU!R177*Mapping!$C$3,IF(Signals_EU!F177=-1,-Signals_EU!S177*Mapping!$C$3,0))</f>
        <v>0</v>
      </c>
      <c r="D177" s="1">
        <f>IF(Signals_EU!C177=1,Signals_EU!R177*Mapping!$C$4,IF(Signals_EU!C177=-1,-Signals_EU!S177*Mapping!$C$4,0))</f>
        <v>2.5000000000000005E-2</v>
      </c>
      <c r="E177" s="1">
        <f>IF(Signals_EU!C177=1,Signals_EU!R177*Mapping!$C$5,IF(Signals_EU!C177=-1,-Signals_EU!S177*Mapping!$C$5,0))</f>
        <v>2.5000000000000005E-2</v>
      </c>
      <c r="F177" s="1">
        <f>IF(Signals_EU!H177=1,Signals_EU!R177*Mapping!$C$6,IF(Signals_EU!H177=-1,-Signals_EU!S177*Mapping!$C$6,0))</f>
        <v>0</v>
      </c>
      <c r="G177" s="1">
        <f>IF(Signals_EU!F177=1,Signals_EU!R177*Mapping!$C$7,IF(Signals_EU!F177=-1,-Signals_EU!S177*Mapping!$C$7,0))</f>
        <v>0</v>
      </c>
      <c r="H177" s="1">
        <f>IF(Signals_EU!D177=1,Signals_EU!R177*Mapping!$C$8,IF(Signals_EU!D177=-1,-Signals_EU!S177*Mapping!$C$8,0))</f>
        <v>-5.000000000000001E-2</v>
      </c>
      <c r="I177" s="1">
        <f>IF(Signals_EU!G177=1,Signals_EU!R177*Mapping!$C$9,IF(Signals_EU!G177=-1,-Signals_EU!S177*Mapping!$C$9,0))</f>
        <v>0</v>
      </c>
      <c r="J177" s="1">
        <f>IF(Signals_EU!H177=1,Signals_EU!R177*Mapping!$C$10,IF(Signals_EU!H177=-1,-Signals_EU!S177*Mapping!$C$10,0))</f>
        <v>0</v>
      </c>
      <c r="K177" s="1">
        <f>IF(Signals_EU!F177=1,Signals_EU!R177*Mapping!$C$11,IF(Signals_EU!F177=-1,-Signals_EU!S177*Mapping!$C$11,0))</f>
        <v>0</v>
      </c>
      <c r="L177" s="1">
        <f>IF(Signals_EU!N177=1,Signals_EU!R177*Mapping!$C$12,IF(Signals_EU!N177=-1,-Signals_EU!S177*Mapping!$C$12,0))</f>
        <v>-5.000000000000001E-2</v>
      </c>
      <c r="M177" s="1">
        <f>IF(Signals_EU!I177=1,Signals_EU!R177*Mapping!$C$13,IF(Signals_EU!I177=-1,-Signals_EU!S177*Mapping!$C$13,0))</f>
        <v>0</v>
      </c>
      <c r="N177" s="1">
        <f>IF(Signals_EU!E177=1,Signals_EU!R177*Mapping!$C$14,IF(Signals_EU!E177=-1,-Signals_EU!S177*Mapping!$C$14,0))</f>
        <v>0</v>
      </c>
      <c r="O177" s="1">
        <f>0</f>
        <v>0</v>
      </c>
      <c r="P177" s="1">
        <f>0</f>
        <v>0</v>
      </c>
      <c r="Q177" s="1">
        <f>IF(Signals_EU!J177=1,Signals_EU!R177*Mapping!$C$17,IF(Signals_EU!J177=-1,-Signals_EU!S177*Mapping!$C$17,0))</f>
        <v>5.000000000000001E-2</v>
      </c>
      <c r="R177" s="1">
        <f>IF(Signals_EU!K177=1,Signals_EU!R177*Mapping!$C$18,IF(Signals_EU!K177=-1,-Signals_EU!S177*Mapping!$C$18,0))</f>
        <v>0</v>
      </c>
      <c r="S177" s="1">
        <f>IF(Signals_EU!M177=1,Signals_EU!R177*Mapping!$C$19,IF(Signals_EU!M177=-1,-Signals_EU!S177*Mapping!$C$19,0))</f>
        <v>0</v>
      </c>
      <c r="T177" s="1">
        <f>IF(Signals_EU!L177=1,Signals_EU!R177*Mapping!$C$20,IF(Signals_EU!L177=-1,-Signals_EU!S177*Mapping!$C$20,0))</f>
        <v>-5.000000000000001E-2</v>
      </c>
      <c r="U177" s="1">
        <f t="shared" si="2"/>
        <v>0</v>
      </c>
    </row>
    <row r="178" spans="1:21">
      <c r="A178" s="5">
        <f>Signals_EU!B178</f>
        <v>44409</v>
      </c>
      <c r="B178" s="1">
        <f>IF(Signals_EU!O178=1,Signals_EU!R178*Mapping!$C$2,IF(Signals_EU!O178=-1,-Signals_EU!S178*Mapping!$C$2,0))</f>
        <v>5.000000000000001E-2</v>
      </c>
      <c r="C178" s="1">
        <f>IF(Signals_EU!F178=1,Signals_EU!R178*Mapping!$C$3,IF(Signals_EU!F178=-1,-Signals_EU!S178*Mapping!$C$3,0))</f>
        <v>-3.0000000000000006E-2</v>
      </c>
      <c r="D178" s="1">
        <f>IF(Signals_EU!C178=1,Signals_EU!R178*Mapping!$C$4,IF(Signals_EU!C178=-1,-Signals_EU!S178*Mapping!$C$4,0))</f>
        <v>2.5000000000000005E-2</v>
      </c>
      <c r="E178" s="1">
        <f>IF(Signals_EU!C178=1,Signals_EU!R178*Mapping!$C$5,IF(Signals_EU!C178=-1,-Signals_EU!S178*Mapping!$C$5,0))</f>
        <v>2.5000000000000005E-2</v>
      </c>
      <c r="F178" s="1">
        <f>IF(Signals_EU!H178=1,Signals_EU!R178*Mapping!$C$6,IF(Signals_EU!H178=-1,-Signals_EU!S178*Mapping!$C$6,0))</f>
        <v>0</v>
      </c>
      <c r="G178" s="1">
        <f>IF(Signals_EU!F178=1,Signals_EU!R178*Mapping!$C$7,IF(Signals_EU!F178=-1,-Signals_EU!S178*Mapping!$C$7,0))</f>
        <v>-1.0000000000000002E-2</v>
      </c>
      <c r="H178" s="1">
        <f>IF(Signals_EU!D178=1,Signals_EU!R178*Mapping!$C$8,IF(Signals_EU!D178=-1,-Signals_EU!S178*Mapping!$C$8,0))</f>
        <v>0</v>
      </c>
      <c r="I178" s="1">
        <f>IF(Signals_EU!G178=1,Signals_EU!R178*Mapping!$C$9,IF(Signals_EU!G178=-1,-Signals_EU!S178*Mapping!$C$9,0))</f>
        <v>0</v>
      </c>
      <c r="J178" s="1">
        <f>IF(Signals_EU!H178=1,Signals_EU!R178*Mapping!$C$10,IF(Signals_EU!H178=-1,-Signals_EU!S178*Mapping!$C$10,0))</f>
        <v>0</v>
      </c>
      <c r="K178" s="1">
        <f>IF(Signals_EU!F178=1,Signals_EU!R178*Mapping!$C$11,IF(Signals_EU!F178=-1,-Signals_EU!S178*Mapping!$C$11,0))</f>
        <v>-1.0000000000000002E-2</v>
      </c>
      <c r="L178" s="1">
        <f>IF(Signals_EU!N178=1,Signals_EU!R178*Mapping!$C$12,IF(Signals_EU!N178=-1,-Signals_EU!S178*Mapping!$C$12,0))</f>
        <v>-5.000000000000001E-2</v>
      </c>
      <c r="M178" s="1">
        <f>IF(Signals_EU!I178=1,Signals_EU!R178*Mapping!$C$13,IF(Signals_EU!I178=-1,-Signals_EU!S178*Mapping!$C$13,0))</f>
        <v>0</v>
      </c>
      <c r="N178" s="1">
        <f>IF(Signals_EU!E178=1,Signals_EU!R178*Mapping!$C$14,IF(Signals_EU!E178=-1,-Signals_EU!S178*Mapping!$C$14,0))</f>
        <v>0</v>
      </c>
      <c r="O178" s="1">
        <f>0</f>
        <v>0</v>
      </c>
      <c r="P178" s="1">
        <f>0</f>
        <v>0</v>
      </c>
      <c r="Q178" s="1">
        <f>IF(Signals_EU!J178=1,Signals_EU!R178*Mapping!$C$17,IF(Signals_EU!J178=-1,-Signals_EU!S178*Mapping!$C$17,0))</f>
        <v>5.000000000000001E-2</v>
      </c>
      <c r="R178" s="1">
        <f>IF(Signals_EU!K178=1,Signals_EU!R178*Mapping!$C$18,IF(Signals_EU!K178=-1,-Signals_EU!S178*Mapping!$C$18,0))</f>
        <v>0</v>
      </c>
      <c r="S178" s="1">
        <f>IF(Signals_EU!M178=1,Signals_EU!R178*Mapping!$C$19,IF(Signals_EU!M178=-1,-Signals_EU!S178*Mapping!$C$19,0))</f>
        <v>0</v>
      </c>
      <c r="T178" s="1">
        <f>IF(Signals_EU!L178=1,Signals_EU!R178*Mapping!$C$20,IF(Signals_EU!L178=-1,-Signals_EU!S178*Mapping!$C$20,0))</f>
        <v>-5.000000000000001E-2</v>
      </c>
      <c r="U178" s="1">
        <f t="shared" si="2"/>
        <v>0</v>
      </c>
    </row>
    <row r="179" spans="1:21">
      <c r="A179" s="5">
        <f>Signals_EU!B179</f>
        <v>44440</v>
      </c>
      <c r="B179" s="1">
        <f>IF(Signals_EU!O179=1,Signals_EU!R179*Mapping!$C$2,IF(Signals_EU!O179=-1,-Signals_EU!S179*Mapping!$C$2,0))</f>
        <v>5.000000000000001E-2</v>
      </c>
      <c r="C179" s="1">
        <f>IF(Signals_EU!F179=1,Signals_EU!R179*Mapping!$C$3,IF(Signals_EU!F179=-1,-Signals_EU!S179*Mapping!$C$3,0))</f>
        <v>0</v>
      </c>
      <c r="D179" s="1">
        <f>IF(Signals_EU!C179=1,Signals_EU!R179*Mapping!$C$4,IF(Signals_EU!C179=-1,-Signals_EU!S179*Mapping!$C$4,0))</f>
        <v>2.5000000000000005E-2</v>
      </c>
      <c r="E179" s="1">
        <f>IF(Signals_EU!C179=1,Signals_EU!R179*Mapping!$C$5,IF(Signals_EU!C179=-1,-Signals_EU!S179*Mapping!$C$5,0))</f>
        <v>2.5000000000000005E-2</v>
      </c>
      <c r="F179" s="1">
        <f>IF(Signals_EU!H179=1,Signals_EU!R179*Mapping!$C$6,IF(Signals_EU!H179=-1,-Signals_EU!S179*Mapping!$C$6,0))</f>
        <v>0</v>
      </c>
      <c r="G179" s="1">
        <f>IF(Signals_EU!F179=1,Signals_EU!R179*Mapping!$C$7,IF(Signals_EU!F179=-1,-Signals_EU!S179*Mapping!$C$7,0))</f>
        <v>0</v>
      </c>
      <c r="H179" s="1">
        <f>IF(Signals_EU!D179=1,Signals_EU!R179*Mapping!$C$8,IF(Signals_EU!D179=-1,-Signals_EU!S179*Mapping!$C$8,0))</f>
        <v>-5.000000000000001E-2</v>
      </c>
      <c r="I179" s="1">
        <f>IF(Signals_EU!G179=1,Signals_EU!R179*Mapping!$C$9,IF(Signals_EU!G179=-1,-Signals_EU!S179*Mapping!$C$9,0))</f>
        <v>0</v>
      </c>
      <c r="J179" s="1">
        <f>IF(Signals_EU!H179=1,Signals_EU!R179*Mapping!$C$10,IF(Signals_EU!H179=-1,-Signals_EU!S179*Mapping!$C$10,0))</f>
        <v>0</v>
      </c>
      <c r="K179" s="1">
        <f>IF(Signals_EU!F179=1,Signals_EU!R179*Mapping!$C$11,IF(Signals_EU!F179=-1,-Signals_EU!S179*Mapping!$C$11,0))</f>
        <v>0</v>
      </c>
      <c r="L179" s="1">
        <f>IF(Signals_EU!N179=1,Signals_EU!R179*Mapping!$C$12,IF(Signals_EU!N179=-1,-Signals_EU!S179*Mapping!$C$12,0))</f>
        <v>0</v>
      </c>
      <c r="M179" s="1">
        <f>IF(Signals_EU!I179=1,Signals_EU!R179*Mapping!$C$13,IF(Signals_EU!I179=-1,-Signals_EU!S179*Mapping!$C$13,0))</f>
        <v>0</v>
      </c>
      <c r="N179" s="1">
        <f>IF(Signals_EU!E179=1,Signals_EU!R179*Mapping!$C$14,IF(Signals_EU!E179=-1,-Signals_EU!S179*Mapping!$C$14,0))</f>
        <v>5.000000000000001E-2</v>
      </c>
      <c r="O179" s="1">
        <f>0</f>
        <v>0</v>
      </c>
      <c r="P179" s="1">
        <f>0</f>
        <v>0</v>
      </c>
      <c r="Q179" s="1">
        <f>IF(Signals_EU!J179=1,Signals_EU!R179*Mapping!$C$17,IF(Signals_EU!J179=-1,-Signals_EU!S179*Mapping!$C$17,0))</f>
        <v>0</v>
      </c>
      <c r="R179" s="1">
        <f>IF(Signals_EU!K179=1,Signals_EU!R179*Mapping!$C$18,IF(Signals_EU!K179=-1,-Signals_EU!S179*Mapping!$C$18,0))</f>
        <v>-5.000000000000001E-2</v>
      </c>
      <c r="S179" s="1">
        <f>IF(Signals_EU!M179=1,Signals_EU!R179*Mapping!$C$19,IF(Signals_EU!M179=-1,-Signals_EU!S179*Mapping!$C$19,0))</f>
        <v>0</v>
      </c>
      <c r="T179" s="1">
        <f>IF(Signals_EU!L179=1,Signals_EU!R179*Mapping!$C$20,IF(Signals_EU!L179=-1,-Signals_EU!S179*Mapping!$C$20,0))</f>
        <v>-5.000000000000001E-2</v>
      </c>
      <c r="U179" s="1">
        <f t="shared" si="2"/>
        <v>0</v>
      </c>
    </row>
    <row r="180" spans="1:21">
      <c r="A180" s="5">
        <f>Signals_EU!B180</f>
        <v>44470</v>
      </c>
      <c r="B180" s="1">
        <f>IF(Signals_EU!O180=1,Signals_EU!R180*Mapping!$C$2,IF(Signals_EU!O180=-1,-Signals_EU!S180*Mapping!$C$2,0))</f>
        <v>0</v>
      </c>
      <c r="C180" s="1">
        <f>IF(Signals_EU!F180=1,Signals_EU!R180*Mapping!$C$3,IF(Signals_EU!F180=-1,-Signals_EU!S180*Mapping!$C$3,0))</f>
        <v>0</v>
      </c>
      <c r="D180" s="1">
        <f>IF(Signals_EU!C180=1,Signals_EU!R180*Mapping!$C$4,IF(Signals_EU!C180=-1,-Signals_EU!S180*Mapping!$C$4,0))</f>
        <v>2.5000000000000005E-2</v>
      </c>
      <c r="E180" s="1">
        <f>IF(Signals_EU!C180=1,Signals_EU!R180*Mapping!$C$5,IF(Signals_EU!C180=-1,-Signals_EU!S180*Mapping!$C$5,0))</f>
        <v>2.5000000000000005E-2</v>
      </c>
      <c r="F180" s="1">
        <f>IF(Signals_EU!H180=1,Signals_EU!R180*Mapping!$C$6,IF(Signals_EU!H180=-1,-Signals_EU!S180*Mapping!$C$6,0))</f>
        <v>1.0000000000000002E-2</v>
      </c>
      <c r="G180" s="1">
        <f>IF(Signals_EU!F180=1,Signals_EU!R180*Mapping!$C$7,IF(Signals_EU!F180=-1,-Signals_EU!S180*Mapping!$C$7,0))</f>
        <v>0</v>
      </c>
      <c r="H180" s="1">
        <f>IF(Signals_EU!D180=1,Signals_EU!R180*Mapping!$C$8,IF(Signals_EU!D180=-1,-Signals_EU!S180*Mapping!$C$8,0))</f>
        <v>-5.000000000000001E-2</v>
      </c>
      <c r="I180" s="1">
        <f>IF(Signals_EU!G180=1,Signals_EU!R180*Mapping!$C$9,IF(Signals_EU!G180=-1,-Signals_EU!S180*Mapping!$C$9,0))</f>
        <v>0</v>
      </c>
      <c r="J180" s="1">
        <f>IF(Signals_EU!H180=1,Signals_EU!R180*Mapping!$C$10,IF(Signals_EU!H180=-1,-Signals_EU!S180*Mapping!$C$10,0))</f>
        <v>4.0000000000000008E-2</v>
      </c>
      <c r="K180" s="1">
        <f>IF(Signals_EU!F180=1,Signals_EU!R180*Mapping!$C$11,IF(Signals_EU!F180=-1,-Signals_EU!S180*Mapping!$C$11,0))</f>
        <v>0</v>
      </c>
      <c r="L180" s="1">
        <f>IF(Signals_EU!N180=1,Signals_EU!R180*Mapping!$C$12,IF(Signals_EU!N180=-1,-Signals_EU!S180*Mapping!$C$12,0))</f>
        <v>-5.000000000000001E-2</v>
      </c>
      <c r="M180" s="1">
        <f>IF(Signals_EU!I180=1,Signals_EU!R180*Mapping!$C$13,IF(Signals_EU!I180=-1,-Signals_EU!S180*Mapping!$C$13,0))</f>
        <v>5.000000000000001E-2</v>
      </c>
      <c r="N180" s="1">
        <f>IF(Signals_EU!E180=1,Signals_EU!R180*Mapping!$C$14,IF(Signals_EU!E180=-1,-Signals_EU!S180*Mapping!$C$14,0))</f>
        <v>0</v>
      </c>
      <c r="O180" s="1">
        <f>0</f>
        <v>0</v>
      </c>
      <c r="P180" s="1">
        <f>0</f>
        <v>0</v>
      </c>
      <c r="Q180" s="1">
        <f>IF(Signals_EU!J180=1,Signals_EU!R180*Mapping!$C$17,IF(Signals_EU!J180=-1,-Signals_EU!S180*Mapping!$C$17,0))</f>
        <v>0</v>
      </c>
      <c r="R180" s="1">
        <f>IF(Signals_EU!K180=1,Signals_EU!R180*Mapping!$C$18,IF(Signals_EU!K180=-1,-Signals_EU!S180*Mapping!$C$18,0))</f>
        <v>0</v>
      </c>
      <c r="S180" s="1">
        <f>IF(Signals_EU!M180=1,Signals_EU!R180*Mapping!$C$19,IF(Signals_EU!M180=-1,-Signals_EU!S180*Mapping!$C$19,0))</f>
        <v>0</v>
      </c>
      <c r="T180" s="1">
        <f>IF(Signals_EU!L180=1,Signals_EU!R180*Mapping!$C$20,IF(Signals_EU!L180=-1,-Signals_EU!S180*Mapping!$C$20,0))</f>
        <v>-5.000000000000001E-2</v>
      </c>
      <c r="U180" s="1">
        <f t="shared" si="2"/>
        <v>0</v>
      </c>
    </row>
    <row r="181" spans="1:21">
      <c r="A181" s="5">
        <f>Signals_EU!B181</f>
        <v>44501</v>
      </c>
      <c r="B181" s="1">
        <f>IF(Signals_EU!O181=1,Signals_EU!R181*Mapping!$C$2,IF(Signals_EU!O181=-1,-Signals_EU!S181*Mapping!$C$2,0))</f>
        <v>5.000000000000001E-2</v>
      </c>
      <c r="C181" s="1">
        <f>IF(Signals_EU!F181=1,Signals_EU!R181*Mapping!$C$3,IF(Signals_EU!F181=-1,-Signals_EU!S181*Mapping!$C$3,0))</f>
        <v>0</v>
      </c>
      <c r="D181" s="1">
        <f>IF(Signals_EU!C181=1,Signals_EU!R181*Mapping!$C$4,IF(Signals_EU!C181=-1,-Signals_EU!S181*Mapping!$C$4,0))</f>
        <v>0</v>
      </c>
      <c r="E181" s="1">
        <f>IF(Signals_EU!C181=1,Signals_EU!R181*Mapping!$C$5,IF(Signals_EU!C181=-1,-Signals_EU!S181*Mapping!$C$5,0))</f>
        <v>0</v>
      </c>
      <c r="F181" s="1">
        <f>IF(Signals_EU!H181=1,Signals_EU!R181*Mapping!$C$6,IF(Signals_EU!H181=-1,-Signals_EU!S181*Mapping!$C$6,0))</f>
        <v>1.0000000000000002E-2</v>
      </c>
      <c r="G181" s="1">
        <f>IF(Signals_EU!F181=1,Signals_EU!R181*Mapping!$C$7,IF(Signals_EU!F181=-1,-Signals_EU!S181*Mapping!$C$7,0))</f>
        <v>0</v>
      </c>
      <c r="H181" s="1">
        <f>IF(Signals_EU!D181=1,Signals_EU!R181*Mapping!$C$8,IF(Signals_EU!D181=-1,-Signals_EU!S181*Mapping!$C$8,0))</f>
        <v>-5.000000000000001E-2</v>
      </c>
      <c r="I181" s="1">
        <f>IF(Signals_EU!G181=1,Signals_EU!R181*Mapping!$C$9,IF(Signals_EU!G181=-1,-Signals_EU!S181*Mapping!$C$9,0))</f>
        <v>-5.000000000000001E-2</v>
      </c>
      <c r="J181" s="1">
        <f>IF(Signals_EU!H181=1,Signals_EU!R181*Mapping!$C$10,IF(Signals_EU!H181=-1,-Signals_EU!S181*Mapping!$C$10,0))</f>
        <v>4.0000000000000008E-2</v>
      </c>
      <c r="K181" s="1">
        <f>IF(Signals_EU!F181=1,Signals_EU!R181*Mapping!$C$11,IF(Signals_EU!F181=-1,-Signals_EU!S181*Mapping!$C$11,0))</f>
        <v>0</v>
      </c>
      <c r="L181" s="1">
        <f>IF(Signals_EU!N181=1,Signals_EU!R181*Mapping!$C$12,IF(Signals_EU!N181=-1,-Signals_EU!S181*Mapping!$C$12,0))</f>
        <v>0</v>
      </c>
      <c r="M181" s="1">
        <f>IF(Signals_EU!I181=1,Signals_EU!R181*Mapping!$C$13,IF(Signals_EU!I181=-1,-Signals_EU!S181*Mapping!$C$13,0))</f>
        <v>0</v>
      </c>
      <c r="N181" s="1">
        <f>IF(Signals_EU!E181=1,Signals_EU!R181*Mapping!$C$14,IF(Signals_EU!E181=-1,-Signals_EU!S181*Mapping!$C$14,0))</f>
        <v>5.000000000000001E-2</v>
      </c>
      <c r="O181" s="1">
        <f>0</f>
        <v>0</v>
      </c>
      <c r="P181" s="1">
        <f>0</f>
        <v>0</v>
      </c>
      <c r="Q181" s="1">
        <f>IF(Signals_EU!J181=1,Signals_EU!R181*Mapping!$C$17,IF(Signals_EU!J181=-1,-Signals_EU!S181*Mapping!$C$17,0))</f>
        <v>0</v>
      </c>
      <c r="R181" s="1">
        <f>IF(Signals_EU!K181=1,Signals_EU!R181*Mapping!$C$18,IF(Signals_EU!K181=-1,-Signals_EU!S181*Mapping!$C$18,0))</f>
        <v>0</v>
      </c>
      <c r="S181" s="1">
        <f>IF(Signals_EU!M181=1,Signals_EU!R181*Mapping!$C$19,IF(Signals_EU!M181=-1,-Signals_EU!S181*Mapping!$C$19,0))</f>
        <v>0</v>
      </c>
      <c r="T181" s="1">
        <f>IF(Signals_EU!L181=1,Signals_EU!R181*Mapping!$C$20,IF(Signals_EU!L181=-1,-Signals_EU!S181*Mapping!$C$20,0))</f>
        <v>-5.000000000000001E-2</v>
      </c>
      <c r="U181" s="1">
        <f t="shared" si="2"/>
        <v>0</v>
      </c>
    </row>
    <row r="182" spans="1:21">
      <c r="A182" s="5">
        <f>Signals_EU!B182</f>
        <v>44531</v>
      </c>
      <c r="B182" s="1">
        <f>IF(Signals_EU!O182=1,Signals_EU!R182*Mapping!$C$2,IF(Signals_EU!O182=-1,-Signals_EU!S182*Mapping!$C$2,0))</f>
        <v>5.000000000000001E-2</v>
      </c>
      <c r="C182" s="1">
        <f>IF(Signals_EU!F182=1,Signals_EU!R182*Mapping!$C$3,IF(Signals_EU!F182=-1,-Signals_EU!S182*Mapping!$C$3,0))</f>
        <v>-3.0000000000000006E-2</v>
      </c>
      <c r="D182" s="1">
        <f>IF(Signals_EU!C182=1,Signals_EU!R182*Mapping!$C$4,IF(Signals_EU!C182=-1,-Signals_EU!S182*Mapping!$C$4,0))</f>
        <v>0</v>
      </c>
      <c r="E182" s="1">
        <f>IF(Signals_EU!C182=1,Signals_EU!R182*Mapping!$C$5,IF(Signals_EU!C182=-1,-Signals_EU!S182*Mapping!$C$5,0))</f>
        <v>0</v>
      </c>
      <c r="F182" s="1">
        <f>IF(Signals_EU!H182=1,Signals_EU!R182*Mapping!$C$6,IF(Signals_EU!H182=-1,-Signals_EU!S182*Mapping!$C$6,0))</f>
        <v>1.0000000000000002E-2</v>
      </c>
      <c r="G182" s="1">
        <f>IF(Signals_EU!F182=1,Signals_EU!R182*Mapping!$C$7,IF(Signals_EU!F182=-1,-Signals_EU!S182*Mapping!$C$7,0))</f>
        <v>-1.0000000000000002E-2</v>
      </c>
      <c r="H182" s="1">
        <f>IF(Signals_EU!D182=1,Signals_EU!R182*Mapping!$C$8,IF(Signals_EU!D182=-1,-Signals_EU!S182*Mapping!$C$8,0))</f>
        <v>0</v>
      </c>
      <c r="I182" s="1">
        <f>IF(Signals_EU!G182=1,Signals_EU!R182*Mapping!$C$9,IF(Signals_EU!G182=-1,-Signals_EU!S182*Mapping!$C$9,0))</f>
        <v>0</v>
      </c>
      <c r="J182" s="1">
        <f>IF(Signals_EU!H182=1,Signals_EU!R182*Mapping!$C$10,IF(Signals_EU!H182=-1,-Signals_EU!S182*Mapping!$C$10,0))</f>
        <v>4.0000000000000008E-2</v>
      </c>
      <c r="K182" s="1">
        <f>IF(Signals_EU!F182=1,Signals_EU!R182*Mapping!$C$11,IF(Signals_EU!F182=-1,-Signals_EU!S182*Mapping!$C$11,0))</f>
        <v>-1.0000000000000002E-2</v>
      </c>
      <c r="L182" s="1">
        <f>IF(Signals_EU!N182=1,Signals_EU!R182*Mapping!$C$12,IF(Signals_EU!N182=-1,-Signals_EU!S182*Mapping!$C$12,0))</f>
        <v>-5.000000000000001E-2</v>
      </c>
      <c r="M182" s="1">
        <f>IF(Signals_EU!I182=1,Signals_EU!R182*Mapping!$C$13,IF(Signals_EU!I182=-1,-Signals_EU!S182*Mapping!$C$13,0))</f>
        <v>5.000000000000001E-2</v>
      </c>
      <c r="N182" s="1">
        <f>IF(Signals_EU!E182=1,Signals_EU!R182*Mapping!$C$14,IF(Signals_EU!E182=-1,-Signals_EU!S182*Mapping!$C$14,0))</f>
        <v>0</v>
      </c>
      <c r="O182" s="1">
        <f>0</f>
        <v>0</v>
      </c>
      <c r="P182" s="1">
        <f>0</f>
        <v>0</v>
      </c>
      <c r="Q182" s="1">
        <f>IF(Signals_EU!J182=1,Signals_EU!R182*Mapping!$C$17,IF(Signals_EU!J182=-1,-Signals_EU!S182*Mapping!$C$17,0))</f>
        <v>0</v>
      </c>
      <c r="R182" s="1">
        <f>IF(Signals_EU!K182=1,Signals_EU!R182*Mapping!$C$18,IF(Signals_EU!K182=-1,-Signals_EU!S182*Mapping!$C$18,0))</f>
        <v>0</v>
      </c>
      <c r="S182" s="1">
        <f>IF(Signals_EU!M182=1,Signals_EU!R182*Mapping!$C$19,IF(Signals_EU!M182=-1,-Signals_EU!S182*Mapping!$C$19,0))</f>
        <v>0</v>
      </c>
      <c r="T182" s="1">
        <f>IF(Signals_EU!L182=1,Signals_EU!R182*Mapping!$C$20,IF(Signals_EU!L182=-1,-Signals_EU!S182*Mapping!$C$20,0))</f>
        <v>-5.000000000000001E-2</v>
      </c>
      <c r="U182" s="1">
        <f t="shared" si="2"/>
        <v>0</v>
      </c>
    </row>
    <row r="183" spans="1:21">
      <c r="A183" s="5">
        <f>Signals_EU!B183</f>
        <v>44562</v>
      </c>
      <c r="B183" s="1">
        <f>IF(Signals_EU!O183=1,Signals_EU!R183*Mapping!$C$2,IF(Signals_EU!O183=-1,-Signals_EU!S183*Mapping!$C$2,0))</f>
        <v>5.000000000000001E-2</v>
      </c>
      <c r="C183" s="1">
        <f>IF(Signals_EU!F183=1,Signals_EU!R183*Mapping!$C$3,IF(Signals_EU!F183=-1,-Signals_EU!S183*Mapping!$C$3,0))</f>
        <v>-3.0000000000000006E-2</v>
      </c>
      <c r="D183" s="1">
        <f>IF(Signals_EU!C183=1,Signals_EU!R183*Mapping!$C$4,IF(Signals_EU!C183=-1,-Signals_EU!S183*Mapping!$C$4,0))</f>
        <v>0</v>
      </c>
      <c r="E183" s="1">
        <f>IF(Signals_EU!C183=1,Signals_EU!R183*Mapping!$C$5,IF(Signals_EU!C183=-1,-Signals_EU!S183*Mapping!$C$5,0))</f>
        <v>0</v>
      </c>
      <c r="F183" s="1">
        <f>IF(Signals_EU!H183=1,Signals_EU!R183*Mapping!$C$6,IF(Signals_EU!H183=-1,-Signals_EU!S183*Mapping!$C$6,0))</f>
        <v>0</v>
      </c>
      <c r="G183" s="1">
        <f>IF(Signals_EU!F183=1,Signals_EU!R183*Mapping!$C$7,IF(Signals_EU!F183=-1,-Signals_EU!S183*Mapping!$C$7,0))</f>
        <v>-1.0000000000000002E-2</v>
      </c>
      <c r="H183" s="1">
        <f>IF(Signals_EU!D183=1,Signals_EU!R183*Mapping!$C$8,IF(Signals_EU!D183=-1,-Signals_EU!S183*Mapping!$C$8,0))</f>
        <v>-5.000000000000001E-2</v>
      </c>
      <c r="I183" s="1">
        <f>IF(Signals_EU!G183=1,Signals_EU!R183*Mapping!$C$9,IF(Signals_EU!G183=-1,-Signals_EU!S183*Mapping!$C$9,0))</f>
        <v>0</v>
      </c>
      <c r="J183" s="1">
        <f>IF(Signals_EU!H183=1,Signals_EU!R183*Mapping!$C$10,IF(Signals_EU!H183=-1,-Signals_EU!S183*Mapping!$C$10,0))</f>
        <v>0</v>
      </c>
      <c r="K183" s="1">
        <f>IF(Signals_EU!F183=1,Signals_EU!R183*Mapping!$C$11,IF(Signals_EU!F183=-1,-Signals_EU!S183*Mapping!$C$11,0))</f>
        <v>-1.0000000000000002E-2</v>
      </c>
      <c r="L183" s="1">
        <f>IF(Signals_EU!N183=1,Signals_EU!R183*Mapping!$C$12,IF(Signals_EU!N183=-1,-Signals_EU!S183*Mapping!$C$12,0))</f>
        <v>0</v>
      </c>
      <c r="M183" s="1">
        <f>IF(Signals_EU!I183=1,Signals_EU!R183*Mapping!$C$13,IF(Signals_EU!I183=-1,-Signals_EU!S183*Mapping!$C$13,0))</f>
        <v>0</v>
      </c>
      <c r="N183" s="1">
        <f>IF(Signals_EU!E183=1,Signals_EU!R183*Mapping!$C$14,IF(Signals_EU!E183=-1,-Signals_EU!S183*Mapping!$C$14,0))</f>
        <v>5.000000000000001E-2</v>
      </c>
      <c r="O183" s="1">
        <f>0</f>
        <v>0</v>
      </c>
      <c r="P183" s="1">
        <f>0</f>
        <v>0</v>
      </c>
      <c r="Q183" s="1">
        <f>IF(Signals_EU!J183=1,Signals_EU!R183*Mapping!$C$17,IF(Signals_EU!J183=-1,-Signals_EU!S183*Mapping!$C$17,0))</f>
        <v>5.000000000000001E-2</v>
      </c>
      <c r="R183" s="1">
        <f>IF(Signals_EU!K183=1,Signals_EU!R183*Mapping!$C$18,IF(Signals_EU!K183=-1,-Signals_EU!S183*Mapping!$C$18,0))</f>
        <v>0</v>
      </c>
      <c r="S183" s="1">
        <f>IF(Signals_EU!M183=1,Signals_EU!R183*Mapping!$C$19,IF(Signals_EU!M183=-1,-Signals_EU!S183*Mapping!$C$19,0))</f>
        <v>0</v>
      </c>
      <c r="T183" s="1">
        <f>IF(Signals_EU!L183=1,Signals_EU!R183*Mapping!$C$20,IF(Signals_EU!L183=-1,-Signals_EU!S183*Mapping!$C$20,0))</f>
        <v>-5.000000000000001E-2</v>
      </c>
      <c r="U183" s="1">
        <f t="shared" si="2"/>
        <v>0</v>
      </c>
    </row>
    <row r="184" spans="1:21">
      <c r="A184" s="5">
        <f>Signals_EU!B184</f>
        <v>44593</v>
      </c>
      <c r="B184" s="1">
        <f>IF(Signals_EU!O184=1,Signals_EU!R184*Mapping!$C$2,IF(Signals_EU!O184=-1,-Signals_EU!S184*Mapping!$C$2,0))</f>
        <v>5.000000000000001E-2</v>
      </c>
      <c r="C184" s="1">
        <f>IF(Signals_EU!F184=1,Signals_EU!R184*Mapping!$C$3,IF(Signals_EU!F184=-1,-Signals_EU!S184*Mapping!$C$3,0))</f>
        <v>0</v>
      </c>
      <c r="D184" s="1">
        <f>IF(Signals_EU!C184=1,Signals_EU!R184*Mapping!$C$4,IF(Signals_EU!C184=-1,-Signals_EU!S184*Mapping!$C$4,0))</f>
        <v>0</v>
      </c>
      <c r="E184" s="1">
        <f>IF(Signals_EU!C184=1,Signals_EU!R184*Mapping!$C$5,IF(Signals_EU!C184=-1,-Signals_EU!S184*Mapping!$C$5,0))</f>
        <v>0</v>
      </c>
      <c r="F184" s="1">
        <f>IF(Signals_EU!H184=1,Signals_EU!R184*Mapping!$C$6,IF(Signals_EU!H184=-1,-Signals_EU!S184*Mapping!$C$6,0))</f>
        <v>1.0000000000000002E-2</v>
      </c>
      <c r="G184" s="1">
        <f>IF(Signals_EU!F184=1,Signals_EU!R184*Mapping!$C$7,IF(Signals_EU!F184=-1,-Signals_EU!S184*Mapping!$C$7,0))</f>
        <v>0</v>
      </c>
      <c r="H184" s="1">
        <f>IF(Signals_EU!D184=1,Signals_EU!R184*Mapping!$C$8,IF(Signals_EU!D184=-1,-Signals_EU!S184*Mapping!$C$8,0))</f>
        <v>-5.000000000000001E-2</v>
      </c>
      <c r="I184" s="1">
        <f>IF(Signals_EU!G184=1,Signals_EU!R184*Mapping!$C$9,IF(Signals_EU!G184=-1,-Signals_EU!S184*Mapping!$C$9,0))</f>
        <v>-5.000000000000001E-2</v>
      </c>
      <c r="J184" s="1">
        <f>IF(Signals_EU!H184=1,Signals_EU!R184*Mapping!$C$10,IF(Signals_EU!H184=-1,-Signals_EU!S184*Mapping!$C$10,0))</f>
        <v>4.0000000000000008E-2</v>
      </c>
      <c r="K184" s="1">
        <f>IF(Signals_EU!F184=1,Signals_EU!R184*Mapping!$C$11,IF(Signals_EU!F184=-1,-Signals_EU!S184*Mapping!$C$11,0))</f>
        <v>0</v>
      </c>
      <c r="L184" s="1">
        <f>IF(Signals_EU!N184=1,Signals_EU!R184*Mapping!$C$12,IF(Signals_EU!N184=-1,-Signals_EU!S184*Mapping!$C$12,0))</f>
        <v>0</v>
      </c>
      <c r="M184" s="1">
        <f>IF(Signals_EU!I184=1,Signals_EU!R184*Mapping!$C$13,IF(Signals_EU!I184=-1,-Signals_EU!S184*Mapping!$C$13,0))</f>
        <v>0</v>
      </c>
      <c r="N184" s="1">
        <f>IF(Signals_EU!E184=1,Signals_EU!R184*Mapping!$C$14,IF(Signals_EU!E184=-1,-Signals_EU!S184*Mapping!$C$14,0))</f>
        <v>5.000000000000001E-2</v>
      </c>
      <c r="O184" s="1">
        <f>0</f>
        <v>0</v>
      </c>
      <c r="P184" s="1">
        <f>0</f>
        <v>0</v>
      </c>
      <c r="Q184" s="1">
        <f>IF(Signals_EU!J184=1,Signals_EU!R184*Mapping!$C$17,IF(Signals_EU!J184=-1,-Signals_EU!S184*Mapping!$C$17,0))</f>
        <v>0</v>
      </c>
      <c r="R184" s="1">
        <f>IF(Signals_EU!K184=1,Signals_EU!R184*Mapping!$C$18,IF(Signals_EU!K184=-1,-Signals_EU!S184*Mapping!$C$18,0))</f>
        <v>0</v>
      </c>
      <c r="S184" s="1">
        <f>IF(Signals_EU!M184=1,Signals_EU!R184*Mapping!$C$19,IF(Signals_EU!M184=-1,-Signals_EU!S184*Mapping!$C$19,0))</f>
        <v>0</v>
      </c>
      <c r="T184" s="1">
        <f>IF(Signals_EU!L184=1,Signals_EU!R184*Mapping!$C$20,IF(Signals_EU!L184=-1,-Signals_EU!S184*Mapping!$C$20,0))</f>
        <v>-5.000000000000001E-2</v>
      </c>
      <c r="U184" s="1">
        <f t="shared" si="2"/>
        <v>0</v>
      </c>
    </row>
    <row r="185" spans="1:21">
      <c r="A185" s="5">
        <f>Signals_EU!B185</f>
        <v>44621</v>
      </c>
      <c r="B185" s="1">
        <f>IF(Signals_EU!O185=1,Signals_EU!R185*Mapping!$C$2,IF(Signals_EU!O185=-1,-Signals_EU!S185*Mapping!$C$2,0))</f>
        <v>0</v>
      </c>
      <c r="C185" s="1">
        <f>IF(Signals_EU!F185=1,Signals_EU!R185*Mapping!$C$3,IF(Signals_EU!F185=-1,-Signals_EU!S185*Mapping!$C$3,0))</f>
        <v>3.0000000000000006E-2</v>
      </c>
      <c r="D185" s="1">
        <f>IF(Signals_EU!C185=1,Signals_EU!R185*Mapping!$C$4,IF(Signals_EU!C185=-1,-Signals_EU!S185*Mapping!$C$4,0))</f>
        <v>0</v>
      </c>
      <c r="E185" s="1">
        <f>IF(Signals_EU!C185=1,Signals_EU!R185*Mapping!$C$5,IF(Signals_EU!C185=-1,-Signals_EU!S185*Mapping!$C$5,0))</f>
        <v>0</v>
      </c>
      <c r="F185" s="1">
        <f>IF(Signals_EU!H185=1,Signals_EU!R185*Mapping!$C$6,IF(Signals_EU!H185=-1,-Signals_EU!S185*Mapping!$C$6,0))</f>
        <v>0</v>
      </c>
      <c r="G185" s="1">
        <f>IF(Signals_EU!F185=1,Signals_EU!R185*Mapping!$C$7,IF(Signals_EU!F185=-1,-Signals_EU!S185*Mapping!$C$7,0))</f>
        <v>1.0000000000000002E-2</v>
      </c>
      <c r="H185" s="1">
        <f>IF(Signals_EU!D185=1,Signals_EU!R185*Mapping!$C$8,IF(Signals_EU!D185=-1,-Signals_EU!S185*Mapping!$C$8,0))</f>
        <v>0</v>
      </c>
      <c r="I185" s="1">
        <f>IF(Signals_EU!G185=1,Signals_EU!R185*Mapping!$C$9,IF(Signals_EU!G185=-1,-Signals_EU!S185*Mapping!$C$9,0))</f>
        <v>-5.000000000000001E-2</v>
      </c>
      <c r="J185" s="1">
        <f>IF(Signals_EU!H185=1,Signals_EU!R185*Mapping!$C$10,IF(Signals_EU!H185=-1,-Signals_EU!S185*Mapping!$C$10,0))</f>
        <v>0</v>
      </c>
      <c r="K185" s="1">
        <f>IF(Signals_EU!F185=1,Signals_EU!R185*Mapping!$C$11,IF(Signals_EU!F185=-1,-Signals_EU!S185*Mapping!$C$11,0))</f>
        <v>1.0000000000000002E-2</v>
      </c>
      <c r="L185" s="1">
        <f>IF(Signals_EU!N185=1,Signals_EU!R185*Mapping!$C$12,IF(Signals_EU!N185=-1,-Signals_EU!S185*Mapping!$C$12,0))</f>
        <v>0</v>
      </c>
      <c r="M185" s="1">
        <f>IF(Signals_EU!I185=1,Signals_EU!R185*Mapping!$C$13,IF(Signals_EU!I185=-1,-Signals_EU!S185*Mapping!$C$13,0))</f>
        <v>5.000000000000001E-2</v>
      </c>
      <c r="N185" s="1">
        <f>IF(Signals_EU!E185=1,Signals_EU!R185*Mapping!$C$14,IF(Signals_EU!E185=-1,-Signals_EU!S185*Mapping!$C$14,0))</f>
        <v>5.000000000000001E-2</v>
      </c>
      <c r="O185" s="1">
        <f>0</f>
        <v>0</v>
      </c>
      <c r="P185" s="1">
        <f>0</f>
        <v>0</v>
      </c>
      <c r="Q185" s="1">
        <f>IF(Signals_EU!J185=1,Signals_EU!R185*Mapping!$C$17,IF(Signals_EU!J185=-1,-Signals_EU!S185*Mapping!$C$17,0))</f>
        <v>-5.000000000000001E-2</v>
      </c>
      <c r="R185" s="1">
        <f>IF(Signals_EU!K185=1,Signals_EU!R185*Mapping!$C$18,IF(Signals_EU!K185=-1,-Signals_EU!S185*Mapping!$C$18,0))</f>
        <v>0</v>
      </c>
      <c r="S185" s="1">
        <f>IF(Signals_EU!M185=1,Signals_EU!R185*Mapping!$C$19,IF(Signals_EU!M185=-1,-Signals_EU!S185*Mapping!$C$19,0))</f>
        <v>0</v>
      </c>
      <c r="T185" s="1">
        <f>IF(Signals_EU!L185=1,Signals_EU!R185*Mapping!$C$20,IF(Signals_EU!L185=-1,-Signals_EU!S185*Mapping!$C$20,0))</f>
        <v>-5.000000000000001E-2</v>
      </c>
      <c r="U185" s="1">
        <f t="shared" si="2"/>
        <v>0</v>
      </c>
    </row>
    <row r="186" spans="1:21">
      <c r="A186" s="5">
        <f>Signals_EU!B186</f>
        <v>44652</v>
      </c>
      <c r="B186" s="1">
        <f>IF(Signals_EU!O186=1,Signals_EU!R186*Mapping!$C$2,IF(Signals_EU!O186=-1,-Signals_EU!S186*Mapping!$C$2,0))</f>
        <v>0</v>
      </c>
      <c r="C186" s="1">
        <f>IF(Signals_EU!F186=1,Signals_EU!R186*Mapping!$C$3,IF(Signals_EU!F186=-1,-Signals_EU!S186*Mapping!$C$3,0))</f>
        <v>0</v>
      </c>
      <c r="D186" s="1">
        <f>IF(Signals_EU!C186=1,Signals_EU!R186*Mapping!$C$4,IF(Signals_EU!C186=-1,-Signals_EU!S186*Mapping!$C$4,0))</f>
        <v>0</v>
      </c>
      <c r="E186" s="1">
        <f>IF(Signals_EU!C186=1,Signals_EU!R186*Mapping!$C$5,IF(Signals_EU!C186=-1,-Signals_EU!S186*Mapping!$C$5,0))</f>
        <v>0</v>
      </c>
      <c r="F186" s="1">
        <f>IF(Signals_EU!H186=1,Signals_EU!R186*Mapping!$C$6,IF(Signals_EU!H186=-1,-Signals_EU!S186*Mapping!$C$6,0))</f>
        <v>1.0000000000000002E-2</v>
      </c>
      <c r="G186" s="1">
        <f>IF(Signals_EU!F186=1,Signals_EU!R186*Mapping!$C$7,IF(Signals_EU!F186=-1,-Signals_EU!S186*Mapping!$C$7,0))</f>
        <v>0</v>
      </c>
      <c r="H186" s="1">
        <f>IF(Signals_EU!D186=1,Signals_EU!R186*Mapping!$C$8,IF(Signals_EU!D186=-1,-Signals_EU!S186*Mapping!$C$8,0))</f>
        <v>0</v>
      </c>
      <c r="I186" s="1">
        <f>IF(Signals_EU!G186=1,Signals_EU!R186*Mapping!$C$9,IF(Signals_EU!G186=-1,-Signals_EU!S186*Mapping!$C$9,0))</f>
        <v>-5.000000000000001E-2</v>
      </c>
      <c r="J186" s="1">
        <f>IF(Signals_EU!H186=1,Signals_EU!R186*Mapping!$C$10,IF(Signals_EU!H186=-1,-Signals_EU!S186*Mapping!$C$10,0))</f>
        <v>4.0000000000000008E-2</v>
      </c>
      <c r="K186" s="1">
        <f>IF(Signals_EU!F186=1,Signals_EU!R186*Mapping!$C$11,IF(Signals_EU!F186=-1,-Signals_EU!S186*Mapping!$C$11,0))</f>
        <v>0</v>
      </c>
      <c r="L186" s="1">
        <f>IF(Signals_EU!N186=1,Signals_EU!R186*Mapping!$C$12,IF(Signals_EU!N186=-1,-Signals_EU!S186*Mapping!$C$12,0))</f>
        <v>0</v>
      </c>
      <c r="M186" s="1">
        <f>IF(Signals_EU!I186=1,Signals_EU!R186*Mapping!$C$13,IF(Signals_EU!I186=-1,-Signals_EU!S186*Mapping!$C$13,0))</f>
        <v>5.000000000000001E-2</v>
      </c>
      <c r="N186" s="1">
        <f>IF(Signals_EU!E186=1,Signals_EU!R186*Mapping!$C$14,IF(Signals_EU!E186=-1,-Signals_EU!S186*Mapping!$C$14,0))</f>
        <v>0</v>
      </c>
      <c r="O186" s="1">
        <f>0</f>
        <v>0</v>
      </c>
      <c r="P186" s="1">
        <f>0</f>
        <v>0</v>
      </c>
      <c r="Q186" s="1">
        <f>IF(Signals_EU!J186=1,Signals_EU!R186*Mapping!$C$17,IF(Signals_EU!J186=-1,-Signals_EU!S186*Mapping!$C$17,0))</f>
        <v>-5.000000000000001E-2</v>
      </c>
      <c r="R186" s="1">
        <f>IF(Signals_EU!K186=1,Signals_EU!R186*Mapping!$C$18,IF(Signals_EU!K186=-1,-Signals_EU!S186*Mapping!$C$18,0))</f>
        <v>5.000000000000001E-2</v>
      </c>
      <c r="S186" s="1">
        <f>IF(Signals_EU!M186=1,Signals_EU!R186*Mapping!$C$19,IF(Signals_EU!M186=-1,-Signals_EU!S186*Mapping!$C$19,0))</f>
        <v>0</v>
      </c>
      <c r="T186" s="1">
        <f>IF(Signals_EU!L186=1,Signals_EU!R186*Mapping!$C$20,IF(Signals_EU!L186=-1,-Signals_EU!S186*Mapping!$C$20,0))</f>
        <v>-5.000000000000001E-2</v>
      </c>
      <c r="U186" s="1">
        <f t="shared" si="2"/>
        <v>0</v>
      </c>
    </row>
    <row r="187" spans="1:21">
      <c r="A187" s="5">
        <f>Signals_EU!B187</f>
        <v>44682</v>
      </c>
      <c r="B187" s="1">
        <f>IF(Signals_EU!O187=1,Signals_EU!R187*Mapping!$C$2,IF(Signals_EU!O187=-1,-Signals_EU!S187*Mapping!$C$2,0))</f>
        <v>0</v>
      </c>
      <c r="C187" s="1">
        <f>IF(Signals_EU!F187=1,Signals_EU!R187*Mapping!$C$3,IF(Signals_EU!F187=-1,-Signals_EU!S187*Mapping!$C$3,0))</f>
        <v>0</v>
      </c>
      <c r="D187" s="1">
        <f>IF(Signals_EU!C187=1,Signals_EU!R187*Mapping!$C$4,IF(Signals_EU!C187=-1,-Signals_EU!S187*Mapping!$C$4,0))</f>
        <v>2.5000000000000005E-2</v>
      </c>
      <c r="E187" s="1">
        <f>IF(Signals_EU!C187=1,Signals_EU!R187*Mapping!$C$5,IF(Signals_EU!C187=-1,-Signals_EU!S187*Mapping!$C$5,0))</f>
        <v>2.5000000000000005E-2</v>
      </c>
      <c r="F187" s="1">
        <f>IF(Signals_EU!H187=1,Signals_EU!R187*Mapping!$C$6,IF(Signals_EU!H187=-1,-Signals_EU!S187*Mapping!$C$6,0))</f>
        <v>0</v>
      </c>
      <c r="G187" s="1">
        <f>IF(Signals_EU!F187=1,Signals_EU!R187*Mapping!$C$7,IF(Signals_EU!F187=-1,-Signals_EU!S187*Mapping!$C$7,0))</f>
        <v>0</v>
      </c>
      <c r="H187" s="1">
        <f>IF(Signals_EU!D187=1,Signals_EU!R187*Mapping!$C$8,IF(Signals_EU!D187=-1,-Signals_EU!S187*Mapping!$C$8,0))</f>
        <v>-5.000000000000001E-2</v>
      </c>
      <c r="I187" s="1">
        <f>IF(Signals_EU!G187=1,Signals_EU!R187*Mapping!$C$9,IF(Signals_EU!G187=-1,-Signals_EU!S187*Mapping!$C$9,0))</f>
        <v>-5.000000000000001E-2</v>
      </c>
      <c r="J187" s="1">
        <f>IF(Signals_EU!H187=1,Signals_EU!R187*Mapping!$C$10,IF(Signals_EU!H187=-1,-Signals_EU!S187*Mapping!$C$10,0))</f>
        <v>0</v>
      </c>
      <c r="K187" s="1">
        <f>IF(Signals_EU!F187=1,Signals_EU!R187*Mapping!$C$11,IF(Signals_EU!F187=-1,-Signals_EU!S187*Mapping!$C$11,0))</f>
        <v>0</v>
      </c>
      <c r="L187" s="1">
        <f>IF(Signals_EU!N187=1,Signals_EU!R187*Mapping!$C$12,IF(Signals_EU!N187=-1,-Signals_EU!S187*Mapping!$C$12,0))</f>
        <v>0</v>
      </c>
      <c r="M187" s="1">
        <f>IF(Signals_EU!I187=1,Signals_EU!R187*Mapping!$C$13,IF(Signals_EU!I187=-1,-Signals_EU!S187*Mapping!$C$13,0))</f>
        <v>5.000000000000001E-2</v>
      </c>
      <c r="N187" s="1">
        <f>IF(Signals_EU!E187=1,Signals_EU!R187*Mapping!$C$14,IF(Signals_EU!E187=-1,-Signals_EU!S187*Mapping!$C$14,0))</f>
        <v>0</v>
      </c>
      <c r="O187" s="1">
        <f>0</f>
        <v>0</v>
      </c>
      <c r="P187" s="1">
        <f>0</f>
        <v>0</v>
      </c>
      <c r="Q187" s="1">
        <f>IF(Signals_EU!J187=1,Signals_EU!R187*Mapping!$C$17,IF(Signals_EU!J187=-1,-Signals_EU!S187*Mapping!$C$17,0))</f>
        <v>0</v>
      </c>
      <c r="R187" s="1">
        <f>IF(Signals_EU!K187=1,Signals_EU!R187*Mapping!$C$18,IF(Signals_EU!K187=-1,-Signals_EU!S187*Mapping!$C$18,0))</f>
        <v>5.000000000000001E-2</v>
      </c>
      <c r="S187" s="1">
        <f>IF(Signals_EU!M187=1,Signals_EU!R187*Mapping!$C$19,IF(Signals_EU!M187=-1,-Signals_EU!S187*Mapping!$C$19,0))</f>
        <v>0</v>
      </c>
      <c r="T187" s="1">
        <f>IF(Signals_EU!L187=1,Signals_EU!R187*Mapping!$C$20,IF(Signals_EU!L187=-1,-Signals_EU!S187*Mapping!$C$20,0))</f>
        <v>-5.000000000000001E-2</v>
      </c>
      <c r="U187" s="1">
        <f t="shared" si="2"/>
        <v>0</v>
      </c>
    </row>
    <row r="188" spans="1:21">
      <c r="A188" s="5">
        <f>Signals_EU!B188</f>
        <v>44713</v>
      </c>
      <c r="B188" s="1">
        <f>IF(Signals_EU!O188=1,Signals_EU!R188*Mapping!$C$2,IF(Signals_EU!O188=-1,-Signals_EU!S188*Mapping!$C$2,0))</f>
        <v>0</v>
      </c>
      <c r="C188" s="1">
        <f>IF(Signals_EU!F188=1,Signals_EU!R188*Mapping!$C$3,IF(Signals_EU!F188=-1,-Signals_EU!S188*Mapping!$C$3,0))</f>
        <v>0</v>
      </c>
      <c r="D188" s="1">
        <f>IF(Signals_EU!C188=1,Signals_EU!R188*Mapping!$C$4,IF(Signals_EU!C188=-1,-Signals_EU!S188*Mapping!$C$4,0))</f>
        <v>2.5000000000000005E-2</v>
      </c>
      <c r="E188" s="1">
        <f>IF(Signals_EU!C188=1,Signals_EU!R188*Mapping!$C$5,IF(Signals_EU!C188=-1,-Signals_EU!S188*Mapping!$C$5,0))</f>
        <v>2.5000000000000005E-2</v>
      </c>
      <c r="F188" s="1">
        <f>IF(Signals_EU!H188=1,Signals_EU!R188*Mapping!$C$6,IF(Signals_EU!H188=-1,-Signals_EU!S188*Mapping!$C$6,0))</f>
        <v>0</v>
      </c>
      <c r="G188" s="1">
        <f>IF(Signals_EU!F188=1,Signals_EU!R188*Mapping!$C$7,IF(Signals_EU!F188=-1,-Signals_EU!S188*Mapping!$C$7,0))</f>
        <v>0</v>
      </c>
      <c r="H188" s="1">
        <f>IF(Signals_EU!D188=1,Signals_EU!R188*Mapping!$C$8,IF(Signals_EU!D188=-1,-Signals_EU!S188*Mapping!$C$8,0))</f>
        <v>0</v>
      </c>
      <c r="I188" s="1">
        <f>IF(Signals_EU!G188=1,Signals_EU!R188*Mapping!$C$9,IF(Signals_EU!G188=-1,-Signals_EU!S188*Mapping!$C$9,0))</f>
        <v>-5.000000000000001E-2</v>
      </c>
      <c r="J188" s="1">
        <f>IF(Signals_EU!H188=1,Signals_EU!R188*Mapping!$C$10,IF(Signals_EU!H188=-1,-Signals_EU!S188*Mapping!$C$10,0))</f>
        <v>0</v>
      </c>
      <c r="K188" s="1">
        <f>IF(Signals_EU!F188=1,Signals_EU!R188*Mapping!$C$11,IF(Signals_EU!F188=-1,-Signals_EU!S188*Mapping!$C$11,0))</f>
        <v>0</v>
      </c>
      <c r="L188" s="1">
        <f>IF(Signals_EU!N188=1,Signals_EU!R188*Mapping!$C$12,IF(Signals_EU!N188=-1,-Signals_EU!S188*Mapping!$C$12,0))</f>
        <v>-5.000000000000001E-2</v>
      </c>
      <c r="M188" s="1">
        <f>IF(Signals_EU!I188=1,Signals_EU!R188*Mapping!$C$13,IF(Signals_EU!I188=-1,-Signals_EU!S188*Mapping!$C$13,0))</f>
        <v>5.000000000000001E-2</v>
      </c>
      <c r="N188" s="1">
        <f>IF(Signals_EU!E188=1,Signals_EU!R188*Mapping!$C$14,IF(Signals_EU!E188=-1,-Signals_EU!S188*Mapping!$C$14,0))</f>
        <v>0</v>
      </c>
      <c r="O188" s="1">
        <f>0</f>
        <v>0</v>
      </c>
      <c r="P188" s="1">
        <f>0</f>
        <v>0</v>
      </c>
      <c r="Q188" s="1">
        <f>IF(Signals_EU!J188=1,Signals_EU!R188*Mapping!$C$17,IF(Signals_EU!J188=-1,-Signals_EU!S188*Mapping!$C$17,0))</f>
        <v>0</v>
      </c>
      <c r="R188" s="1">
        <f>IF(Signals_EU!K188=1,Signals_EU!R188*Mapping!$C$18,IF(Signals_EU!K188=-1,-Signals_EU!S188*Mapping!$C$18,0))</f>
        <v>5.000000000000001E-2</v>
      </c>
      <c r="S188" s="1">
        <f>IF(Signals_EU!M188=1,Signals_EU!R188*Mapping!$C$19,IF(Signals_EU!M188=-1,-Signals_EU!S188*Mapping!$C$19,0))</f>
        <v>0</v>
      </c>
      <c r="T188" s="1">
        <f>IF(Signals_EU!L188=1,Signals_EU!R188*Mapping!$C$20,IF(Signals_EU!L188=-1,-Signals_EU!S188*Mapping!$C$20,0))</f>
        <v>-5.000000000000001E-2</v>
      </c>
      <c r="U188" s="1">
        <f t="shared" si="2"/>
        <v>0</v>
      </c>
    </row>
    <row r="189" spans="1:21">
      <c r="A189" s="5">
        <f>Signals_EU!B189</f>
        <v>44743</v>
      </c>
      <c r="B189" s="1">
        <f>IF(Signals_EU!O189=1,Signals_EU!R189*Mapping!$C$2,IF(Signals_EU!O189=-1,-Signals_EU!S189*Mapping!$C$2,0))</f>
        <v>0</v>
      </c>
      <c r="C189" s="1">
        <f>IF(Signals_EU!F189=1,Signals_EU!R189*Mapping!$C$3,IF(Signals_EU!F189=-1,-Signals_EU!S189*Mapping!$C$3,0))</f>
        <v>0</v>
      </c>
      <c r="D189" s="1">
        <f>IF(Signals_EU!C189=1,Signals_EU!R189*Mapping!$C$4,IF(Signals_EU!C189=-1,-Signals_EU!S189*Mapping!$C$4,0))</f>
        <v>-2.5000000000000005E-2</v>
      </c>
      <c r="E189" s="1">
        <f>IF(Signals_EU!C189=1,Signals_EU!R189*Mapping!$C$5,IF(Signals_EU!C189=-1,-Signals_EU!S189*Mapping!$C$5,0))</f>
        <v>-2.5000000000000005E-2</v>
      </c>
      <c r="F189" s="1">
        <f>IF(Signals_EU!H189=1,Signals_EU!R189*Mapping!$C$6,IF(Signals_EU!H189=-1,-Signals_EU!S189*Mapping!$C$6,0))</f>
        <v>0</v>
      </c>
      <c r="G189" s="1">
        <f>IF(Signals_EU!F189=1,Signals_EU!R189*Mapping!$C$7,IF(Signals_EU!F189=-1,-Signals_EU!S189*Mapping!$C$7,0))</f>
        <v>0</v>
      </c>
      <c r="H189" s="1">
        <f>IF(Signals_EU!D189=1,Signals_EU!R189*Mapping!$C$8,IF(Signals_EU!D189=-1,-Signals_EU!S189*Mapping!$C$8,0))</f>
        <v>-5.000000000000001E-2</v>
      </c>
      <c r="I189" s="1">
        <f>IF(Signals_EU!G189=1,Signals_EU!R189*Mapping!$C$9,IF(Signals_EU!G189=-1,-Signals_EU!S189*Mapping!$C$9,0))</f>
        <v>0</v>
      </c>
      <c r="J189" s="1">
        <f>IF(Signals_EU!H189=1,Signals_EU!R189*Mapping!$C$10,IF(Signals_EU!H189=-1,-Signals_EU!S189*Mapping!$C$10,0))</f>
        <v>0</v>
      </c>
      <c r="K189" s="1">
        <f>IF(Signals_EU!F189=1,Signals_EU!R189*Mapping!$C$11,IF(Signals_EU!F189=-1,-Signals_EU!S189*Mapping!$C$11,0))</f>
        <v>0</v>
      </c>
      <c r="L189" s="1">
        <f>IF(Signals_EU!N189=1,Signals_EU!R189*Mapping!$C$12,IF(Signals_EU!N189=-1,-Signals_EU!S189*Mapping!$C$12,0))</f>
        <v>0</v>
      </c>
      <c r="M189" s="1">
        <f>IF(Signals_EU!I189=1,Signals_EU!R189*Mapping!$C$13,IF(Signals_EU!I189=-1,-Signals_EU!S189*Mapping!$C$13,0))</f>
        <v>5.000000000000001E-2</v>
      </c>
      <c r="N189" s="1">
        <f>IF(Signals_EU!E189=1,Signals_EU!R189*Mapping!$C$14,IF(Signals_EU!E189=-1,-Signals_EU!S189*Mapping!$C$14,0))</f>
        <v>5.000000000000001E-2</v>
      </c>
      <c r="O189" s="1">
        <f>0</f>
        <v>0</v>
      </c>
      <c r="P189" s="1">
        <f>0</f>
        <v>0</v>
      </c>
      <c r="Q189" s="1">
        <f>IF(Signals_EU!J189=1,Signals_EU!R189*Mapping!$C$17,IF(Signals_EU!J189=-1,-Signals_EU!S189*Mapping!$C$17,0))</f>
        <v>0</v>
      </c>
      <c r="R189" s="1">
        <f>IF(Signals_EU!K189=1,Signals_EU!R189*Mapping!$C$18,IF(Signals_EU!K189=-1,-Signals_EU!S189*Mapping!$C$18,0))</f>
        <v>5.000000000000001E-2</v>
      </c>
      <c r="S189" s="1">
        <f>IF(Signals_EU!M189=1,Signals_EU!R189*Mapping!$C$19,IF(Signals_EU!M189=-1,-Signals_EU!S189*Mapping!$C$19,0))</f>
        <v>0</v>
      </c>
      <c r="T189" s="1">
        <f>IF(Signals_EU!L189=1,Signals_EU!R189*Mapping!$C$20,IF(Signals_EU!L189=-1,-Signals_EU!S189*Mapping!$C$20,0))</f>
        <v>-5.000000000000001E-2</v>
      </c>
      <c r="U189" s="1">
        <f t="shared" si="2"/>
        <v>0</v>
      </c>
    </row>
    <row r="190" spans="1:21">
      <c r="A190" s="5">
        <f>Signals_EU!B190</f>
        <v>44774</v>
      </c>
      <c r="B190" s="1">
        <f>IF(Signals_EU!O190=1,Signals_EU!R190*Mapping!$C$2,IF(Signals_EU!O190=-1,-Signals_EU!S190*Mapping!$C$2,0))</f>
        <v>0</v>
      </c>
      <c r="C190" s="1">
        <f>IF(Signals_EU!F190=1,Signals_EU!R190*Mapping!$C$3,IF(Signals_EU!F190=-1,-Signals_EU!S190*Mapping!$C$3,0))</f>
        <v>0</v>
      </c>
      <c r="D190" s="1">
        <f>IF(Signals_EU!C190=1,Signals_EU!R190*Mapping!$C$4,IF(Signals_EU!C190=-1,-Signals_EU!S190*Mapping!$C$4,0))</f>
        <v>-2.5000000000000005E-2</v>
      </c>
      <c r="E190" s="1">
        <f>IF(Signals_EU!C190=1,Signals_EU!R190*Mapping!$C$5,IF(Signals_EU!C190=-1,-Signals_EU!S190*Mapping!$C$5,0))</f>
        <v>-2.5000000000000005E-2</v>
      </c>
      <c r="F190" s="1">
        <f>IF(Signals_EU!H190=1,Signals_EU!R190*Mapping!$C$6,IF(Signals_EU!H190=-1,-Signals_EU!S190*Mapping!$C$6,0))</f>
        <v>0</v>
      </c>
      <c r="G190" s="1">
        <f>IF(Signals_EU!F190=1,Signals_EU!R190*Mapping!$C$7,IF(Signals_EU!F190=-1,-Signals_EU!S190*Mapping!$C$7,0))</f>
        <v>0</v>
      </c>
      <c r="H190" s="1">
        <f>IF(Signals_EU!D190=1,Signals_EU!R190*Mapping!$C$8,IF(Signals_EU!D190=-1,-Signals_EU!S190*Mapping!$C$8,0))</f>
        <v>5.000000000000001E-2</v>
      </c>
      <c r="I190" s="1">
        <f>IF(Signals_EU!G190=1,Signals_EU!R190*Mapping!$C$9,IF(Signals_EU!G190=-1,-Signals_EU!S190*Mapping!$C$9,0))</f>
        <v>0</v>
      </c>
      <c r="J190" s="1">
        <f>IF(Signals_EU!H190=1,Signals_EU!R190*Mapping!$C$10,IF(Signals_EU!H190=-1,-Signals_EU!S190*Mapping!$C$10,0))</f>
        <v>0</v>
      </c>
      <c r="K190" s="1">
        <f>IF(Signals_EU!F190=1,Signals_EU!R190*Mapping!$C$11,IF(Signals_EU!F190=-1,-Signals_EU!S190*Mapping!$C$11,0))</f>
        <v>0</v>
      </c>
      <c r="L190" s="1">
        <f>IF(Signals_EU!N190=1,Signals_EU!R190*Mapping!$C$12,IF(Signals_EU!N190=-1,-Signals_EU!S190*Mapping!$C$12,0))</f>
        <v>0</v>
      </c>
      <c r="M190" s="1">
        <f>IF(Signals_EU!I190=1,Signals_EU!R190*Mapping!$C$13,IF(Signals_EU!I190=-1,-Signals_EU!S190*Mapping!$C$13,0))</f>
        <v>5.000000000000001E-2</v>
      </c>
      <c r="N190" s="1">
        <f>IF(Signals_EU!E190=1,Signals_EU!R190*Mapping!$C$14,IF(Signals_EU!E190=-1,-Signals_EU!S190*Mapping!$C$14,0))</f>
        <v>0</v>
      </c>
      <c r="O190" s="1">
        <f>0</f>
        <v>0</v>
      </c>
      <c r="P190" s="1">
        <f>0</f>
        <v>0</v>
      </c>
      <c r="Q190" s="1">
        <f>IF(Signals_EU!J190=1,Signals_EU!R190*Mapping!$C$17,IF(Signals_EU!J190=-1,-Signals_EU!S190*Mapping!$C$17,0))</f>
        <v>-5.000000000000001E-2</v>
      </c>
      <c r="R190" s="1">
        <f>IF(Signals_EU!K190=1,Signals_EU!R190*Mapping!$C$18,IF(Signals_EU!K190=-1,-Signals_EU!S190*Mapping!$C$18,0))</f>
        <v>5.000000000000001E-2</v>
      </c>
      <c r="S190" s="1">
        <f>IF(Signals_EU!M190=1,Signals_EU!R190*Mapping!$C$19,IF(Signals_EU!M190=-1,-Signals_EU!S190*Mapping!$C$19,0))</f>
        <v>0</v>
      </c>
      <c r="T190" s="1">
        <f>IF(Signals_EU!L190=1,Signals_EU!R190*Mapping!$C$20,IF(Signals_EU!L190=-1,-Signals_EU!S190*Mapping!$C$20,0))</f>
        <v>-5.000000000000001E-2</v>
      </c>
      <c r="U190" s="1">
        <f t="shared" si="2"/>
        <v>0</v>
      </c>
    </row>
    <row r="191" spans="1:21">
      <c r="A191" s="5">
        <f>Signals_EU!B191</f>
        <v>44805</v>
      </c>
      <c r="B191" s="1">
        <f>IF(Signals_EU!O191=1,Signals_EU!R191*Mapping!$C$2,IF(Signals_EU!O191=-1,-Signals_EU!S191*Mapping!$C$2,0))</f>
        <v>0</v>
      </c>
      <c r="C191" s="1">
        <f>IF(Signals_EU!F191=1,Signals_EU!R191*Mapping!$C$3,IF(Signals_EU!F191=-1,-Signals_EU!S191*Mapping!$C$3,0))</f>
        <v>0</v>
      </c>
      <c r="D191" s="1">
        <f>IF(Signals_EU!C191=1,Signals_EU!R191*Mapping!$C$4,IF(Signals_EU!C191=-1,-Signals_EU!S191*Mapping!$C$4,0))</f>
        <v>-2.5000000000000005E-2</v>
      </c>
      <c r="E191" s="1">
        <f>IF(Signals_EU!C191=1,Signals_EU!R191*Mapping!$C$5,IF(Signals_EU!C191=-1,-Signals_EU!S191*Mapping!$C$5,0))</f>
        <v>-2.5000000000000005E-2</v>
      </c>
      <c r="F191" s="1">
        <f>IF(Signals_EU!H191=1,Signals_EU!R191*Mapping!$C$6,IF(Signals_EU!H191=-1,-Signals_EU!S191*Mapping!$C$6,0))</f>
        <v>-1.0000000000000002E-2</v>
      </c>
      <c r="G191" s="1">
        <f>IF(Signals_EU!F191=1,Signals_EU!R191*Mapping!$C$7,IF(Signals_EU!F191=-1,-Signals_EU!S191*Mapping!$C$7,0))</f>
        <v>0</v>
      </c>
      <c r="H191" s="1">
        <f>IF(Signals_EU!D191=1,Signals_EU!R191*Mapping!$C$8,IF(Signals_EU!D191=-1,-Signals_EU!S191*Mapping!$C$8,0))</f>
        <v>0</v>
      </c>
      <c r="I191" s="1">
        <f>IF(Signals_EU!G191=1,Signals_EU!R191*Mapping!$C$9,IF(Signals_EU!G191=-1,-Signals_EU!S191*Mapping!$C$9,0))</f>
        <v>0</v>
      </c>
      <c r="J191" s="1">
        <f>IF(Signals_EU!H191=1,Signals_EU!R191*Mapping!$C$10,IF(Signals_EU!H191=-1,-Signals_EU!S191*Mapping!$C$10,0))</f>
        <v>-4.0000000000000008E-2</v>
      </c>
      <c r="K191" s="1">
        <f>IF(Signals_EU!F191=1,Signals_EU!R191*Mapping!$C$11,IF(Signals_EU!F191=-1,-Signals_EU!S191*Mapping!$C$11,0))</f>
        <v>0</v>
      </c>
      <c r="L191" s="1">
        <f>IF(Signals_EU!N191=1,Signals_EU!R191*Mapping!$C$12,IF(Signals_EU!N191=-1,-Signals_EU!S191*Mapping!$C$12,0))</f>
        <v>5.000000000000001E-2</v>
      </c>
      <c r="M191" s="1">
        <f>IF(Signals_EU!I191=1,Signals_EU!R191*Mapping!$C$13,IF(Signals_EU!I191=-1,-Signals_EU!S191*Mapping!$C$13,0))</f>
        <v>5.000000000000001E-2</v>
      </c>
      <c r="N191" s="1">
        <f>IF(Signals_EU!E191=1,Signals_EU!R191*Mapping!$C$14,IF(Signals_EU!E191=-1,-Signals_EU!S191*Mapping!$C$14,0))</f>
        <v>5.000000000000001E-2</v>
      </c>
      <c r="O191" s="1">
        <f>0</f>
        <v>0</v>
      </c>
      <c r="P191" s="1">
        <f>0</f>
        <v>0</v>
      </c>
      <c r="Q191" s="1">
        <f>IF(Signals_EU!J191=1,Signals_EU!R191*Mapping!$C$17,IF(Signals_EU!J191=-1,-Signals_EU!S191*Mapping!$C$17,0))</f>
        <v>-5.000000000000001E-2</v>
      </c>
      <c r="R191" s="1">
        <f>IF(Signals_EU!K191=1,Signals_EU!R191*Mapping!$C$18,IF(Signals_EU!K191=-1,-Signals_EU!S191*Mapping!$C$18,0))</f>
        <v>0</v>
      </c>
      <c r="S191" s="1">
        <f>IF(Signals_EU!M191=1,Signals_EU!R191*Mapping!$C$19,IF(Signals_EU!M191=-1,-Signals_EU!S191*Mapping!$C$19,0))</f>
        <v>0</v>
      </c>
      <c r="T191" s="1">
        <f>IF(Signals_EU!L191=1,Signals_EU!R191*Mapping!$C$20,IF(Signals_EU!L191=-1,-Signals_EU!S191*Mapping!$C$20,0))</f>
        <v>0</v>
      </c>
      <c r="U191" s="1">
        <f t="shared" si="2"/>
        <v>0</v>
      </c>
    </row>
    <row r="192" spans="1:21">
      <c r="A192" s="5">
        <f>Signals_EU!B192</f>
        <v>44835</v>
      </c>
      <c r="B192" s="1">
        <f>IF(Signals_EU!O192=1,Signals_EU!R192*Mapping!$C$2,IF(Signals_EU!O192=-1,-Signals_EU!S192*Mapping!$C$2,0))</f>
        <v>0</v>
      </c>
      <c r="C192" s="1">
        <f>IF(Signals_EU!F192=1,Signals_EU!R192*Mapping!$C$3,IF(Signals_EU!F192=-1,-Signals_EU!S192*Mapping!$C$3,0))</f>
        <v>0</v>
      </c>
      <c r="D192" s="1">
        <f>IF(Signals_EU!C192=1,Signals_EU!R192*Mapping!$C$4,IF(Signals_EU!C192=-1,-Signals_EU!S192*Mapping!$C$4,0))</f>
        <v>-2.5000000000000005E-2</v>
      </c>
      <c r="E192" s="1">
        <f>IF(Signals_EU!C192=1,Signals_EU!R192*Mapping!$C$5,IF(Signals_EU!C192=-1,-Signals_EU!S192*Mapping!$C$5,0))</f>
        <v>-2.5000000000000005E-2</v>
      </c>
      <c r="F192" s="1">
        <f>IF(Signals_EU!H192=1,Signals_EU!R192*Mapping!$C$6,IF(Signals_EU!H192=-1,-Signals_EU!S192*Mapping!$C$6,0))</f>
        <v>-1.0000000000000002E-2</v>
      </c>
      <c r="G192" s="1">
        <f>IF(Signals_EU!F192=1,Signals_EU!R192*Mapping!$C$7,IF(Signals_EU!F192=-1,-Signals_EU!S192*Mapping!$C$7,0))</f>
        <v>0</v>
      </c>
      <c r="H192" s="1">
        <f>IF(Signals_EU!D192=1,Signals_EU!R192*Mapping!$C$8,IF(Signals_EU!D192=-1,-Signals_EU!S192*Mapping!$C$8,0))</f>
        <v>0</v>
      </c>
      <c r="I192" s="1">
        <f>IF(Signals_EU!G192=1,Signals_EU!R192*Mapping!$C$9,IF(Signals_EU!G192=-1,-Signals_EU!S192*Mapping!$C$9,0))</f>
        <v>0</v>
      </c>
      <c r="J192" s="1">
        <f>IF(Signals_EU!H192=1,Signals_EU!R192*Mapping!$C$10,IF(Signals_EU!H192=-1,-Signals_EU!S192*Mapping!$C$10,0))</f>
        <v>-4.0000000000000008E-2</v>
      </c>
      <c r="K192" s="1">
        <f>IF(Signals_EU!F192=1,Signals_EU!R192*Mapping!$C$11,IF(Signals_EU!F192=-1,-Signals_EU!S192*Mapping!$C$11,0))</f>
        <v>0</v>
      </c>
      <c r="L192" s="1">
        <f>IF(Signals_EU!N192=1,Signals_EU!R192*Mapping!$C$12,IF(Signals_EU!N192=-1,-Signals_EU!S192*Mapping!$C$12,0))</f>
        <v>0</v>
      </c>
      <c r="M192" s="1">
        <f>IF(Signals_EU!I192=1,Signals_EU!R192*Mapping!$C$13,IF(Signals_EU!I192=-1,-Signals_EU!S192*Mapping!$C$13,0))</f>
        <v>5.000000000000001E-2</v>
      </c>
      <c r="N192" s="1">
        <f>IF(Signals_EU!E192=1,Signals_EU!R192*Mapping!$C$14,IF(Signals_EU!E192=-1,-Signals_EU!S192*Mapping!$C$14,0))</f>
        <v>5.000000000000001E-2</v>
      </c>
      <c r="O192" s="1">
        <f>0</f>
        <v>0</v>
      </c>
      <c r="P192" s="1">
        <f>0</f>
        <v>0</v>
      </c>
      <c r="Q192" s="1">
        <f>IF(Signals_EU!J192=1,Signals_EU!R192*Mapping!$C$17,IF(Signals_EU!J192=-1,-Signals_EU!S192*Mapping!$C$17,0))</f>
        <v>5.000000000000001E-2</v>
      </c>
      <c r="R192" s="1">
        <f>IF(Signals_EU!K192=1,Signals_EU!R192*Mapping!$C$18,IF(Signals_EU!K192=-1,-Signals_EU!S192*Mapping!$C$18,0))</f>
        <v>0</v>
      </c>
      <c r="S192" s="1">
        <f>IF(Signals_EU!M192=1,Signals_EU!R192*Mapping!$C$19,IF(Signals_EU!M192=-1,-Signals_EU!S192*Mapping!$C$19,0))</f>
        <v>0</v>
      </c>
      <c r="T192" s="1">
        <f>IF(Signals_EU!L192=1,Signals_EU!R192*Mapping!$C$20,IF(Signals_EU!L192=-1,-Signals_EU!S192*Mapping!$C$20,0))</f>
        <v>-5.000000000000001E-2</v>
      </c>
      <c r="U192" s="1">
        <f t="shared" si="2"/>
        <v>0</v>
      </c>
    </row>
    <row r="193" spans="1:21">
      <c r="A193" s="5">
        <f>Signals_EU!B193</f>
        <v>44866</v>
      </c>
      <c r="B193" s="1">
        <f>IF(Signals_EU!O193=1,Signals_EU!R193*Mapping!$C$2,IF(Signals_EU!O193=-1,-Signals_EU!S193*Mapping!$C$2,0))</f>
        <v>0</v>
      </c>
      <c r="C193" s="1">
        <f>IF(Signals_EU!F193=1,Signals_EU!R193*Mapping!$C$3,IF(Signals_EU!F193=-1,-Signals_EU!S193*Mapping!$C$3,0))</f>
        <v>0</v>
      </c>
      <c r="D193" s="1">
        <f>IF(Signals_EU!C193=1,Signals_EU!R193*Mapping!$C$4,IF(Signals_EU!C193=-1,-Signals_EU!S193*Mapping!$C$4,0))</f>
        <v>-2.5000000000000005E-2</v>
      </c>
      <c r="E193" s="1">
        <f>IF(Signals_EU!C193=1,Signals_EU!R193*Mapping!$C$5,IF(Signals_EU!C193=-1,-Signals_EU!S193*Mapping!$C$5,0))</f>
        <v>-2.5000000000000005E-2</v>
      </c>
      <c r="F193" s="1">
        <f>IF(Signals_EU!H193=1,Signals_EU!R193*Mapping!$C$6,IF(Signals_EU!H193=-1,-Signals_EU!S193*Mapping!$C$6,0))</f>
        <v>-1.0000000000000002E-2</v>
      </c>
      <c r="G193" s="1">
        <f>IF(Signals_EU!F193=1,Signals_EU!R193*Mapping!$C$7,IF(Signals_EU!F193=-1,-Signals_EU!S193*Mapping!$C$7,0))</f>
        <v>0</v>
      </c>
      <c r="H193" s="1">
        <f>IF(Signals_EU!D193=1,Signals_EU!R193*Mapping!$C$8,IF(Signals_EU!D193=-1,-Signals_EU!S193*Mapping!$C$8,0))</f>
        <v>0</v>
      </c>
      <c r="I193" s="1">
        <f>IF(Signals_EU!G193=1,Signals_EU!R193*Mapping!$C$9,IF(Signals_EU!G193=-1,-Signals_EU!S193*Mapping!$C$9,0))</f>
        <v>0</v>
      </c>
      <c r="J193" s="1">
        <f>IF(Signals_EU!H193=1,Signals_EU!R193*Mapping!$C$10,IF(Signals_EU!H193=-1,-Signals_EU!S193*Mapping!$C$10,0))</f>
        <v>-4.0000000000000008E-2</v>
      </c>
      <c r="K193" s="1">
        <f>IF(Signals_EU!F193=1,Signals_EU!R193*Mapping!$C$11,IF(Signals_EU!F193=-1,-Signals_EU!S193*Mapping!$C$11,0))</f>
        <v>0</v>
      </c>
      <c r="L193" s="1">
        <f>IF(Signals_EU!N193=1,Signals_EU!R193*Mapping!$C$12,IF(Signals_EU!N193=-1,-Signals_EU!S193*Mapping!$C$12,0))</f>
        <v>0</v>
      </c>
      <c r="M193" s="1">
        <f>IF(Signals_EU!I193=1,Signals_EU!R193*Mapping!$C$13,IF(Signals_EU!I193=-1,-Signals_EU!S193*Mapping!$C$13,0))</f>
        <v>5.000000000000001E-2</v>
      </c>
      <c r="N193" s="1">
        <f>IF(Signals_EU!E193=1,Signals_EU!R193*Mapping!$C$14,IF(Signals_EU!E193=-1,-Signals_EU!S193*Mapping!$C$14,0))</f>
        <v>5.000000000000001E-2</v>
      </c>
      <c r="O193" s="1">
        <f>0</f>
        <v>0</v>
      </c>
      <c r="P193" s="1">
        <f>0</f>
        <v>0</v>
      </c>
      <c r="Q193" s="1">
        <f>IF(Signals_EU!J193=1,Signals_EU!R193*Mapping!$C$17,IF(Signals_EU!J193=-1,-Signals_EU!S193*Mapping!$C$17,0))</f>
        <v>5.000000000000001E-2</v>
      </c>
      <c r="R193" s="1">
        <f>IF(Signals_EU!K193=1,Signals_EU!R193*Mapping!$C$18,IF(Signals_EU!K193=-1,-Signals_EU!S193*Mapping!$C$18,0))</f>
        <v>0</v>
      </c>
      <c r="S193" s="1">
        <f>IF(Signals_EU!M193=1,Signals_EU!R193*Mapping!$C$19,IF(Signals_EU!M193=-1,-Signals_EU!S193*Mapping!$C$19,0))</f>
        <v>0</v>
      </c>
      <c r="T193" s="1">
        <f>IF(Signals_EU!L193=1,Signals_EU!R193*Mapping!$C$20,IF(Signals_EU!L193=-1,-Signals_EU!S193*Mapping!$C$20,0))</f>
        <v>-5.000000000000001E-2</v>
      </c>
      <c r="U193" s="1">
        <f t="shared" si="2"/>
        <v>0</v>
      </c>
    </row>
    <row r="194" spans="1:21">
      <c r="A194" s="5">
        <f>Signals_EU!B194</f>
        <v>44896</v>
      </c>
      <c r="B194" s="1">
        <f>IF(Signals_EU!O194=1,Signals_EU!R194*Mapping!$C$2,IF(Signals_EU!O194=-1,-Signals_EU!S194*Mapping!$C$2,0))</f>
        <v>0</v>
      </c>
      <c r="C194" s="1">
        <f>IF(Signals_EU!F194=1,Signals_EU!R194*Mapping!$C$3,IF(Signals_EU!F194=-1,-Signals_EU!S194*Mapping!$C$3,0))</f>
        <v>0</v>
      </c>
      <c r="D194" s="1">
        <f>IF(Signals_EU!C194=1,Signals_EU!R194*Mapping!$C$4,IF(Signals_EU!C194=-1,-Signals_EU!S194*Mapping!$C$4,0))</f>
        <v>-2.5000000000000005E-2</v>
      </c>
      <c r="E194" s="1">
        <f>IF(Signals_EU!C194=1,Signals_EU!R194*Mapping!$C$5,IF(Signals_EU!C194=-1,-Signals_EU!S194*Mapping!$C$5,0))</f>
        <v>-2.5000000000000005E-2</v>
      </c>
      <c r="F194" s="1">
        <f>IF(Signals_EU!H194=1,Signals_EU!R194*Mapping!$C$6,IF(Signals_EU!H194=-1,-Signals_EU!S194*Mapping!$C$6,0))</f>
        <v>0</v>
      </c>
      <c r="G194" s="1">
        <f>IF(Signals_EU!F194=1,Signals_EU!R194*Mapping!$C$7,IF(Signals_EU!F194=-1,-Signals_EU!S194*Mapping!$C$7,0))</f>
        <v>0</v>
      </c>
      <c r="H194" s="1">
        <f>IF(Signals_EU!D194=1,Signals_EU!R194*Mapping!$C$8,IF(Signals_EU!D194=-1,-Signals_EU!S194*Mapping!$C$8,0))</f>
        <v>5.000000000000001E-2</v>
      </c>
      <c r="I194" s="1">
        <f>IF(Signals_EU!G194=1,Signals_EU!R194*Mapping!$C$9,IF(Signals_EU!G194=-1,-Signals_EU!S194*Mapping!$C$9,0))</f>
        <v>0</v>
      </c>
      <c r="J194" s="1">
        <f>IF(Signals_EU!H194=1,Signals_EU!R194*Mapping!$C$10,IF(Signals_EU!H194=-1,-Signals_EU!S194*Mapping!$C$10,0))</f>
        <v>0</v>
      </c>
      <c r="K194" s="1">
        <f>IF(Signals_EU!F194=1,Signals_EU!R194*Mapping!$C$11,IF(Signals_EU!F194=-1,-Signals_EU!S194*Mapping!$C$11,0))</f>
        <v>0</v>
      </c>
      <c r="L194" s="1">
        <f>IF(Signals_EU!N194=1,Signals_EU!R194*Mapping!$C$12,IF(Signals_EU!N194=-1,-Signals_EU!S194*Mapping!$C$12,0))</f>
        <v>5.000000000000001E-2</v>
      </c>
      <c r="M194" s="1">
        <f>IF(Signals_EU!I194=1,Signals_EU!R194*Mapping!$C$13,IF(Signals_EU!I194=-1,-Signals_EU!S194*Mapping!$C$13,0))</f>
        <v>5.000000000000001E-2</v>
      </c>
      <c r="N194" s="1">
        <f>IF(Signals_EU!E194=1,Signals_EU!R194*Mapping!$C$14,IF(Signals_EU!E194=-1,-Signals_EU!S194*Mapping!$C$14,0))</f>
        <v>-5.000000000000001E-2</v>
      </c>
      <c r="O194" s="1">
        <f>0</f>
        <v>0</v>
      </c>
      <c r="P194" s="1">
        <f>0</f>
        <v>0</v>
      </c>
      <c r="Q194" s="1">
        <f>IF(Signals_EU!J194=1,Signals_EU!R194*Mapping!$C$17,IF(Signals_EU!J194=-1,-Signals_EU!S194*Mapping!$C$17,0))</f>
        <v>0</v>
      </c>
      <c r="R194" s="1">
        <f>IF(Signals_EU!K194=1,Signals_EU!R194*Mapping!$C$18,IF(Signals_EU!K194=-1,-Signals_EU!S194*Mapping!$C$18,0))</f>
        <v>0</v>
      </c>
      <c r="S194" s="1">
        <f>IF(Signals_EU!M194=1,Signals_EU!R194*Mapping!$C$19,IF(Signals_EU!M194=-1,-Signals_EU!S194*Mapping!$C$19,0))</f>
        <v>0</v>
      </c>
      <c r="T194" s="1">
        <f>IF(Signals_EU!L194=1,Signals_EU!R194*Mapping!$C$20,IF(Signals_EU!L194=-1,-Signals_EU!S194*Mapping!$C$20,0))</f>
        <v>-5.000000000000001E-2</v>
      </c>
      <c r="U194" s="1">
        <f t="shared" si="2"/>
        <v>0</v>
      </c>
    </row>
    <row r="195" spans="1:21">
      <c r="A195" s="5">
        <f>Signals_EU!B195</f>
        <v>44927</v>
      </c>
      <c r="B195" s="1">
        <f>IF(Signals_EU!O195=1,Signals_EU!R195*Mapping!$C$2,IF(Signals_EU!O195=-1,-Signals_EU!S195*Mapping!$C$2,0))</f>
        <v>5.000000000000001E-2</v>
      </c>
      <c r="C195" s="1">
        <f>IF(Signals_EU!F195=1,Signals_EU!R195*Mapping!$C$3,IF(Signals_EU!F195=-1,-Signals_EU!S195*Mapping!$C$3,0))</f>
        <v>0</v>
      </c>
      <c r="D195" s="1">
        <f>IF(Signals_EU!C195=1,Signals_EU!R195*Mapping!$C$4,IF(Signals_EU!C195=-1,-Signals_EU!S195*Mapping!$C$4,0))</f>
        <v>-2.5000000000000005E-2</v>
      </c>
      <c r="E195" s="1">
        <f>IF(Signals_EU!C195=1,Signals_EU!R195*Mapping!$C$5,IF(Signals_EU!C195=-1,-Signals_EU!S195*Mapping!$C$5,0))</f>
        <v>-2.5000000000000005E-2</v>
      </c>
      <c r="F195" s="1">
        <f>IF(Signals_EU!H195=1,Signals_EU!R195*Mapping!$C$6,IF(Signals_EU!H195=-1,-Signals_EU!S195*Mapping!$C$6,0))</f>
        <v>0</v>
      </c>
      <c r="G195" s="1">
        <f>IF(Signals_EU!F195=1,Signals_EU!R195*Mapping!$C$7,IF(Signals_EU!F195=-1,-Signals_EU!S195*Mapping!$C$7,0))</f>
        <v>0</v>
      </c>
      <c r="H195" s="1">
        <f>IF(Signals_EU!D195=1,Signals_EU!R195*Mapping!$C$8,IF(Signals_EU!D195=-1,-Signals_EU!S195*Mapping!$C$8,0))</f>
        <v>5.000000000000001E-2</v>
      </c>
      <c r="I195" s="1">
        <f>IF(Signals_EU!G195=1,Signals_EU!R195*Mapping!$C$9,IF(Signals_EU!G195=-1,-Signals_EU!S195*Mapping!$C$9,0))</f>
        <v>0</v>
      </c>
      <c r="J195" s="1">
        <f>IF(Signals_EU!H195=1,Signals_EU!R195*Mapping!$C$10,IF(Signals_EU!H195=-1,-Signals_EU!S195*Mapping!$C$10,0))</f>
        <v>0</v>
      </c>
      <c r="K195" s="1">
        <f>IF(Signals_EU!F195=1,Signals_EU!R195*Mapping!$C$11,IF(Signals_EU!F195=-1,-Signals_EU!S195*Mapping!$C$11,0))</f>
        <v>0</v>
      </c>
      <c r="L195" s="1">
        <f>IF(Signals_EU!N195=1,Signals_EU!R195*Mapping!$C$12,IF(Signals_EU!N195=-1,-Signals_EU!S195*Mapping!$C$12,0))</f>
        <v>0</v>
      </c>
      <c r="M195" s="1">
        <f>IF(Signals_EU!I195=1,Signals_EU!R195*Mapping!$C$13,IF(Signals_EU!I195=-1,-Signals_EU!S195*Mapping!$C$13,0))</f>
        <v>5.000000000000001E-2</v>
      </c>
      <c r="N195" s="1">
        <f>IF(Signals_EU!E195=1,Signals_EU!R195*Mapping!$C$14,IF(Signals_EU!E195=-1,-Signals_EU!S195*Mapping!$C$14,0))</f>
        <v>0</v>
      </c>
      <c r="O195" s="1">
        <f>0</f>
        <v>0</v>
      </c>
      <c r="P195" s="1">
        <f>0</f>
        <v>0</v>
      </c>
      <c r="Q195" s="1">
        <f>IF(Signals_EU!J195=1,Signals_EU!R195*Mapping!$C$17,IF(Signals_EU!J195=-1,-Signals_EU!S195*Mapping!$C$17,0))</f>
        <v>0</v>
      </c>
      <c r="R195" s="1">
        <f>IF(Signals_EU!K195=1,Signals_EU!R195*Mapping!$C$18,IF(Signals_EU!K195=-1,-Signals_EU!S195*Mapping!$C$18,0))</f>
        <v>-5.000000000000001E-2</v>
      </c>
      <c r="S195" s="1">
        <f>IF(Signals_EU!M195=1,Signals_EU!R195*Mapping!$C$19,IF(Signals_EU!M195=-1,-Signals_EU!S195*Mapping!$C$19,0))</f>
        <v>0</v>
      </c>
      <c r="T195" s="1">
        <f>IF(Signals_EU!L195=1,Signals_EU!R195*Mapping!$C$20,IF(Signals_EU!L195=-1,-Signals_EU!S195*Mapping!$C$20,0))</f>
        <v>-5.000000000000001E-2</v>
      </c>
      <c r="U195" s="1">
        <f t="shared" ref="U195:U240" si="3">ROUND(SUM(B195:T195),12)</f>
        <v>0</v>
      </c>
    </row>
    <row r="196" spans="1:21">
      <c r="A196" s="5">
        <f>Signals_EU!B196</f>
        <v>44958</v>
      </c>
      <c r="B196" s="1">
        <f>IF(Signals_EU!O196=1,Signals_EU!R196*Mapping!$C$2,IF(Signals_EU!O196=-1,-Signals_EU!S196*Mapping!$C$2,0))</f>
        <v>0</v>
      </c>
      <c r="C196" s="1">
        <f>IF(Signals_EU!F196=1,Signals_EU!R196*Mapping!$C$3,IF(Signals_EU!F196=-1,-Signals_EU!S196*Mapping!$C$3,0))</f>
        <v>3.0000000000000006E-2</v>
      </c>
      <c r="D196" s="1">
        <f>IF(Signals_EU!C196=1,Signals_EU!R196*Mapping!$C$4,IF(Signals_EU!C196=-1,-Signals_EU!S196*Mapping!$C$4,0))</f>
        <v>-2.5000000000000005E-2</v>
      </c>
      <c r="E196" s="1">
        <f>IF(Signals_EU!C196=1,Signals_EU!R196*Mapping!$C$5,IF(Signals_EU!C196=-1,-Signals_EU!S196*Mapping!$C$5,0))</f>
        <v>-2.5000000000000005E-2</v>
      </c>
      <c r="F196" s="1">
        <f>IF(Signals_EU!H196=1,Signals_EU!R196*Mapping!$C$6,IF(Signals_EU!H196=-1,-Signals_EU!S196*Mapping!$C$6,0))</f>
        <v>0</v>
      </c>
      <c r="G196" s="1">
        <f>IF(Signals_EU!F196=1,Signals_EU!R196*Mapping!$C$7,IF(Signals_EU!F196=-1,-Signals_EU!S196*Mapping!$C$7,0))</f>
        <v>1.0000000000000002E-2</v>
      </c>
      <c r="H196" s="1">
        <f>IF(Signals_EU!D196=1,Signals_EU!R196*Mapping!$C$8,IF(Signals_EU!D196=-1,-Signals_EU!S196*Mapping!$C$8,0))</f>
        <v>0</v>
      </c>
      <c r="I196" s="1">
        <f>IF(Signals_EU!G196=1,Signals_EU!R196*Mapping!$C$9,IF(Signals_EU!G196=-1,-Signals_EU!S196*Mapping!$C$9,0))</f>
        <v>0</v>
      </c>
      <c r="J196" s="1">
        <f>IF(Signals_EU!H196=1,Signals_EU!R196*Mapping!$C$10,IF(Signals_EU!H196=-1,-Signals_EU!S196*Mapping!$C$10,0))</f>
        <v>0</v>
      </c>
      <c r="K196" s="1">
        <f>IF(Signals_EU!F196=1,Signals_EU!R196*Mapping!$C$11,IF(Signals_EU!F196=-1,-Signals_EU!S196*Mapping!$C$11,0))</f>
        <v>1.0000000000000002E-2</v>
      </c>
      <c r="L196" s="1">
        <f>IF(Signals_EU!N196=1,Signals_EU!R196*Mapping!$C$12,IF(Signals_EU!N196=-1,-Signals_EU!S196*Mapping!$C$12,0))</f>
        <v>0</v>
      </c>
      <c r="M196" s="1">
        <f>IF(Signals_EU!I196=1,Signals_EU!R196*Mapping!$C$13,IF(Signals_EU!I196=-1,-Signals_EU!S196*Mapping!$C$13,0))</f>
        <v>5.000000000000001E-2</v>
      </c>
      <c r="N196" s="1">
        <f>IF(Signals_EU!E196=1,Signals_EU!R196*Mapping!$C$14,IF(Signals_EU!E196=-1,-Signals_EU!S196*Mapping!$C$14,0))</f>
        <v>-5.000000000000001E-2</v>
      </c>
      <c r="O196" s="1">
        <f>0</f>
        <v>0</v>
      </c>
      <c r="P196" s="1">
        <f>0</f>
        <v>0</v>
      </c>
      <c r="Q196" s="1">
        <f>IF(Signals_EU!J196=1,Signals_EU!R196*Mapping!$C$17,IF(Signals_EU!J196=-1,-Signals_EU!S196*Mapping!$C$17,0))</f>
        <v>5.000000000000001E-2</v>
      </c>
      <c r="R196" s="1">
        <f>IF(Signals_EU!K196=1,Signals_EU!R196*Mapping!$C$18,IF(Signals_EU!K196=-1,-Signals_EU!S196*Mapping!$C$18,0))</f>
        <v>-5.000000000000001E-2</v>
      </c>
      <c r="S196" s="1">
        <f>IF(Signals_EU!M196=1,Signals_EU!R196*Mapping!$C$19,IF(Signals_EU!M196=-1,-Signals_EU!S196*Mapping!$C$19,0))</f>
        <v>0</v>
      </c>
      <c r="T196" s="1">
        <f>IF(Signals_EU!L196=1,Signals_EU!R196*Mapping!$C$20,IF(Signals_EU!L196=-1,-Signals_EU!S196*Mapping!$C$20,0))</f>
        <v>0</v>
      </c>
      <c r="U196" s="1">
        <f t="shared" si="3"/>
        <v>0</v>
      </c>
    </row>
    <row r="197" spans="1:21">
      <c r="A197" s="5">
        <f>Signals_EU!B197</f>
        <v>44986</v>
      </c>
      <c r="B197" s="1">
        <f>IF(Signals_EU!O197=1,Signals_EU!R197*Mapping!$C$2,IF(Signals_EU!O197=-1,-Signals_EU!S197*Mapping!$C$2,0))</f>
        <v>5.000000000000001E-2</v>
      </c>
      <c r="C197" s="1">
        <f>IF(Signals_EU!F197=1,Signals_EU!R197*Mapping!$C$3,IF(Signals_EU!F197=-1,-Signals_EU!S197*Mapping!$C$3,0))</f>
        <v>0</v>
      </c>
      <c r="D197" s="1">
        <f>IF(Signals_EU!C197=1,Signals_EU!R197*Mapping!$C$4,IF(Signals_EU!C197=-1,-Signals_EU!S197*Mapping!$C$4,0))</f>
        <v>0</v>
      </c>
      <c r="E197" s="1">
        <f>IF(Signals_EU!C197=1,Signals_EU!R197*Mapping!$C$5,IF(Signals_EU!C197=-1,-Signals_EU!S197*Mapping!$C$5,0))</f>
        <v>0</v>
      </c>
      <c r="F197" s="1">
        <f>IF(Signals_EU!H197=1,Signals_EU!R197*Mapping!$C$6,IF(Signals_EU!H197=-1,-Signals_EU!S197*Mapping!$C$6,0))</f>
        <v>0</v>
      </c>
      <c r="G197" s="1">
        <f>IF(Signals_EU!F197=1,Signals_EU!R197*Mapping!$C$7,IF(Signals_EU!F197=-1,-Signals_EU!S197*Mapping!$C$7,0))</f>
        <v>0</v>
      </c>
      <c r="H197" s="1">
        <f>IF(Signals_EU!D197=1,Signals_EU!R197*Mapping!$C$8,IF(Signals_EU!D197=-1,-Signals_EU!S197*Mapping!$C$8,0))</f>
        <v>0</v>
      </c>
      <c r="I197" s="1">
        <f>IF(Signals_EU!G197=1,Signals_EU!R197*Mapping!$C$9,IF(Signals_EU!G197=-1,-Signals_EU!S197*Mapping!$C$9,0))</f>
        <v>0</v>
      </c>
      <c r="J197" s="1">
        <f>IF(Signals_EU!H197=1,Signals_EU!R197*Mapping!$C$10,IF(Signals_EU!H197=-1,-Signals_EU!S197*Mapping!$C$10,0))</f>
        <v>0</v>
      </c>
      <c r="K197" s="1">
        <f>IF(Signals_EU!F197=1,Signals_EU!R197*Mapping!$C$11,IF(Signals_EU!F197=-1,-Signals_EU!S197*Mapping!$C$11,0))</f>
        <v>0</v>
      </c>
      <c r="L197" s="1">
        <f>IF(Signals_EU!N197=1,Signals_EU!R197*Mapping!$C$12,IF(Signals_EU!N197=-1,-Signals_EU!S197*Mapping!$C$12,0))</f>
        <v>0</v>
      </c>
      <c r="M197" s="1">
        <f>IF(Signals_EU!I197=1,Signals_EU!R197*Mapping!$C$13,IF(Signals_EU!I197=-1,-Signals_EU!S197*Mapping!$C$13,0))</f>
        <v>5.000000000000001E-2</v>
      </c>
      <c r="N197" s="1">
        <f>IF(Signals_EU!E197=1,Signals_EU!R197*Mapping!$C$14,IF(Signals_EU!E197=-1,-Signals_EU!S197*Mapping!$C$14,0))</f>
        <v>-5.000000000000001E-2</v>
      </c>
      <c r="O197" s="1">
        <f>0</f>
        <v>0</v>
      </c>
      <c r="P197" s="1">
        <f>0</f>
        <v>0</v>
      </c>
      <c r="Q197" s="1">
        <f>IF(Signals_EU!J197=1,Signals_EU!R197*Mapping!$C$17,IF(Signals_EU!J197=-1,-Signals_EU!S197*Mapping!$C$17,0))</f>
        <v>5.000000000000001E-2</v>
      </c>
      <c r="R197" s="1">
        <f>IF(Signals_EU!K197=1,Signals_EU!R197*Mapping!$C$18,IF(Signals_EU!K197=-1,-Signals_EU!S197*Mapping!$C$18,0))</f>
        <v>-5.000000000000001E-2</v>
      </c>
      <c r="S197" s="1">
        <f>IF(Signals_EU!M197=1,Signals_EU!R197*Mapping!$C$19,IF(Signals_EU!M197=-1,-Signals_EU!S197*Mapping!$C$19,0))</f>
        <v>0</v>
      </c>
      <c r="T197" s="1">
        <f>IF(Signals_EU!L197=1,Signals_EU!R197*Mapping!$C$20,IF(Signals_EU!L197=-1,-Signals_EU!S197*Mapping!$C$20,0))</f>
        <v>-5.000000000000001E-2</v>
      </c>
      <c r="U197" s="1">
        <f t="shared" si="3"/>
        <v>0</v>
      </c>
    </row>
    <row r="198" spans="1:21">
      <c r="A198" s="5">
        <f>Signals_EU!B198</f>
        <v>45017</v>
      </c>
      <c r="B198" s="1">
        <f>IF(Signals_EU!O198=1,Signals_EU!R198*Mapping!$C$2,IF(Signals_EU!O198=-1,-Signals_EU!S198*Mapping!$C$2,0))</f>
        <v>0</v>
      </c>
      <c r="C198" s="1">
        <f>IF(Signals_EU!F198=1,Signals_EU!R198*Mapping!$C$3,IF(Signals_EU!F198=-1,-Signals_EU!S198*Mapping!$C$3,0))</f>
        <v>3.0000000000000006E-2</v>
      </c>
      <c r="D198" s="1">
        <f>IF(Signals_EU!C198=1,Signals_EU!R198*Mapping!$C$4,IF(Signals_EU!C198=-1,-Signals_EU!S198*Mapping!$C$4,0))</f>
        <v>-2.5000000000000005E-2</v>
      </c>
      <c r="E198" s="1">
        <f>IF(Signals_EU!C198=1,Signals_EU!R198*Mapping!$C$5,IF(Signals_EU!C198=-1,-Signals_EU!S198*Mapping!$C$5,0))</f>
        <v>-2.5000000000000005E-2</v>
      </c>
      <c r="F198" s="1">
        <f>IF(Signals_EU!H198=1,Signals_EU!R198*Mapping!$C$6,IF(Signals_EU!H198=-1,-Signals_EU!S198*Mapping!$C$6,0))</f>
        <v>0</v>
      </c>
      <c r="G198" s="1">
        <f>IF(Signals_EU!F198=1,Signals_EU!R198*Mapping!$C$7,IF(Signals_EU!F198=-1,-Signals_EU!S198*Mapping!$C$7,0))</f>
        <v>1.0000000000000002E-2</v>
      </c>
      <c r="H198" s="1">
        <f>IF(Signals_EU!D198=1,Signals_EU!R198*Mapping!$C$8,IF(Signals_EU!D198=-1,-Signals_EU!S198*Mapping!$C$8,0))</f>
        <v>0</v>
      </c>
      <c r="I198" s="1">
        <f>IF(Signals_EU!G198=1,Signals_EU!R198*Mapping!$C$9,IF(Signals_EU!G198=-1,-Signals_EU!S198*Mapping!$C$9,0))</f>
        <v>0</v>
      </c>
      <c r="J198" s="1">
        <f>IF(Signals_EU!H198=1,Signals_EU!R198*Mapping!$C$10,IF(Signals_EU!H198=-1,-Signals_EU!S198*Mapping!$C$10,0))</f>
        <v>0</v>
      </c>
      <c r="K198" s="1">
        <f>IF(Signals_EU!F198=1,Signals_EU!R198*Mapping!$C$11,IF(Signals_EU!F198=-1,-Signals_EU!S198*Mapping!$C$11,0))</f>
        <v>1.0000000000000002E-2</v>
      </c>
      <c r="L198" s="1">
        <f>IF(Signals_EU!N198=1,Signals_EU!R198*Mapping!$C$12,IF(Signals_EU!N198=-1,-Signals_EU!S198*Mapping!$C$12,0))</f>
        <v>0</v>
      </c>
      <c r="M198" s="1">
        <f>IF(Signals_EU!I198=1,Signals_EU!R198*Mapping!$C$13,IF(Signals_EU!I198=-1,-Signals_EU!S198*Mapping!$C$13,0))</f>
        <v>5.000000000000001E-2</v>
      </c>
      <c r="N198" s="1">
        <f>IF(Signals_EU!E198=1,Signals_EU!R198*Mapping!$C$14,IF(Signals_EU!E198=-1,-Signals_EU!S198*Mapping!$C$14,0))</f>
        <v>0</v>
      </c>
      <c r="O198" s="1">
        <f>0</f>
        <v>0</v>
      </c>
      <c r="P198" s="1">
        <f>0</f>
        <v>0</v>
      </c>
      <c r="Q198" s="1">
        <f>IF(Signals_EU!J198=1,Signals_EU!R198*Mapping!$C$17,IF(Signals_EU!J198=-1,-Signals_EU!S198*Mapping!$C$17,0))</f>
        <v>5.000000000000001E-2</v>
      </c>
      <c r="R198" s="1">
        <f>IF(Signals_EU!K198=1,Signals_EU!R198*Mapping!$C$18,IF(Signals_EU!K198=-1,-Signals_EU!S198*Mapping!$C$18,0))</f>
        <v>-5.000000000000001E-2</v>
      </c>
      <c r="S198" s="1">
        <f>IF(Signals_EU!M198=1,Signals_EU!R198*Mapping!$C$19,IF(Signals_EU!M198=-1,-Signals_EU!S198*Mapping!$C$19,0))</f>
        <v>0</v>
      </c>
      <c r="T198" s="1">
        <f>IF(Signals_EU!L198=1,Signals_EU!R198*Mapping!$C$20,IF(Signals_EU!L198=-1,-Signals_EU!S198*Mapping!$C$20,0))</f>
        <v>-5.000000000000001E-2</v>
      </c>
      <c r="U198" s="1">
        <f t="shared" si="3"/>
        <v>0</v>
      </c>
    </row>
    <row r="199" spans="1:21">
      <c r="A199" s="5">
        <f>Signals_EU!B199</f>
        <v>45047</v>
      </c>
      <c r="B199" s="1">
        <f>IF(Signals_EU!O199=1,Signals_EU!R199*Mapping!$C$2,IF(Signals_EU!O199=-1,-Signals_EU!S199*Mapping!$C$2,0))</f>
        <v>5.000000000000001E-2</v>
      </c>
      <c r="C199" s="1">
        <f>IF(Signals_EU!F199=1,Signals_EU!R199*Mapping!$C$3,IF(Signals_EU!F199=-1,-Signals_EU!S199*Mapping!$C$3,0))</f>
        <v>0</v>
      </c>
      <c r="D199" s="1">
        <f>IF(Signals_EU!C199=1,Signals_EU!R199*Mapping!$C$4,IF(Signals_EU!C199=-1,-Signals_EU!S199*Mapping!$C$4,0))</f>
        <v>-2.5000000000000005E-2</v>
      </c>
      <c r="E199" s="1">
        <f>IF(Signals_EU!C199=1,Signals_EU!R199*Mapping!$C$5,IF(Signals_EU!C199=-1,-Signals_EU!S199*Mapping!$C$5,0))</f>
        <v>-2.5000000000000005E-2</v>
      </c>
      <c r="F199" s="1">
        <f>IF(Signals_EU!H199=1,Signals_EU!R199*Mapping!$C$6,IF(Signals_EU!H199=-1,-Signals_EU!S199*Mapping!$C$6,0))</f>
        <v>0</v>
      </c>
      <c r="G199" s="1">
        <f>IF(Signals_EU!F199=1,Signals_EU!R199*Mapping!$C$7,IF(Signals_EU!F199=-1,-Signals_EU!S199*Mapping!$C$7,0))</f>
        <v>0</v>
      </c>
      <c r="H199" s="1">
        <f>IF(Signals_EU!D199=1,Signals_EU!R199*Mapping!$C$8,IF(Signals_EU!D199=-1,-Signals_EU!S199*Mapping!$C$8,0))</f>
        <v>0</v>
      </c>
      <c r="I199" s="1">
        <f>IF(Signals_EU!G199=1,Signals_EU!R199*Mapping!$C$9,IF(Signals_EU!G199=-1,-Signals_EU!S199*Mapping!$C$9,0))</f>
        <v>0</v>
      </c>
      <c r="J199" s="1">
        <f>IF(Signals_EU!H199=1,Signals_EU!R199*Mapping!$C$10,IF(Signals_EU!H199=-1,-Signals_EU!S199*Mapping!$C$10,0))</f>
        <v>0</v>
      </c>
      <c r="K199" s="1">
        <f>IF(Signals_EU!F199=1,Signals_EU!R199*Mapping!$C$11,IF(Signals_EU!F199=-1,-Signals_EU!S199*Mapping!$C$11,0))</f>
        <v>0</v>
      </c>
      <c r="L199" s="1">
        <f>IF(Signals_EU!N199=1,Signals_EU!R199*Mapping!$C$12,IF(Signals_EU!N199=-1,-Signals_EU!S199*Mapping!$C$12,0))</f>
        <v>0</v>
      </c>
      <c r="M199" s="1">
        <f>IF(Signals_EU!I199=1,Signals_EU!R199*Mapping!$C$13,IF(Signals_EU!I199=-1,-Signals_EU!S199*Mapping!$C$13,0))</f>
        <v>-5.000000000000001E-2</v>
      </c>
      <c r="N199" s="1">
        <f>IF(Signals_EU!E199=1,Signals_EU!R199*Mapping!$C$14,IF(Signals_EU!E199=-1,-Signals_EU!S199*Mapping!$C$14,0))</f>
        <v>5.000000000000001E-2</v>
      </c>
      <c r="O199" s="1">
        <f>0</f>
        <v>0</v>
      </c>
      <c r="P199" s="1">
        <f>0</f>
        <v>0</v>
      </c>
      <c r="Q199" s="1">
        <f>IF(Signals_EU!J199=1,Signals_EU!R199*Mapping!$C$17,IF(Signals_EU!J199=-1,-Signals_EU!S199*Mapping!$C$17,0))</f>
        <v>5.000000000000001E-2</v>
      </c>
      <c r="R199" s="1">
        <f>IF(Signals_EU!K199=1,Signals_EU!R199*Mapping!$C$18,IF(Signals_EU!K199=-1,-Signals_EU!S199*Mapping!$C$18,0))</f>
        <v>0</v>
      </c>
      <c r="S199" s="1">
        <f>IF(Signals_EU!M199=1,Signals_EU!R199*Mapping!$C$19,IF(Signals_EU!M199=-1,-Signals_EU!S199*Mapping!$C$19,0))</f>
        <v>0</v>
      </c>
      <c r="T199" s="1">
        <f>IF(Signals_EU!L199=1,Signals_EU!R199*Mapping!$C$20,IF(Signals_EU!L199=-1,-Signals_EU!S199*Mapping!$C$20,0))</f>
        <v>-5.000000000000001E-2</v>
      </c>
      <c r="U199" s="1">
        <f t="shared" si="3"/>
        <v>0</v>
      </c>
    </row>
    <row r="200" spans="1:21">
      <c r="A200" s="5">
        <f>Signals_EU!B200</f>
        <v>45078</v>
      </c>
      <c r="B200" s="1">
        <f>IF(Signals_EU!O200=1,Signals_EU!R200*Mapping!$C$2,IF(Signals_EU!O200=-1,-Signals_EU!S200*Mapping!$C$2,0))</f>
        <v>5.000000000000001E-2</v>
      </c>
      <c r="C200" s="1">
        <f>IF(Signals_EU!F200=1,Signals_EU!R200*Mapping!$C$3,IF(Signals_EU!F200=-1,-Signals_EU!S200*Mapping!$C$3,0))</f>
        <v>0</v>
      </c>
      <c r="D200" s="1">
        <f>IF(Signals_EU!C200=1,Signals_EU!R200*Mapping!$C$4,IF(Signals_EU!C200=-1,-Signals_EU!S200*Mapping!$C$4,0))</f>
        <v>-2.5000000000000005E-2</v>
      </c>
      <c r="E200" s="1">
        <f>IF(Signals_EU!C200=1,Signals_EU!R200*Mapping!$C$5,IF(Signals_EU!C200=-1,-Signals_EU!S200*Mapping!$C$5,0))</f>
        <v>-2.5000000000000005E-2</v>
      </c>
      <c r="F200" s="1">
        <f>IF(Signals_EU!H200=1,Signals_EU!R200*Mapping!$C$6,IF(Signals_EU!H200=-1,-Signals_EU!S200*Mapping!$C$6,0))</f>
        <v>0</v>
      </c>
      <c r="G200" s="1">
        <f>IF(Signals_EU!F200=1,Signals_EU!R200*Mapping!$C$7,IF(Signals_EU!F200=-1,-Signals_EU!S200*Mapping!$C$7,0))</f>
        <v>0</v>
      </c>
      <c r="H200" s="1">
        <f>IF(Signals_EU!D200=1,Signals_EU!R200*Mapping!$C$8,IF(Signals_EU!D200=-1,-Signals_EU!S200*Mapping!$C$8,0))</f>
        <v>-5.000000000000001E-2</v>
      </c>
      <c r="I200" s="1">
        <f>IF(Signals_EU!G200=1,Signals_EU!R200*Mapping!$C$9,IF(Signals_EU!G200=-1,-Signals_EU!S200*Mapping!$C$9,0))</f>
        <v>0</v>
      </c>
      <c r="J200" s="1">
        <f>IF(Signals_EU!H200=1,Signals_EU!R200*Mapping!$C$10,IF(Signals_EU!H200=-1,-Signals_EU!S200*Mapping!$C$10,0))</f>
        <v>0</v>
      </c>
      <c r="K200" s="1">
        <f>IF(Signals_EU!F200=1,Signals_EU!R200*Mapping!$C$11,IF(Signals_EU!F200=-1,-Signals_EU!S200*Mapping!$C$11,0))</f>
        <v>0</v>
      </c>
      <c r="L200" s="1">
        <f>IF(Signals_EU!N200=1,Signals_EU!R200*Mapping!$C$12,IF(Signals_EU!N200=-1,-Signals_EU!S200*Mapping!$C$12,0))</f>
        <v>0</v>
      </c>
      <c r="M200" s="1">
        <f>IF(Signals_EU!I200=1,Signals_EU!R200*Mapping!$C$13,IF(Signals_EU!I200=-1,-Signals_EU!S200*Mapping!$C$13,0))</f>
        <v>5.000000000000001E-2</v>
      </c>
      <c r="N200" s="1">
        <f>IF(Signals_EU!E200=1,Signals_EU!R200*Mapping!$C$14,IF(Signals_EU!E200=-1,-Signals_EU!S200*Mapping!$C$14,0))</f>
        <v>0</v>
      </c>
      <c r="O200" s="1">
        <f>0</f>
        <v>0</v>
      </c>
      <c r="P200" s="1">
        <f>0</f>
        <v>0</v>
      </c>
      <c r="Q200" s="1">
        <f>IF(Signals_EU!J200=1,Signals_EU!R200*Mapping!$C$17,IF(Signals_EU!J200=-1,-Signals_EU!S200*Mapping!$C$17,0))</f>
        <v>5.000000000000001E-2</v>
      </c>
      <c r="R200" s="1">
        <f>IF(Signals_EU!K200=1,Signals_EU!R200*Mapping!$C$18,IF(Signals_EU!K200=-1,-Signals_EU!S200*Mapping!$C$18,0))</f>
        <v>-5.000000000000001E-2</v>
      </c>
      <c r="S200" s="1">
        <f>IF(Signals_EU!M200=1,Signals_EU!R200*Mapping!$C$19,IF(Signals_EU!M200=-1,-Signals_EU!S200*Mapping!$C$19,0))</f>
        <v>0</v>
      </c>
      <c r="T200" s="1">
        <f>IF(Signals_EU!L200=1,Signals_EU!R200*Mapping!$C$20,IF(Signals_EU!L200=-1,-Signals_EU!S200*Mapping!$C$20,0))</f>
        <v>0</v>
      </c>
      <c r="U200" s="1">
        <f t="shared" si="3"/>
        <v>0</v>
      </c>
    </row>
    <row r="201" spans="1:21">
      <c r="A201" s="5">
        <f>Signals_EU!B201</f>
        <v>45108</v>
      </c>
      <c r="B201" s="1">
        <f>IF(Signals_EU!O201=1,Signals_EU!R201*Mapping!$C$2,IF(Signals_EU!O201=-1,-Signals_EU!S201*Mapping!$C$2,0))</f>
        <v>5.000000000000001E-2</v>
      </c>
      <c r="C201" s="1">
        <f>IF(Signals_EU!F201=1,Signals_EU!R201*Mapping!$C$3,IF(Signals_EU!F201=-1,-Signals_EU!S201*Mapping!$C$3,0))</f>
        <v>0</v>
      </c>
      <c r="D201" s="1">
        <f>IF(Signals_EU!C201=1,Signals_EU!R201*Mapping!$C$4,IF(Signals_EU!C201=-1,-Signals_EU!S201*Mapping!$C$4,0))</f>
        <v>-2.5000000000000005E-2</v>
      </c>
      <c r="E201" s="1">
        <f>IF(Signals_EU!C201=1,Signals_EU!R201*Mapping!$C$5,IF(Signals_EU!C201=-1,-Signals_EU!S201*Mapping!$C$5,0))</f>
        <v>-2.5000000000000005E-2</v>
      </c>
      <c r="F201" s="1">
        <f>IF(Signals_EU!H201=1,Signals_EU!R201*Mapping!$C$6,IF(Signals_EU!H201=-1,-Signals_EU!S201*Mapping!$C$6,0))</f>
        <v>0</v>
      </c>
      <c r="G201" s="1">
        <f>IF(Signals_EU!F201=1,Signals_EU!R201*Mapping!$C$7,IF(Signals_EU!F201=-1,-Signals_EU!S201*Mapping!$C$7,0))</f>
        <v>0</v>
      </c>
      <c r="H201" s="1">
        <f>IF(Signals_EU!D201=1,Signals_EU!R201*Mapping!$C$8,IF(Signals_EU!D201=-1,-Signals_EU!S201*Mapping!$C$8,0))</f>
        <v>-5.000000000000001E-2</v>
      </c>
      <c r="I201" s="1">
        <f>IF(Signals_EU!G201=1,Signals_EU!R201*Mapping!$C$9,IF(Signals_EU!G201=-1,-Signals_EU!S201*Mapping!$C$9,0))</f>
        <v>0</v>
      </c>
      <c r="J201" s="1">
        <f>IF(Signals_EU!H201=1,Signals_EU!R201*Mapping!$C$10,IF(Signals_EU!H201=-1,-Signals_EU!S201*Mapping!$C$10,0))</f>
        <v>0</v>
      </c>
      <c r="K201" s="1">
        <f>IF(Signals_EU!F201=1,Signals_EU!R201*Mapping!$C$11,IF(Signals_EU!F201=-1,-Signals_EU!S201*Mapping!$C$11,0))</f>
        <v>0</v>
      </c>
      <c r="L201" s="1">
        <f>IF(Signals_EU!N201=1,Signals_EU!R201*Mapping!$C$12,IF(Signals_EU!N201=-1,-Signals_EU!S201*Mapping!$C$12,0))</f>
        <v>0</v>
      </c>
      <c r="M201" s="1">
        <f>IF(Signals_EU!I201=1,Signals_EU!R201*Mapping!$C$13,IF(Signals_EU!I201=-1,-Signals_EU!S201*Mapping!$C$13,0))</f>
        <v>5.000000000000001E-2</v>
      </c>
      <c r="N201" s="1">
        <f>IF(Signals_EU!E201=1,Signals_EU!R201*Mapping!$C$14,IF(Signals_EU!E201=-1,-Signals_EU!S201*Mapping!$C$14,0))</f>
        <v>0</v>
      </c>
      <c r="O201" s="1">
        <f>0</f>
        <v>0</v>
      </c>
      <c r="P201" s="1">
        <f>0</f>
        <v>0</v>
      </c>
      <c r="Q201" s="1">
        <f>IF(Signals_EU!J201=1,Signals_EU!R201*Mapping!$C$17,IF(Signals_EU!J201=-1,-Signals_EU!S201*Mapping!$C$17,0))</f>
        <v>5.000000000000001E-2</v>
      </c>
      <c r="R201" s="1">
        <f>IF(Signals_EU!K201=1,Signals_EU!R201*Mapping!$C$18,IF(Signals_EU!K201=-1,-Signals_EU!S201*Mapping!$C$18,0))</f>
        <v>-5.000000000000001E-2</v>
      </c>
      <c r="S201" s="1">
        <f>IF(Signals_EU!M201=1,Signals_EU!R201*Mapping!$C$19,IF(Signals_EU!M201=-1,-Signals_EU!S201*Mapping!$C$19,0))</f>
        <v>0</v>
      </c>
      <c r="T201" s="1">
        <f>IF(Signals_EU!L201=1,Signals_EU!R201*Mapping!$C$20,IF(Signals_EU!L201=-1,-Signals_EU!S201*Mapping!$C$20,0))</f>
        <v>0</v>
      </c>
      <c r="U201" s="1">
        <f t="shared" si="3"/>
        <v>0</v>
      </c>
    </row>
    <row r="202" spans="1:21">
      <c r="A202" s="5">
        <f>Signals_EU!B202</f>
        <v>45139</v>
      </c>
      <c r="B202" s="1">
        <f>IF(Signals_EU!O202=1,Signals_EU!R202*Mapping!$C$2,IF(Signals_EU!O202=-1,-Signals_EU!S202*Mapping!$C$2,0))</f>
        <v>5.000000000000001E-2</v>
      </c>
      <c r="C202" s="1">
        <f>IF(Signals_EU!F202=1,Signals_EU!R202*Mapping!$C$3,IF(Signals_EU!F202=-1,-Signals_EU!S202*Mapping!$C$3,0))</f>
        <v>0</v>
      </c>
      <c r="D202" s="1">
        <f>IF(Signals_EU!C202=1,Signals_EU!R202*Mapping!$C$4,IF(Signals_EU!C202=-1,-Signals_EU!S202*Mapping!$C$4,0))</f>
        <v>-2.5000000000000005E-2</v>
      </c>
      <c r="E202" s="1">
        <f>IF(Signals_EU!C202=1,Signals_EU!R202*Mapping!$C$5,IF(Signals_EU!C202=-1,-Signals_EU!S202*Mapping!$C$5,0))</f>
        <v>-2.5000000000000005E-2</v>
      </c>
      <c r="F202" s="1">
        <f>IF(Signals_EU!H202=1,Signals_EU!R202*Mapping!$C$6,IF(Signals_EU!H202=-1,-Signals_EU!S202*Mapping!$C$6,0))</f>
        <v>1.0000000000000002E-2</v>
      </c>
      <c r="G202" s="1">
        <f>IF(Signals_EU!F202=1,Signals_EU!R202*Mapping!$C$7,IF(Signals_EU!F202=-1,-Signals_EU!S202*Mapping!$C$7,0))</f>
        <v>0</v>
      </c>
      <c r="H202" s="1">
        <f>IF(Signals_EU!D202=1,Signals_EU!R202*Mapping!$C$8,IF(Signals_EU!D202=-1,-Signals_EU!S202*Mapping!$C$8,0))</f>
        <v>-5.000000000000001E-2</v>
      </c>
      <c r="I202" s="1">
        <f>IF(Signals_EU!G202=1,Signals_EU!R202*Mapping!$C$9,IF(Signals_EU!G202=-1,-Signals_EU!S202*Mapping!$C$9,0))</f>
        <v>0</v>
      </c>
      <c r="J202" s="1">
        <f>IF(Signals_EU!H202=1,Signals_EU!R202*Mapping!$C$10,IF(Signals_EU!H202=-1,-Signals_EU!S202*Mapping!$C$10,0))</f>
        <v>4.0000000000000008E-2</v>
      </c>
      <c r="K202" s="1">
        <f>IF(Signals_EU!F202=1,Signals_EU!R202*Mapping!$C$11,IF(Signals_EU!F202=-1,-Signals_EU!S202*Mapping!$C$11,0))</f>
        <v>0</v>
      </c>
      <c r="L202" s="1">
        <f>IF(Signals_EU!N202=1,Signals_EU!R202*Mapping!$C$12,IF(Signals_EU!N202=-1,-Signals_EU!S202*Mapping!$C$12,0))</f>
        <v>0</v>
      </c>
      <c r="M202" s="1">
        <f>IF(Signals_EU!I202=1,Signals_EU!R202*Mapping!$C$13,IF(Signals_EU!I202=-1,-Signals_EU!S202*Mapping!$C$13,0))</f>
        <v>5.000000000000001E-2</v>
      </c>
      <c r="N202" s="1">
        <f>IF(Signals_EU!E202=1,Signals_EU!R202*Mapping!$C$14,IF(Signals_EU!E202=-1,-Signals_EU!S202*Mapping!$C$14,0))</f>
        <v>0</v>
      </c>
      <c r="O202" s="1">
        <f>0</f>
        <v>0</v>
      </c>
      <c r="P202" s="1">
        <f>0</f>
        <v>0</v>
      </c>
      <c r="Q202" s="1">
        <f>IF(Signals_EU!J202=1,Signals_EU!R202*Mapping!$C$17,IF(Signals_EU!J202=-1,-Signals_EU!S202*Mapping!$C$17,0))</f>
        <v>0</v>
      </c>
      <c r="R202" s="1">
        <f>IF(Signals_EU!K202=1,Signals_EU!R202*Mapping!$C$18,IF(Signals_EU!K202=-1,-Signals_EU!S202*Mapping!$C$18,0))</f>
        <v>-5.000000000000001E-2</v>
      </c>
      <c r="S202" s="1">
        <f>IF(Signals_EU!M202=1,Signals_EU!R202*Mapping!$C$19,IF(Signals_EU!M202=-1,-Signals_EU!S202*Mapping!$C$19,0))</f>
        <v>0</v>
      </c>
      <c r="T202" s="1">
        <f>IF(Signals_EU!L202=1,Signals_EU!R202*Mapping!$C$20,IF(Signals_EU!L202=-1,-Signals_EU!S202*Mapping!$C$20,0))</f>
        <v>0</v>
      </c>
      <c r="U202" s="1">
        <f t="shared" si="3"/>
        <v>0</v>
      </c>
    </row>
    <row r="203" spans="1:21">
      <c r="A203" s="5">
        <f>Signals_EU!B203</f>
        <v>45170</v>
      </c>
      <c r="B203" s="1">
        <f>IF(Signals_EU!O203=1,Signals_EU!R203*Mapping!$C$2,IF(Signals_EU!O203=-1,-Signals_EU!S203*Mapping!$C$2,0))</f>
        <v>5.000000000000001E-2</v>
      </c>
      <c r="C203" s="1">
        <f>IF(Signals_EU!F203=1,Signals_EU!R203*Mapping!$C$3,IF(Signals_EU!F203=-1,-Signals_EU!S203*Mapping!$C$3,0))</f>
        <v>3.0000000000000006E-2</v>
      </c>
      <c r="D203" s="1">
        <f>IF(Signals_EU!C203=1,Signals_EU!R203*Mapping!$C$4,IF(Signals_EU!C203=-1,-Signals_EU!S203*Mapping!$C$4,0))</f>
        <v>-2.5000000000000005E-2</v>
      </c>
      <c r="E203" s="1">
        <f>IF(Signals_EU!C203=1,Signals_EU!R203*Mapping!$C$5,IF(Signals_EU!C203=-1,-Signals_EU!S203*Mapping!$C$5,0))</f>
        <v>-2.5000000000000005E-2</v>
      </c>
      <c r="F203" s="1">
        <f>IF(Signals_EU!H203=1,Signals_EU!R203*Mapping!$C$6,IF(Signals_EU!H203=-1,-Signals_EU!S203*Mapping!$C$6,0))</f>
        <v>0</v>
      </c>
      <c r="G203" s="1">
        <f>IF(Signals_EU!F203=1,Signals_EU!R203*Mapping!$C$7,IF(Signals_EU!F203=-1,-Signals_EU!S203*Mapping!$C$7,0))</f>
        <v>1.0000000000000002E-2</v>
      </c>
      <c r="H203" s="1">
        <f>IF(Signals_EU!D203=1,Signals_EU!R203*Mapping!$C$8,IF(Signals_EU!D203=-1,-Signals_EU!S203*Mapping!$C$8,0))</f>
        <v>-5.000000000000001E-2</v>
      </c>
      <c r="I203" s="1">
        <f>IF(Signals_EU!G203=1,Signals_EU!R203*Mapping!$C$9,IF(Signals_EU!G203=-1,-Signals_EU!S203*Mapping!$C$9,0))</f>
        <v>0</v>
      </c>
      <c r="J203" s="1">
        <f>IF(Signals_EU!H203=1,Signals_EU!R203*Mapping!$C$10,IF(Signals_EU!H203=-1,-Signals_EU!S203*Mapping!$C$10,0))</f>
        <v>0</v>
      </c>
      <c r="K203" s="1">
        <f>IF(Signals_EU!F203=1,Signals_EU!R203*Mapping!$C$11,IF(Signals_EU!F203=-1,-Signals_EU!S203*Mapping!$C$11,0))</f>
        <v>1.0000000000000002E-2</v>
      </c>
      <c r="L203" s="1">
        <f>IF(Signals_EU!N203=1,Signals_EU!R203*Mapping!$C$12,IF(Signals_EU!N203=-1,-Signals_EU!S203*Mapping!$C$12,0))</f>
        <v>0</v>
      </c>
      <c r="M203" s="1">
        <f>IF(Signals_EU!I203=1,Signals_EU!R203*Mapping!$C$13,IF(Signals_EU!I203=-1,-Signals_EU!S203*Mapping!$C$13,0))</f>
        <v>0</v>
      </c>
      <c r="N203" s="1">
        <f>IF(Signals_EU!E203=1,Signals_EU!R203*Mapping!$C$14,IF(Signals_EU!E203=-1,-Signals_EU!S203*Mapping!$C$14,0))</f>
        <v>0</v>
      </c>
      <c r="O203" s="1">
        <f>0</f>
        <v>0</v>
      </c>
      <c r="P203" s="1">
        <f>0</f>
        <v>0</v>
      </c>
      <c r="Q203" s="1">
        <f>IF(Signals_EU!J203=1,Signals_EU!R203*Mapping!$C$17,IF(Signals_EU!J203=-1,-Signals_EU!S203*Mapping!$C$17,0))</f>
        <v>5.000000000000001E-2</v>
      </c>
      <c r="R203" s="1">
        <f>IF(Signals_EU!K203=1,Signals_EU!R203*Mapping!$C$18,IF(Signals_EU!K203=-1,-Signals_EU!S203*Mapping!$C$18,0))</f>
        <v>-5.000000000000001E-2</v>
      </c>
      <c r="S203" s="1">
        <f>IF(Signals_EU!M203=1,Signals_EU!R203*Mapping!$C$19,IF(Signals_EU!M203=-1,-Signals_EU!S203*Mapping!$C$19,0))</f>
        <v>0</v>
      </c>
      <c r="T203" s="1">
        <f>IF(Signals_EU!L203=1,Signals_EU!R203*Mapping!$C$20,IF(Signals_EU!L203=-1,-Signals_EU!S203*Mapping!$C$20,0))</f>
        <v>0</v>
      </c>
      <c r="U203" s="1">
        <f t="shared" si="3"/>
        <v>0</v>
      </c>
    </row>
    <row r="204" spans="1:21">
      <c r="A204" s="5">
        <f>Signals_EU!B204</f>
        <v>45200</v>
      </c>
      <c r="B204" s="1">
        <f>IF(Signals_EU!O204=1,Signals_EU!R204*Mapping!$C$2,IF(Signals_EU!O204=-1,-Signals_EU!S204*Mapping!$C$2,0))</f>
        <v>0</v>
      </c>
      <c r="C204" s="1">
        <f>IF(Signals_EU!F204=1,Signals_EU!R204*Mapping!$C$3,IF(Signals_EU!F204=-1,-Signals_EU!S204*Mapping!$C$3,0))</f>
        <v>3.0000000000000006E-2</v>
      </c>
      <c r="D204" s="1">
        <f>IF(Signals_EU!C204=1,Signals_EU!R204*Mapping!$C$4,IF(Signals_EU!C204=-1,-Signals_EU!S204*Mapping!$C$4,0))</f>
        <v>-2.5000000000000005E-2</v>
      </c>
      <c r="E204" s="1">
        <f>IF(Signals_EU!C204=1,Signals_EU!R204*Mapping!$C$5,IF(Signals_EU!C204=-1,-Signals_EU!S204*Mapping!$C$5,0))</f>
        <v>-2.5000000000000005E-2</v>
      </c>
      <c r="F204" s="1">
        <f>IF(Signals_EU!H204=1,Signals_EU!R204*Mapping!$C$6,IF(Signals_EU!H204=-1,-Signals_EU!S204*Mapping!$C$6,0))</f>
        <v>0</v>
      </c>
      <c r="G204" s="1">
        <f>IF(Signals_EU!F204=1,Signals_EU!R204*Mapping!$C$7,IF(Signals_EU!F204=-1,-Signals_EU!S204*Mapping!$C$7,0))</f>
        <v>1.0000000000000002E-2</v>
      </c>
      <c r="H204" s="1">
        <f>IF(Signals_EU!D204=1,Signals_EU!R204*Mapping!$C$8,IF(Signals_EU!D204=-1,-Signals_EU!S204*Mapping!$C$8,0))</f>
        <v>-5.000000000000001E-2</v>
      </c>
      <c r="I204" s="1">
        <f>IF(Signals_EU!G204=1,Signals_EU!R204*Mapping!$C$9,IF(Signals_EU!G204=-1,-Signals_EU!S204*Mapping!$C$9,0))</f>
        <v>5.000000000000001E-2</v>
      </c>
      <c r="J204" s="1">
        <f>IF(Signals_EU!H204=1,Signals_EU!R204*Mapping!$C$10,IF(Signals_EU!H204=-1,-Signals_EU!S204*Mapping!$C$10,0))</f>
        <v>0</v>
      </c>
      <c r="K204" s="1">
        <f>IF(Signals_EU!F204=1,Signals_EU!R204*Mapping!$C$11,IF(Signals_EU!F204=-1,-Signals_EU!S204*Mapping!$C$11,0))</f>
        <v>1.0000000000000002E-2</v>
      </c>
      <c r="L204" s="1">
        <f>IF(Signals_EU!N204=1,Signals_EU!R204*Mapping!$C$12,IF(Signals_EU!N204=-1,-Signals_EU!S204*Mapping!$C$12,0))</f>
        <v>0</v>
      </c>
      <c r="M204" s="1">
        <f>IF(Signals_EU!I204=1,Signals_EU!R204*Mapping!$C$13,IF(Signals_EU!I204=-1,-Signals_EU!S204*Mapping!$C$13,0))</f>
        <v>0</v>
      </c>
      <c r="N204" s="1">
        <f>IF(Signals_EU!E204=1,Signals_EU!R204*Mapping!$C$14,IF(Signals_EU!E204=-1,-Signals_EU!S204*Mapping!$C$14,0))</f>
        <v>0</v>
      </c>
      <c r="O204" s="1">
        <f>0</f>
        <v>0</v>
      </c>
      <c r="P204" s="1">
        <f>0</f>
        <v>0</v>
      </c>
      <c r="Q204" s="1">
        <f>IF(Signals_EU!J204=1,Signals_EU!R204*Mapping!$C$17,IF(Signals_EU!J204=-1,-Signals_EU!S204*Mapping!$C$17,0))</f>
        <v>5.000000000000001E-2</v>
      </c>
      <c r="R204" s="1">
        <f>IF(Signals_EU!K204=1,Signals_EU!R204*Mapping!$C$18,IF(Signals_EU!K204=-1,-Signals_EU!S204*Mapping!$C$18,0))</f>
        <v>-5.000000000000001E-2</v>
      </c>
      <c r="S204" s="1">
        <f>IF(Signals_EU!M204=1,Signals_EU!R204*Mapping!$C$19,IF(Signals_EU!M204=-1,-Signals_EU!S204*Mapping!$C$19,0))</f>
        <v>0</v>
      </c>
      <c r="T204" s="1">
        <f>IF(Signals_EU!L204=1,Signals_EU!R204*Mapping!$C$20,IF(Signals_EU!L204=-1,-Signals_EU!S204*Mapping!$C$20,0))</f>
        <v>0</v>
      </c>
      <c r="U204" s="1">
        <f t="shared" si="3"/>
        <v>0</v>
      </c>
    </row>
    <row r="205" spans="1:21">
      <c r="A205" s="5">
        <f>Signals_EU!B205</f>
        <v>45231</v>
      </c>
      <c r="B205" s="1">
        <f>IF(Signals_EU!O205=1,Signals_EU!R205*Mapping!$C$2,IF(Signals_EU!O205=-1,-Signals_EU!S205*Mapping!$C$2,0))</f>
        <v>0</v>
      </c>
      <c r="C205" s="1">
        <f>IF(Signals_EU!F205=1,Signals_EU!R205*Mapping!$C$3,IF(Signals_EU!F205=-1,-Signals_EU!S205*Mapping!$C$3,0))</f>
        <v>3.0000000000000006E-2</v>
      </c>
      <c r="D205" s="1">
        <f>IF(Signals_EU!C205=1,Signals_EU!R205*Mapping!$C$4,IF(Signals_EU!C205=-1,-Signals_EU!S205*Mapping!$C$4,0))</f>
        <v>-2.5000000000000005E-2</v>
      </c>
      <c r="E205" s="1">
        <f>IF(Signals_EU!C205=1,Signals_EU!R205*Mapping!$C$5,IF(Signals_EU!C205=-1,-Signals_EU!S205*Mapping!$C$5,0))</f>
        <v>-2.5000000000000005E-2</v>
      </c>
      <c r="F205" s="1">
        <f>IF(Signals_EU!H205=1,Signals_EU!R205*Mapping!$C$6,IF(Signals_EU!H205=-1,-Signals_EU!S205*Mapping!$C$6,0))</f>
        <v>1.0000000000000002E-2</v>
      </c>
      <c r="G205" s="1">
        <f>IF(Signals_EU!F205=1,Signals_EU!R205*Mapping!$C$7,IF(Signals_EU!F205=-1,-Signals_EU!S205*Mapping!$C$7,0))</f>
        <v>1.0000000000000002E-2</v>
      </c>
      <c r="H205" s="1">
        <f>IF(Signals_EU!D205=1,Signals_EU!R205*Mapping!$C$8,IF(Signals_EU!D205=-1,-Signals_EU!S205*Mapping!$C$8,0))</f>
        <v>-5.000000000000001E-2</v>
      </c>
      <c r="I205" s="1">
        <f>IF(Signals_EU!G205=1,Signals_EU!R205*Mapping!$C$9,IF(Signals_EU!G205=-1,-Signals_EU!S205*Mapping!$C$9,0))</f>
        <v>0</v>
      </c>
      <c r="J205" s="1">
        <f>IF(Signals_EU!H205=1,Signals_EU!R205*Mapping!$C$10,IF(Signals_EU!H205=-1,-Signals_EU!S205*Mapping!$C$10,0))</f>
        <v>4.0000000000000008E-2</v>
      </c>
      <c r="K205" s="1">
        <f>IF(Signals_EU!F205=1,Signals_EU!R205*Mapping!$C$11,IF(Signals_EU!F205=-1,-Signals_EU!S205*Mapping!$C$11,0))</f>
        <v>1.0000000000000002E-2</v>
      </c>
      <c r="L205" s="1">
        <f>IF(Signals_EU!N205=1,Signals_EU!R205*Mapping!$C$12,IF(Signals_EU!N205=-1,-Signals_EU!S205*Mapping!$C$12,0))</f>
        <v>0</v>
      </c>
      <c r="M205" s="1">
        <f>IF(Signals_EU!I205=1,Signals_EU!R205*Mapping!$C$13,IF(Signals_EU!I205=-1,-Signals_EU!S205*Mapping!$C$13,0))</f>
        <v>0</v>
      </c>
      <c r="N205" s="1">
        <f>IF(Signals_EU!E205=1,Signals_EU!R205*Mapping!$C$14,IF(Signals_EU!E205=-1,-Signals_EU!S205*Mapping!$C$14,0))</f>
        <v>0</v>
      </c>
      <c r="O205" s="1">
        <f>0</f>
        <v>0</v>
      </c>
      <c r="P205" s="1">
        <f>0</f>
        <v>0</v>
      </c>
      <c r="Q205" s="1">
        <f>IF(Signals_EU!J205=1,Signals_EU!R205*Mapping!$C$17,IF(Signals_EU!J205=-1,-Signals_EU!S205*Mapping!$C$17,0))</f>
        <v>5.000000000000001E-2</v>
      </c>
      <c r="R205" s="1">
        <f>IF(Signals_EU!K205=1,Signals_EU!R205*Mapping!$C$18,IF(Signals_EU!K205=-1,-Signals_EU!S205*Mapping!$C$18,0))</f>
        <v>0</v>
      </c>
      <c r="S205" s="1">
        <f>IF(Signals_EU!M205=1,Signals_EU!R205*Mapping!$C$19,IF(Signals_EU!M205=-1,-Signals_EU!S205*Mapping!$C$19,0))</f>
        <v>0</v>
      </c>
      <c r="T205" s="1">
        <f>IF(Signals_EU!L205=1,Signals_EU!R205*Mapping!$C$20,IF(Signals_EU!L205=-1,-Signals_EU!S205*Mapping!$C$20,0))</f>
        <v>-5.000000000000001E-2</v>
      </c>
      <c r="U205" s="1">
        <f t="shared" si="3"/>
        <v>0</v>
      </c>
    </row>
    <row r="206" spans="1:21">
      <c r="A206" s="5">
        <f>Signals_EU!B206</f>
        <v>45261</v>
      </c>
      <c r="B206" s="1">
        <f>IF(Signals_EU!O206=1,Signals_EU!R206*Mapping!$C$2,IF(Signals_EU!O206=-1,-Signals_EU!S206*Mapping!$C$2,0))</f>
        <v>-5.000000000000001E-2</v>
      </c>
      <c r="C206" s="1">
        <f>IF(Signals_EU!F206=1,Signals_EU!R206*Mapping!$C$3,IF(Signals_EU!F206=-1,-Signals_EU!S206*Mapping!$C$3,0))</f>
        <v>3.0000000000000006E-2</v>
      </c>
      <c r="D206" s="1">
        <f>IF(Signals_EU!C206=1,Signals_EU!R206*Mapping!$C$4,IF(Signals_EU!C206=-1,-Signals_EU!S206*Mapping!$C$4,0))</f>
        <v>-2.5000000000000005E-2</v>
      </c>
      <c r="E206" s="1">
        <f>IF(Signals_EU!C206=1,Signals_EU!R206*Mapping!$C$5,IF(Signals_EU!C206=-1,-Signals_EU!S206*Mapping!$C$5,0))</f>
        <v>-2.5000000000000005E-2</v>
      </c>
      <c r="F206" s="1">
        <f>IF(Signals_EU!H206=1,Signals_EU!R206*Mapping!$C$6,IF(Signals_EU!H206=-1,-Signals_EU!S206*Mapping!$C$6,0))</f>
        <v>0</v>
      </c>
      <c r="G206" s="1">
        <f>IF(Signals_EU!F206=1,Signals_EU!R206*Mapping!$C$7,IF(Signals_EU!F206=-1,-Signals_EU!S206*Mapping!$C$7,0))</f>
        <v>1.0000000000000002E-2</v>
      </c>
      <c r="H206" s="1">
        <f>IF(Signals_EU!D206=1,Signals_EU!R206*Mapping!$C$8,IF(Signals_EU!D206=-1,-Signals_EU!S206*Mapping!$C$8,0))</f>
        <v>0</v>
      </c>
      <c r="I206" s="1">
        <f>IF(Signals_EU!G206=1,Signals_EU!R206*Mapping!$C$9,IF(Signals_EU!G206=-1,-Signals_EU!S206*Mapping!$C$9,0))</f>
        <v>5.000000000000001E-2</v>
      </c>
      <c r="J206" s="1">
        <f>IF(Signals_EU!H206=1,Signals_EU!R206*Mapping!$C$10,IF(Signals_EU!H206=-1,-Signals_EU!S206*Mapping!$C$10,0))</f>
        <v>0</v>
      </c>
      <c r="K206" s="1">
        <f>IF(Signals_EU!F206=1,Signals_EU!R206*Mapping!$C$11,IF(Signals_EU!F206=-1,-Signals_EU!S206*Mapping!$C$11,0))</f>
        <v>1.0000000000000002E-2</v>
      </c>
      <c r="L206" s="1">
        <f>IF(Signals_EU!N206=1,Signals_EU!R206*Mapping!$C$12,IF(Signals_EU!N206=-1,-Signals_EU!S206*Mapping!$C$12,0))</f>
        <v>5.000000000000001E-2</v>
      </c>
      <c r="M206" s="1">
        <f>IF(Signals_EU!I206=1,Signals_EU!R206*Mapping!$C$13,IF(Signals_EU!I206=-1,-Signals_EU!S206*Mapping!$C$13,0))</f>
        <v>0</v>
      </c>
      <c r="N206" s="1">
        <f>IF(Signals_EU!E206=1,Signals_EU!R206*Mapping!$C$14,IF(Signals_EU!E206=-1,-Signals_EU!S206*Mapping!$C$14,0))</f>
        <v>-5.000000000000001E-2</v>
      </c>
      <c r="O206" s="1">
        <f>0</f>
        <v>0</v>
      </c>
      <c r="P206" s="1">
        <f>0</f>
        <v>0</v>
      </c>
      <c r="Q206" s="1">
        <f>IF(Signals_EU!J206=1,Signals_EU!R206*Mapping!$C$17,IF(Signals_EU!J206=-1,-Signals_EU!S206*Mapping!$C$17,0))</f>
        <v>0</v>
      </c>
      <c r="R206" s="1">
        <f>IF(Signals_EU!K206=1,Signals_EU!R206*Mapping!$C$18,IF(Signals_EU!K206=-1,-Signals_EU!S206*Mapping!$C$18,0))</f>
        <v>0</v>
      </c>
      <c r="S206" s="1">
        <f>IF(Signals_EU!M206=1,Signals_EU!R206*Mapping!$C$19,IF(Signals_EU!M206=-1,-Signals_EU!S206*Mapping!$C$19,0))</f>
        <v>0</v>
      </c>
      <c r="T206" s="1">
        <f>IF(Signals_EU!L206=1,Signals_EU!R206*Mapping!$C$20,IF(Signals_EU!L206=-1,-Signals_EU!S206*Mapping!$C$20,0))</f>
        <v>0</v>
      </c>
      <c r="U206" s="1">
        <f t="shared" si="3"/>
        <v>0</v>
      </c>
    </row>
    <row r="207" spans="1:21">
      <c r="A207" s="5">
        <f>Signals_EU!B207</f>
        <v>45292</v>
      </c>
      <c r="B207" s="1">
        <f>IF(Signals_EU!O207=1,Signals_EU!R207*Mapping!$C$2,IF(Signals_EU!O207=-1,-Signals_EU!S207*Mapping!$C$2,0))</f>
        <v>-5.000000000000001E-2</v>
      </c>
      <c r="C207" s="1">
        <f>IF(Signals_EU!F207=1,Signals_EU!R207*Mapping!$C$3,IF(Signals_EU!F207=-1,-Signals_EU!S207*Mapping!$C$3,0))</f>
        <v>0</v>
      </c>
      <c r="D207" s="1">
        <f>IF(Signals_EU!C207=1,Signals_EU!R207*Mapping!$C$4,IF(Signals_EU!C207=-1,-Signals_EU!S207*Mapping!$C$4,0))</f>
        <v>0</v>
      </c>
      <c r="E207" s="1">
        <f>IF(Signals_EU!C207=1,Signals_EU!R207*Mapping!$C$5,IF(Signals_EU!C207=-1,-Signals_EU!S207*Mapping!$C$5,0))</f>
        <v>0</v>
      </c>
      <c r="F207" s="1">
        <f>IF(Signals_EU!H207=1,Signals_EU!R207*Mapping!$C$6,IF(Signals_EU!H207=-1,-Signals_EU!S207*Mapping!$C$6,0))</f>
        <v>-1.0000000000000002E-2</v>
      </c>
      <c r="G207" s="1">
        <f>IF(Signals_EU!F207=1,Signals_EU!R207*Mapping!$C$7,IF(Signals_EU!F207=-1,-Signals_EU!S207*Mapping!$C$7,0))</f>
        <v>0</v>
      </c>
      <c r="H207" s="1">
        <f>IF(Signals_EU!D207=1,Signals_EU!R207*Mapping!$C$8,IF(Signals_EU!D207=-1,-Signals_EU!S207*Mapping!$C$8,0))</f>
        <v>0</v>
      </c>
      <c r="I207" s="1">
        <f>IF(Signals_EU!G207=1,Signals_EU!R207*Mapping!$C$9,IF(Signals_EU!G207=-1,-Signals_EU!S207*Mapping!$C$9,0))</f>
        <v>0</v>
      </c>
      <c r="J207" s="1">
        <f>IF(Signals_EU!H207=1,Signals_EU!R207*Mapping!$C$10,IF(Signals_EU!H207=-1,-Signals_EU!S207*Mapping!$C$10,0))</f>
        <v>-4.0000000000000008E-2</v>
      </c>
      <c r="K207" s="1">
        <f>IF(Signals_EU!F207=1,Signals_EU!R207*Mapping!$C$11,IF(Signals_EU!F207=-1,-Signals_EU!S207*Mapping!$C$11,0))</f>
        <v>0</v>
      </c>
      <c r="L207" s="1">
        <f>IF(Signals_EU!N207=1,Signals_EU!R207*Mapping!$C$12,IF(Signals_EU!N207=-1,-Signals_EU!S207*Mapping!$C$12,0))</f>
        <v>5.000000000000001E-2</v>
      </c>
      <c r="M207" s="1">
        <f>IF(Signals_EU!I207=1,Signals_EU!R207*Mapping!$C$13,IF(Signals_EU!I207=-1,-Signals_EU!S207*Mapping!$C$13,0))</f>
        <v>0</v>
      </c>
      <c r="N207" s="1">
        <f>IF(Signals_EU!E207=1,Signals_EU!R207*Mapping!$C$14,IF(Signals_EU!E207=-1,-Signals_EU!S207*Mapping!$C$14,0))</f>
        <v>-5.000000000000001E-2</v>
      </c>
      <c r="O207" s="1">
        <f>0</f>
        <v>0</v>
      </c>
      <c r="P207" s="1">
        <f>0</f>
        <v>0</v>
      </c>
      <c r="Q207" s="1">
        <f>IF(Signals_EU!J207=1,Signals_EU!R207*Mapping!$C$17,IF(Signals_EU!J207=-1,-Signals_EU!S207*Mapping!$C$17,0))</f>
        <v>5.000000000000001E-2</v>
      </c>
      <c r="R207" s="1">
        <f>IF(Signals_EU!K207=1,Signals_EU!R207*Mapping!$C$18,IF(Signals_EU!K207=-1,-Signals_EU!S207*Mapping!$C$18,0))</f>
        <v>5.000000000000001E-2</v>
      </c>
      <c r="S207" s="1">
        <f>IF(Signals_EU!M207=1,Signals_EU!R207*Mapping!$C$19,IF(Signals_EU!M207=-1,-Signals_EU!S207*Mapping!$C$19,0))</f>
        <v>0</v>
      </c>
      <c r="T207" s="1">
        <f>IF(Signals_EU!L207=1,Signals_EU!R207*Mapping!$C$20,IF(Signals_EU!L207=-1,-Signals_EU!S207*Mapping!$C$20,0))</f>
        <v>0</v>
      </c>
      <c r="U207" s="1">
        <f t="shared" si="3"/>
        <v>0</v>
      </c>
    </row>
    <row r="208" spans="1:21">
      <c r="A208" s="5">
        <f>Signals_EU!B208</f>
        <v>45323</v>
      </c>
      <c r="B208" s="1">
        <f>IF(Signals_EU!O208=1,Signals_EU!R208*Mapping!$C$2,IF(Signals_EU!O208=-1,-Signals_EU!S208*Mapping!$C$2,0))</f>
        <v>5.000000000000001E-2</v>
      </c>
      <c r="C208" s="1">
        <f>IF(Signals_EU!F208=1,Signals_EU!R208*Mapping!$C$3,IF(Signals_EU!F208=-1,-Signals_EU!S208*Mapping!$C$3,0))</f>
        <v>0</v>
      </c>
      <c r="D208" s="1">
        <f>IF(Signals_EU!C208=1,Signals_EU!R208*Mapping!$C$4,IF(Signals_EU!C208=-1,-Signals_EU!S208*Mapping!$C$4,0))</f>
        <v>-2.5000000000000005E-2</v>
      </c>
      <c r="E208" s="1">
        <f>IF(Signals_EU!C208=1,Signals_EU!R208*Mapping!$C$5,IF(Signals_EU!C208=-1,-Signals_EU!S208*Mapping!$C$5,0))</f>
        <v>-2.5000000000000005E-2</v>
      </c>
      <c r="F208" s="1">
        <f>IF(Signals_EU!H208=1,Signals_EU!R208*Mapping!$C$6,IF(Signals_EU!H208=-1,-Signals_EU!S208*Mapping!$C$6,0))</f>
        <v>-1.0000000000000002E-2</v>
      </c>
      <c r="G208" s="1">
        <f>IF(Signals_EU!F208=1,Signals_EU!R208*Mapping!$C$7,IF(Signals_EU!F208=-1,-Signals_EU!S208*Mapping!$C$7,0))</f>
        <v>0</v>
      </c>
      <c r="H208" s="1">
        <f>IF(Signals_EU!D208=1,Signals_EU!R208*Mapping!$C$8,IF(Signals_EU!D208=-1,-Signals_EU!S208*Mapping!$C$8,0))</f>
        <v>0</v>
      </c>
      <c r="I208" s="1">
        <f>IF(Signals_EU!G208=1,Signals_EU!R208*Mapping!$C$9,IF(Signals_EU!G208=-1,-Signals_EU!S208*Mapping!$C$9,0))</f>
        <v>0</v>
      </c>
      <c r="J208" s="1">
        <f>IF(Signals_EU!H208=1,Signals_EU!R208*Mapping!$C$10,IF(Signals_EU!H208=-1,-Signals_EU!S208*Mapping!$C$10,0))</f>
        <v>-4.0000000000000008E-2</v>
      </c>
      <c r="K208" s="1">
        <f>IF(Signals_EU!F208=1,Signals_EU!R208*Mapping!$C$11,IF(Signals_EU!F208=-1,-Signals_EU!S208*Mapping!$C$11,0))</f>
        <v>0</v>
      </c>
      <c r="L208" s="1">
        <f>IF(Signals_EU!N208=1,Signals_EU!R208*Mapping!$C$12,IF(Signals_EU!N208=-1,-Signals_EU!S208*Mapping!$C$12,0))</f>
        <v>5.000000000000001E-2</v>
      </c>
      <c r="M208" s="1">
        <f>IF(Signals_EU!I208=1,Signals_EU!R208*Mapping!$C$13,IF(Signals_EU!I208=-1,-Signals_EU!S208*Mapping!$C$13,0))</f>
        <v>0</v>
      </c>
      <c r="N208" s="1">
        <f>IF(Signals_EU!E208=1,Signals_EU!R208*Mapping!$C$14,IF(Signals_EU!E208=-1,-Signals_EU!S208*Mapping!$C$14,0))</f>
        <v>-5.000000000000001E-2</v>
      </c>
      <c r="O208" s="1">
        <f>0</f>
        <v>0</v>
      </c>
      <c r="P208" s="1">
        <f>0</f>
        <v>0</v>
      </c>
      <c r="Q208" s="1">
        <f>IF(Signals_EU!J208=1,Signals_EU!R208*Mapping!$C$17,IF(Signals_EU!J208=-1,-Signals_EU!S208*Mapping!$C$17,0))</f>
        <v>0</v>
      </c>
      <c r="R208" s="1">
        <f>IF(Signals_EU!K208=1,Signals_EU!R208*Mapping!$C$18,IF(Signals_EU!K208=-1,-Signals_EU!S208*Mapping!$C$18,0))</f>
        <v>0</v>
      </c>
      <c r="S208" s="1">
        <f>IF(Signals_EU!M208=1,Signals_EU!R208*Mapping!$C$19,IF(Signals_EU!M208=-1,-Signals_EU!S208*Mapping!$C$19,0))</f>
        <v>0</v>
      </c>
      <c r="T208" s="1">
        <f>IF(Signals_EU!L208=1,Signals_EU!R208*Mapping!$C$20,IF(Signals_EU!L208=-1,-Signals_EU!S208*Mapping!$C$20,0))</f>
        <v>5.000000000000001E-2</v>
      </c>
      <c r="U208" s="1">
        <f t="shared" si="3"/>
        <v>0</v>
      </c>
    </row>
    <row r="209" spans="1:21">
      <c r="A209" s="5">
        <f>Signals_EU!B209</f>
        <v>45352</v>
      </c>
      <c r="B209" s="1">
        <f>IF(Signals_EU!O209=1,Signals_EU!R209*Mapping!$C$2,IF(Signals_EU!O209=-1,-Signals_EU!S209*Mapping!$C$2,0))</f>
        <v>0</v>
      </c>
      <c r="C209" s="1">
        <f>IF(Signals_EU!F209=1,Signals_EU!R209*Mapping!$C$3,IF(Signals_EU!F209=-1,-Signals_EU!S209*Mapping!$C$3,0))</f>
        <v>3.0000000000000006E-2</v>
      </c>
      <c r="D209" s="1">
        <f>IF(Signals_EU!C209=1,Signals_EU!R209*Mapping!$C$4,IF(Signals_EU!C209=-1,-Signals_EU!S209*Mapping!$C$4,0))</f>
        <v>-2.5000000000000005E-2</v>
      </c>
      <c r="E209" s="1">
        <f>IF(Signals_EU!C209=1,Signals_EU!R209*Mapping!$C$5,IF(Signals_EU!C209=-1,-Signals_EU!S209*Mapping!$C$5,0))</f>
        <v>-2.5000000000000005E-2</v>
      </c>
      <c r="F209" s="1">
        <f>IF(Signals_EU!H209=1,Signals_EU!R209*Mapping!$C$6,IF(Signals_EU!H209=-1,-Signals_EU!S209*Mapping!$C$6,0))</f>
        <v>0</v>
      </c>
      <c r="G209" s="1">
        <f>IF(Signals_EU!F209=1,Signals_EU!R209*Mapping!$C$7,IF(Signals_EU!F209=-1,-Signals_EU!S209*Mapping!$C$7,0))</f>
        <v>1.0000000000000002E-2</v>
      </c>
      <c r="H209" s="1">
        <f>IF(Signals_EU!D209=1,Signals_EU!R209*Mapping!$C$8,IF(Signals_EU!D209=-1,-Signals_EU!S209*Mapping!$C$8,0))</f>
        <v>0</v>
      </c>
      <c r="I209" s="1">
        <f>IF(Signals_EU!G209=1,Signals_EU!R209*Mapping!$C$9,IF(Signals_EU!G209=-1,-Signals_EU!S209*Mapping!$C$9,0))</f>
        <v>0</v>
      </c>
      <c r="J209" s="1">
        <f>IF(Signals_EU!H209=1,Signals_EU!R209*Mapping!$C$10,IF(Signals_EU!H209=-1,-Signals_EU!S209*Mapping!$C$10,0))</f>
        <v>0</v>
      </c>
      <c r="K209" s="1">
        <f>IF(Signals_EU!F209=1,Signals_EU!R209*Mapping!$C$11,IF(Signals_EU!F209=-1,-Signals_EU!S209*Mapping!$C$11,0))</f>
        <v>1.0000000000000002E-2</v>
      </c>
      <c r="L209" s="1">
        <f>IF(Signals_EU!N209=1,Signals_EU!R209*Mapping!$C$12,IF(Signals_EU!N209=-1,-Signals_EU!S209*Mapping!$C$12,0))</f>
        <v>5.000000000000001E-2</v>
      </c>
      <c r="M209" s="1">
        <f>IF(Signals_EU!I209=1,Signals_EU!R209*Mapping!$C$13,IF(Signals_EU!I209=-1,-Signals_EU!S209*Mapping!$C$13,0))</f>
        <v>0</v>
      </c>
      <c r="N209" s="1">
        <f>IF(Signals_EU!E209=1,Signals_EU!R209*Mapping!$C$14,IF(Signals_EU!E209=-1,-Signals_EU!S209*Mapping!$C$14,0))</f>
        <v>-5.000000000000001E-2</v>
      </c>
      <c r="O209" s="1">
        <f>0</f>
        <v>0</v>
      </c>
      <c r="P209" s="1">
        <f>0</f>
        <v>0</v>
      </c>
      <c r="Q209" s="1">
        <f>IF(Signals_EU!J209=1,Signals_EU!R209*Mapping!$C$17,IF(Signals_EU!J209=-1,-Signals_EU!S209*Mapping!$C$17,0))</f>
        <v>0</v>
      </c>
      <c r="R209" s="1">
        <f>IF(Signals_EU!K209=1,Signals_EU!R209*Mapping!$C$18,IF(Signals_EU!K209=-1,-Signals_EU!S209*Mapping!$C$18,0))</f>
        <v>-5.000000000000001E-2</v>
      </c>
      <c r="S209" s="1">
        <f>IF(Signals_EU!M209=1,Signals_EU!R209*Mapping!$C$19,IF(Signals_EU!M209=-1,-Signals_EU!S209*Mapping!$C$19,0))</f>
        <v>0</v>
      </c>
      <c r="T209" s="1">
        <f>IF(Signals_EU!L209=1,Signals_EU!R209*Mapping!$C$20,IF(Signals_EU!L209=-1,-Signals_EU!S209*Mapping!$C$20,0))</f>
        <v>5.000000000000001E-2</v>
      </c>
      <c r="U209" s="1">
        <f t="shared" si="3"/>
        <v>0</v>
      </c>
    </row>
    <row r="210" spans="1:21">
      <c r="A210" s="5">
        <f>Signals_EU!B210</f>
        <v>45383</v>
      </c>
      <c r="B210" s="1">
        <f>IF(Signals_EU!O210=1,Signals_EU!R210*Mapping!$C$2,IF(Signals_EU!O210=-1,-Signals_EU!S210*Mapping!$C$2,0))</f>
        <v>0</v>
      </c>
      <c r="C210" s="1">
        <f>IF(Signals_EU!F210=1,Signals_EU!R210*Mapping!$C$3,IF(Signals_EU!F210=-1,-Signals_EU!S210*Mapping!$C$3,0))</f>
        <v>0</v>
      </c>
      <c r="D210" s="1">
        <f>IF(Signals_EU!C210=1,Signals_EU!R210*Mapping!$C$4,IF(Signals_EU!C210=-1,-Signals_EU!S210*Mapping!$C$4,0))</f>
        <v>-2.5000000000000005E-2</v>
      </c>
      <c r="E210" s="1">
        <f>IF(Signals_EU!C210=1,Signals_EU!R210*Mapping!$C$5,IF(Signals_EU!C210=-1,-Signals_EU!S210*Mapping!$C$5,0))</f>
        <v>-2.5000000000000005E-2</v>
      </c>
      <c r="F210" s="1">
        <f>IF(Signals_EU!H210=1,Signals_EU!R210*Mapping!$C$6,IF(Signals_EU!H210=-1,-Signals_EU!S210*Mapping!$C$6,0))</f>
        <v>1.0000000000000002E-2</v>
      </c>
      <c r="G210" s="1">
        <f>IF(Signals_EU!F210=1,Signals_EU!R210*Mapping!$C$7,IF(Signals_EU!F210=-1,-Signals_EU!S210*Mapping!$C$7,0))</f>
        <v>0</v>
      </c>
      <c r="H210" s="1">
        <f>IF(Signals_EU!D210=1,Signals_EU!R210*Mapping!$C$8,IF(Signals_EU!D210=-1,-Signals_EU!S210*Mapping!$C$8,0))</f>
        <v>0</v>
      </c>
      <c r="I210" s="1">
        <f>IF(Signals_EU!G210=1,Signals_EU!R210*Mapping!$C$9,IF(Signals_EU!G210=-1,-Signals_EU!S210*Mapping!$C$9,0))</f>
        <v>0</v>
      </c>
      <c r="J210" s="1">
        <f>IF(Signals_EU!H210=1,Signals_EU!R210*Mapping!$C$10,IF(Signals_EU!H210=-1,-Signals_EU!S210*Mapping!$C$10,0))</f>
        <v>4.0000000000000008E-2</v>
      </c>
      <c r="K210" s="1">
        <f>IF(Signals_EU!F210=1,Signals_EU!R210*Mapping!$C$11,IF(Signals_EU!F210=-1,-Signals_EU!S210*Mapping!$C$11,0))</f>
        <v>0</v>
      </c>
      <c r="L210" s="1">
        <f>IF(Signals_EU!N210=1,Signals_EU!R210*Mapping!$C$12,IF(Signals_EU!N210=-1,-Signals_EU!S210*Mapping!$C$12,0))</f>
        <v>5.000000000000001E-2</v>
      </c>
      <c r="M210" s="1">
        <f>IF(Signals_EU!I210=1,Signals_EU!R210*Mapping!$C$13,IF(Signals_EU!I210=-1,-Signals_EU!S210*Mapping!$C$13,0))</f>
        <v>0</v>
      </c>
      <c r="N210" s="1">
        <f>IF(Signals_EU!E210=1,Signals_EU!R210*Mapping!$C$14,IF(Signals_EU!E210=-1,-Signals_EU!S210*Mapping!$C$14,0))</f>
        <v>-5.000000000000001E-2</v>
      </c>
      <c r="O210" s="1">
        <f>0</f>
        <v>0</v>
      </c>
      <c r="P210" s="1">
        <f>0</f>
        <v>0</v>
      </c>
      <c r="Q210" s="1">
        <f>IF(Signals_EU!J210=1,Signals_EU!R210*Mapping!$C$17,IF(Signals_EU!J210=-1,-Signals_EU!S210*Mapping!$C$17,0))</f>
        <v>0</v>
      </c>
      <c r="R210" s="1">
        <f>IF(Signals_EU!K210=1,Signals_EU!R210*Mapping!$C$18,IF(Signals_EU!K210=-1,-Signals_EU!S210*Mapping!$C$18,0))</f>
        <v>-5.000000000000001E-2</v>
      </c>
      <c r="S210" s="1">
        <f>IF(Signals_EU!M210=1,Signals_EU!R210*Mapping!$C$19,IF(Signals_EU!M210=-1,-Signals_EU!S210*Mapping!$C$19,0))</f>
        <v>0</v>
      </c>
      <c r="T210" s="1">
        <f>IF(Signals_EU!L210=1,Signals_EU!R210*Mapping!$C$20,IF(Signals_EU!L210=-1,-Signals_EU!S210*Mapping!$C$20,0))</f>
        <v>5.000000000000001E-2</v>
      </c>
      <c r="U210" s="1">
        <f t="shared" si="3"/>
        <v>0</v>
      </c>
    </row>
    <row r="211" spans="1:21">
      <c r="A211" s="5">
        <f>Signals_EU!B211</f>
        <v>45413</v>
      </c>
      <c r="B211" s="1">
        <f>IF(Signals_EU!O211=1,Signals_EU!R211*Mapping!$C$2,IF(Signals_EU!O211=-1,-Signals_EU!S211*Mapping!$C$2,0))</f>
        <v>0</v>
      </c>
      <c r="C211" s="1">
        <f>IF(Signals_EU!F211=1,Signals_EU!R211*Mapping!$C$3,IF(Signals_EU!F211=-1,-Signals_EU!S211*Mapping!$C$3,0))</f>
        <v>3.0000000000000006E-2</v>
      </c>
      <c r="D211" s="1">
        <f>IF(Signals_EU!C211=1,Signals_EU!R211*Mapping!$C$4,IF(Signals_EU!C211=-1,-Signals_EU!S211*Mapping!$C$4,0))</f>
        <v>-2.5000000000000005E-2</v>
      </c>
      <c r="E211" s="1">
        <f>IF(Signals_EU!C211=1,Signals_EU!R211*Mapping!$C$5,IF(Signals_EU!C211=-1,-Signals_EU!S211*Mapping!$C$5,0))</f>
        <v>-2.5000000000000005E-2</v>
      </c>
      <c r="F211" s="1">
        <f>IF(Signals_EU!H211=1,Signals_EU!R211*Mapping!$C$6,IF(Signals_EU!H211=-1,-Signals_EU!S211*Mapping!$C$6,0))</f>
        <v>0</v>
      </c>
      <c r="G211" s="1">
        <f>IF(Signals_EU!F211=1,Signals_EU!R211*Mapping!$C$7,IF(Signals_EU!F211=-1,-Signals_EU!S211*Mapping!$C$7,0))</f>
        <v>1.0000000000000002E-2</v>
      </c>
      <c r="H211" s="1">
        <f>IF(Signals_EU!D211=1,Signals_EU!R211*Mapping!$C$8,IF(Signals_EU!D211=-1,-Signals_EU!S211*Mapping!$C$8,0))</f>
        <v>-5.000000000000001E-2</v>
      </c>
      <c r="I211" s="1">
        <f>IF(Signals_EU!G211=1,Signals_EU!R211*Mapping!$C$9,IF(Signals_EU!G211=-1,-Signals_EU!S211*Mapping!$C$9,0))</f>
        <v>0</v>
      </c>
      <c r="J211" s="1">
        <f>IF(Signals_EU!H211=1,Signals_EU!R211*Mapping!$C$10,IF(Signals_EU!H211=-1,-Signals_EU!S211*Mapping!$C$10,0))</f>
        <v>0</v>
      </c>
      <c r="K211" s="1">
        <f>IF(Signals_EU!F211=1,Signals_EU!R211*Mapping!$C$11,IF(Signals_EU!F211=-1,-Signals_EU!S211*Mapping!$C$11,0))</f>
        <v>1.0000000000000002E-2</v>
      </c>
      <c r="L211" s="1">
        <f>IF(Signals_EU!N211=1,Signals_EU!R211*Mapping!$C$12,IF(Signals_EU!N211=-1,-Signals_EU!S211*Mapping!$C$12,0))</f>
        <v>5.000000000000001E-2</v>
      </c>
      <c r="M211" s="1">
        <f>IF(Signals_EU!I211=1,Signals_EU!R211*Mapping!$C$13,IF(Signals_EU!I211=-1,-Signals_EU!S211*Mapping!$C$13,0))</f>
        <v>0</v>
      </c>
      <c r="N211" s="1">
        <f>IF(Signals_EU!E211=1,Signals_EU!R211*Mapping!$C$14,IF(Signals_EU!E211=-1,-Signals_EU!S211*Mapping!$C$14,0))</f>
        <v>-5.000000000000001E-2</v>
      </c>
      <c r="O211" s="1">
        <f>0</f>
        <v>0</v>
      </c>
      <c r="P211" s="1">
        <f>0</f>
        <v>0</v>
      </c>
      <c r="Q211" s="1">
        <f>IF(Signals_EU!J211=1,Signals_EU!R211*Mapping!$C$17,IF(Signals_EU!J211=-1,-Signals_EU!S211*Mapping!$C$17,0))</f>
        <v>0</v>
      </c>
      <c r="R211" s="1">
        <f>IF(Signals_EU!K211=1,Signals_EU!R211*Mapping!$C$18,IF(Signals_EU!K211=-1,-Signals_EU!S211*Mapping!$C$18,0))</f>
        <v>0</v>
      </c>
      <c r="S211" s="1">
        <f>IF(Signals_EU!M211=1,Signals_EU!R211*Mapping!$C$19,IF(Signals_EU!M211=-1,-Signals_EU!S211*Mapping!$C$19,0))</f>
        <v>0</v>
      </c>
      <c r="T211" s="1">
        <f>IF(Signals_EU!L211=1,Signals_EU!R211*Mapping!$C$20,IF(Signals_EU!L211=-1,-Signals_EU!S211*Mapping!$C$20,0))</f>
        <v>5.000000000000001E-2</v>
      </c>
      <c r="U211" s="1">
        <f t="shared" si="3"/>
        <v>0</v>
      </c>
    </row>
    <row r="212" spans="1:21">
      <c r="A212" s="5">
        <f>Signals_EU!B212</f>
        <v>45444</v>
      </c>
      <c r="B212" s="1">
        <f>IF(Signals_EU!O212=1,Signals_EU!R212*Mapping!$C$2,IF(Signals_EU!O212=-1,-Signals_EU!S212*Mapping!$C$2,0))</f>
        <v>0</v>
      </c>
      <c r="C212" s="1">
        <f>IF(Signals_EU!F212=1,Signals_EU!R212*Mapping!$C$3,IF(Signals_EU!F212=-1,-Signals_EU!S212*Mapping!$C$3,0))</f>
        <v>3.0000000000000006E-2</v>
      </c>
      <c r="D212" s="1">
        <f>IF(Signals_EU!C212=1,Signals_EU!R212*Mapping!$C$4,IF(Signals_EU!C212=-1,-Signals_EU!S212*Mapping!$C$4,0))</f>
        <v>-2.5000000000000005E-2</v>
      </c>
      <c r="E212" s="1">
        <f>IF(Signals_EU!C212=1,Signals_EU!R212*Mapping!$C$5,IF(Signals_EU!C212=-1,-Signals_EU!S212*Mapping!$C$5,0))</f>
        <v>-2.5000000000000005E-2</v>
      </c>
      <c r="F212" s="1">
        <f>IF(Signals_EU!H212=1,Signals_EU!R212*Mapping!$C$6,IF(Signals_EU!H212=-1,-Signals_EU!S212*Mapping!$C$6,0))</f>
        <v>0</v>
      </c>
      <c r="G212" s="1">
        <f>IF(Signals_EU!F212=1,Signals_EU!R212*Mapping!$C$7,IF(Signals_EU!F212=-1,-Signals_EU!S212*Mapping!$C$7,0))</f>
        <v>1.0000000000000002E-2</v>
      </c>
      <c r="H212" s="1">
        <f>IF(Signals_EU!D212=1,Signals_EU!R212*Mapping!$C$8,IF(Signals_EU!D212=-1,-Signals_EU!S212*Mapping!$C$8,0))</f>
        <v>0</v>
      </c>
      <c r="I212" s="1">
        <f>IF(Signals_EU!G212=1,Signals_EU!R212*Mapping!$C$9,IF(Signals_EU!G212=-1,-Signals_EU!S212*Mapping!$C$9,0))</f>
        <v>0</v>
      </c>
      <c r="J212" s="1">
        <f>IF(Signals_EU!H212=1,Signals_EU!R212*Mapping!$C$10,IF(Signals_EU!H212=-1,-Signals_EU!S212*Mapping!$C$10,0))</f>
        <v>0</v>
      </c>
      <c r="K212" s="1">
        <f>IF(Signals_EU!F212=1,Signals_EU!R212*Mapping!$C$11,IF(Signals_EU!F212=-1,-Signals_EU!S212*Mapping!$C$11,0))</f>
        <v>1.0000000000000002E-2</v>
      </c>
      <c r="L212" s="1">
        <f>IF(Signals_EU!N212=1,Signals_EU!R212*Mapping!$C$12,IF(Signals_EU!N212=-1,-Signals_EU!S212*Mapping!$C$12,0))</f>
        <v>5.000000000000001E-2</v>
      </c>
      <c r="M212" s="1">
        <f>IF(Signals_EU!I212=1,Signals_EU!R212*Mapping!$C$13,IF(Signals_EU!I212=-1,-Signals_EU!S212*Mapping!$C$13,0))</f>
        <v>0</v>
      </c>
      <c r="N212" s="1">
        <f>IF(Signals_EU!E212=1,Signals_EU!R212*Mapping!$C$14,IF(Signals_EU!E212=-1,-Signals_EU!S212*Mapping!$C$14,0))</f>
        <v>-5.000000000000001E-2</v>
      </c>
      <c r="O212" s="1">
        <f>0</f>
        <v>0</v>
      </c>
      <c r="P212" s="1">
        <f>0</f>
        <v>0</v>
      </c>
      <c r="Q212" s="1">
        <f>IF(Signals_EU!J212=1,Signals_EU!R212*Mapping!$C$17,IF(Signals_EU!J212=-1,-Signals_EU!S212*Mapping!$C$17,0))</f>
        <v>5.000000000000001E-2</v>
      </c>
      <c r="R212" s="1">
        <f>IF(Signals_EU!K212=1,Signals_EU!R212*Mapping!$C$18,IF(Signals_EU!K212=-1,-Signals_EU!S212*Mapping!$C$18,0))</f>
        <v>-5.000000000000001E-2</v>
      </c>
      <c r="S212" s="1">
        <f>IF(Signals_EU!M212=1,Signals_EU!R212*Mapping!$C$19,IF(Signals_EU!M212=-1,-Signals_EU!S212*Mapping!$C$19,0))</f>
        <v>0</v>
      </c>
      <c r="T212" s="1">
        <f>IF(Signals_EU!L212=1,Signals_EU!R212*Mapping!$C$20,IF(Signals_EU!L212=-1,-Signals_EU!S212*Mapping!$C$20,0))</f>
        <v>0</v>
      </c>
      <c r="U212" s="1">
        <f t="shared" si="3"/>
        <v>0</v>
      </c>
    </row>
    <row r="213" spans="1:21">
      <c r="A213" s="5">
        <f>Signals_EU!B213</f>
        <v>45474</v>
      </c>
      <c r="B213" s="1">
        <f>IF(Signals_EU!O213=1,Signals_EU!R213*Mapping!$C$2,IF(Signals_EU!O213=-1,-Signals_EU!S213*Mapping!$C$2,0))</f>
        <v>0</v>
      </c>
      <c r="C213" s="1">
        <f>IF(Signals_EU!F213=1,Signals_EU!R213*Mapping!$C$3,IF(Signals_EU!F213=-1,-Signals_EU!S213*Mapping!$C$3,0))</f>
        <v>3.0000000000000006E-2</v>
      </c>
      <c r="D213" s="1">
        <f>IF(Signals_EU!C213=1,Signals_EU!R213*Mapping!$C$4,IF(Signals_EU!C213=-1,-Signals_EU!S213*Mapping!$C$4,0))</f>
        <v>-2.5000000000000005E-2</v>
      </c>
      <c r="E213" s="1">
        <f>IF(Signals_EU!C213=1,Signals_EU!R213*Mapping!$C$5,IF(Signals_EU!C213=-1,-Signals_EU!S213*Mapping!$C$5,0))</f>
        <v>-2.5000000000000005E-2</v>
      </c>
      <c r="F213" s="1">
        <f>IF(Signals_EU!H213=1,Signals_EU!R213*Mapping!$C$6,IF(Signals_EU!H213=-1,-Signals_EU!S213*Mapping!$C$6,0))</f>
        <v>0</v>
      </c>
      <c r="G213" s="1">
        <f>IF(Signals_EU!F213=1,Signals_EU!R213*Mapping!$C$7,IF(Signals_EU!F213=-1,-Signals_EU!S213*Mapping!$C$7,0))</f>
        <v>1.0000000000000002E-2</v>
      </c>
      <c r="H213" s="1">
        <f>IF(Signals_EU!D213=1,Signals_EU!R213*Mapping!$C$8,IF(Signals_EU!D213=-1,-Signals_EU!S213*Mapping!$C$8,0))</f>
        <v>-5.000000000000001E-2</v>
      </c>
      <c r="I213" s="1">
        <f>IF(Signals_EU!G213=1,Signals_EU!R213*Mapping!$C$9,IF(Signals_EU!G213=-1,-Signals_EU!S213*Mapping!$C$9,0))</f>
        <v>0</v>
      </c>
      <c r="J213" s="1">
        <f>IF(Signals_EU!H213=1,Signals_EU!R213*Mapping!$C$10,IF(Signals_EU!H213=-1,-Signals_EU!S213*Mapping!$C$10,0))</f>
        <v>0</v>
      </c>
      <c r="K213" s="1">
        <f>IF(Signals_EU!F213=1,Signals_EU!R213*Mapping!$C$11,IF(Signals_EU!F213=-1,-Signals_EU!S213*Mapping!$C$11,0))</f>
        <v>1.0000000000000002E-2</v>
      </c>
      <c r="L213" s="1">
        <f>IF(Signals_EU!N213=1,Signals_EU!R213*Mapping!$C$12,IF(Signals_EU!N213=-1,-Signals_EU!S213*Mapping!$C$12,0))</f>
        <v>0</v>
      </c>
      <c r="M213" s="1">
        <f>IF(Signals_EU!I213=1,Signals_EU!R213*Mapping!$C$13,IF(Signals_EU!I213=-1,-Signals_EU!S213*Mapping!$C$13,0))</f>
        <v>0</v>
      </c>
      <c r="N213" s="1">
        <f>IF(Signals_EU!E213=1,Signals_EU!R213*Mapping!$C$14,IF(Signals_EU!E213=-1,-Signals_EU!S213*Mapping!$C$14,0))</f>
        <v>-5.000000000000001E-2</v>
      </c>
      <c r="O213" s="1">
        <f>0</f>
        <v>0</v>
      </c>
      <c r="P213" s="1">
        <f>0</f>
        <v>0</v>
      </c>
      <c r="Q213" s="1">
        <f>IF(Signals_EU!J213=1,Signals_EU!R213*Mapping!$C$17,IF(Signals_EU!J213=-1,-Signals_EU!S213*Mapping!$C$17,0))</f>
        <v>5.000000000000001E-2</v>
      </c>
      <c r="R213" s="1">
        <f>IF(Signals_EU!K213=1,Signals_EU!R213*Mapping!$C$18,IF(Signals_EU!K213=-1,-Signals_EU!S213*Mapping!$C$18,0))</f>
        <v>0</v>
      </c>
      <c r="S213" s="1">
        <f>IF(Signals_EU!M213=1,Signals_EU!R213*Mapping!$C$19,IF(Signals_EU!M213=-1,-Signals_EU!S213*Mapping!$C$19,0))</f>
        <v>0</v>
      </c>
      <c r="T213" s="1">
        <f>IF(Signals_EU!L213=1,Signals_EU!R213*Mapping!$C$20,IF(Signals_EU!L213=-1,-Signals_EU!S213*Mapping!$C$20,0))</f>
        <v>5.000000000000001E-2</v>
      </c>
      <c r="U213" s="1">
        <f t="shared" si="3"/>
        <v>0</v>
      </c>
    </row>
    <row r="214" spans="1:21">
      <c r="A214" s="5">
        <f>Signals_EU!B214</f>
        <v>45505</v>
      </c>
      <c r="B214" s="1">
        <f>IF(Signals_EU!O214=1,Signals_EU!R214*Mapping!$C$2,IF(Signals_EU!O214=-1,-Signals_EU!S214*Mapping!$C$2,0))</f>
        <v>0</v>
      </c>
      <c r="C214" s="1">
        <f>IF(Signals_EU!F214=1,Signals_EU!R214*Mapping!$C$3,IF(Signals_EU!F214=-1,-Signals_EU!S214*Mapping!$C$3,0))</f>
        <v>3.0000000000000006E-2</v>
      </c>
      <c r="D214" s="1">
        <f>IF(Signals_EU!C214=1,Signals_EU!R214*Mapping!$C$4,IF(Signals_EU!C214=-1,-Signals_EU!S214*Mapping!$C$4,0))</f>
        <v>-2.5000000000000005E-2</v>
      </c>
      <c r="E214" s="1">
        <f>IF(Signals_EU!C214=1,Signals_EU!R214*Mapping!$C$5,IF(Signals_EU!C214=-1,-Signals_EU!S214*Mapping!$C$5,0))</f>
        <v>-2.5000000000000005E-2</v>
      </c>
      <c r="F214" s="1">
        <f>IF(Signals_EU!H214=1,Signals_EU!R214*Mapping!$C$6,IF(Signals_EU!H214=-1,-Signals_EU!S214*Mapping!$C$6,0))</f>
        <v>0</v>
      </c>
      <c r="G214" s="1">
        <f>IF(Signals_EU!F214=1,Signals_EU!R214*Mapping!$C$7,IF(Signals_EU!F214=-1,-Signals_EU!S214*Mapping!$C$7,0))</f>
        <v>1.0000000000000002E-2</v>
      </c>
      <c r="H214" s="1">
        <f>IF(Signals_EU!D214=1,Signals_EU!R214*Mapping!$C$8,IF(Signals_EU!D214=-1,-Signals_EU!S214*Mapping!$C$8,0))</f>
        <v>-5.000000000000001E-2</v>
      </c>
      <c r="I214" s="1">
        <f>IF(Signals_EU!G214=1,Signals_EU!R214*Mapping!$C$9,IF(Signals_EU!G214=-1,-Signals_EU!S214*Mapping!$C$9,0))</f>
        <v>0</v>
      </c>
      <c r="J214" s="1">
        <f>IF(Signals_EU!H214=1,Signals_EU!R214*Mapping!$C$10,IF(Signals_EU!H214=-1,-Signals_EU!S214*Mapping!$C$10,0))</f>
        <v>0</v>
      </c>
      <c r="K214" s="1">
        <f>IF(Signals_EU!F214=1,Signals_EU!R214*Mapping!$C$11,IF(Signals_EU!F214=-1,-Signals_EU!S214*Mapping!$C$11,0))</f>
        <v>1.0000000000000002E-2</v>
      </c>
      <c r="L214" s="1">
        <f>IF(Signals_EU!N214=1,Signals_EU!R214*Mapping!$C$12,IF(Signals_EU!N214=-1,-Signals_EU!S214*Mapping!$C$12,0))</f>
        <v>0</v>
      </c>
      <c r="M214" s="1">
        <f>IF(Signals_EU!I214=1,Signals_EU!R214*Mapping!$C$13,IF(Signals_EU!I214=-1,-Signals_EU!S214*Mapping!$C$13,0))</f>
        <v>0</v>
      </c>
      <c r="N214" s="1">
        <f>IF(Signals_EU!E214=1,Signals_EU!R214*Mapping!$C$14,IF(Signals_EU!E214=-1,-Signals_EU!S214*Mapping!$C$14,0))</f>
        <v>-5.000000000000001E-2</v>
      </c>
      <c r="O214" s="1">
        <f>0</f>
        <v>0</v>
      </c>
      <c r="P214" s="1">
        <f>0</f>
        <v>0</v>
      </c>
      <c r="Q214" s="1">
        <f>IF(Signals_EU!J214=1,Signals_EU!R214*Mapping!$C$17,IF(Signals_EU!J214=-1,-Signals_EU!S214*Mapping!$C$17,0))</f>
        <v>5.000000000000001E-2</v>
      </c>
      <c r="R214" s="1">
        <f>IF(Signals_EU!K214=1,Signals_EU!R214*Mapping!$C$18,IF(Signals_EU!K214=-1,-Signals_EU!S214*Mapping!$C$18,0))</f>
        <v>0</v>
      </c>
      <c r="S214" s="1">
        <f>IF(Signals_EU!M214=1,Signals_EU!R214*Mapping!$C$19,IF(Signals_EU!M214=-1,-Signals_EU!S214*Mapping!$C$19,0))</f>
        <v>0</v>
      </c>
      <c r="T214" s="1">
        <f>IF(Signals_EU!L214=1,Signals_EU!R214*Mapping!$C$20,IF(Signals_EU!L214=-1,-Signals_EU!S214*Mapping!$C$20,0))</f>
        <v>5.000000000000001E-2</v>
      </c>
      <c r="U214" s="1">
        <f t="shared" si="3"/>
        <v>0</v>
      </c>
    </row>
    <row r="215" spans="1:21">
      <c r="A215" s="5">
        <f>Signals_EU!B215</f>
        <v>45536</v>
      </c>
      <c r="B215" s="1">
        <f>IF(Signals_EU!O215=1,Signals_EU!R215*Mapping!$C$2,IF(Signals_EU!O215=-1,-Signals_EU!S215*Mapping!$C$2,0))</f>
        <v>0</v>
      </c>
      <c r="C215" s="1">
        <f>IF(Signals_EU!F215=1,Signals_EU!R215*Mapping!$C$3,IF(Signals_EU!F215=-1,-Signals_EU!S215*Mapping!$C$3,0))</f>
        <v>3.0000000000000006E-2</v>
      </c>
      <c r="D215" s="1">
        <f>IF(Signals_EU!C215=1,Signals_EU!R215*Mapping!$C$4,IF(Signals_EU!C215=-1,-Signals_EU!S215*Mapping!$C$4,0))</f>
        <v>-2.5000000000000005E-2</v>
      </c>
      <c r="E215" s="1">
        <f>IF(Signals_EU!C215=1,Signals_EU!R215*Mapping!$C$5,IF(Signals_EU!C215=-1,-Signals_EU!S215*Mapping!$C$5,0))</f>
        <v>-2.5000000000000005E-2</v>
      </c>
      <c r="F215" s="1">
        <f>IF(Signals_EU!H215=1,Signals_EU!R215*Mapping!$C$6,IF(Signals_EU!H215=-1,-Signals_EU!S215*Mapping!$C$6,0))</f>
        <v>0</v>
      </c>
      <c r="G215" s="1">
        <f>IF(Signals_EU!F215=1,Signals_EU!R215*Mapping!$C$7,IF(Signals_EU!F215=-1,-Signals_EU!S215*Mapping!$C$7,0))</f>
        <v>1.0000000000000002E-2</v>
      </c>
      <c r="H215" s="1">
        <f>IF(Signals_EU!D215=1,Signals_EU!R215*Mapping!$C$8,IF(Signals_EU!D215=-1,-Signals_EU!S215*Mapping!$C$8,0))</f>
        <v>-5.000000000000001E-2</v>
      </c>
      <c r="I215" s="1">
        <f>IF(Signals_EU!G215=1,Signals_EU!R215*Mapping!$C$9,IF(Signals_EU!G215=-1,-Signals_EU!S215*Mapping!$C$9,0))</f>
        <v>0</v>
      </c>
      <c r="J215" s="1">
        <f>IF(Signals_EU!H215=1,Signals_EU!R215*Mapping!$C$10,IF(Signals_EU!H215=-1,-Signals_EU!S215*Mapping!$C$10,0))</f>
        <v>0</v>
      </c>
      <c r="K215" s="1">
        <f>IF(Signals_EU!F215=1,Signals_EU!R215*Mapping!$C$11,IF(Signals_EU!F215=-1,-Signals_EU!S215*Mapping!$C$11,0))</f>
        <v>1.0000000000000002E-2</v>
      </c>
      <c r="L215" s="1">
        <f>IF(Signals_EU!N215=1,Signals_EU!R215*Mapping!$C$12,IF(Signals_EU!N215=-1,-Signals_EU!S215*Mapping!$C$12,0))</f>
        <v>0</v>
      </c>
      <c r="M215" s="1">
        <f>IF(Signals_EU!I215=1,Signals_EU!R215*Mapping!$C$13,IF(Signals_EU!I215=-1,-Signals_EU!S215*Mapping!$C$13,0))</f>
        <v>0</v>
      </c>
      <c r="N215" s="1">
        <f>IF(Signals_EU!E215=1,Signals_EU!R215*Mapping!$C$14,IF(Signals_EU!E215=-1,-Signals_EU!S215*Mapping!$C$14,0))</f>
        <v>-5.000000000000001E-2</v>
      </c>
      <c r="O215" s="1">
        <f>0</f>
        <v>0</v>
      </c>
      <c r="P215" s="1">
        <f>0</f>
        <v>0</v>
      </c>
      <c r="Q215" s="1">
        <f>IF(Signals_EU!J215=1,Signals_EU!R215*Mapping!$C$17,IF(Signals_EU!J215=-1,-Signals_EU!S215*Mapping!$C$17,0))</f>
        <v>5.000000000000001E-2</v>
      </c>
      <c r="R215" s="1">
        <f>IF(Signals_EU!K215=1,Signals_EU!R215*Mapping!$C$18,IF(Signals_EU!K215=-1,-Signals_EU!S215*Mapping!$C$18,0))</f>
        <v>0</v>
      </c>
      <c r="S215" s="1">
        <f>IF(Signals_EU!M215=1,Signals_EU!R215*Mapping!$C$19,IF(Signals_EU!M215=-1,-Signals_EU!S215*Mapping!$C$19,0))</f>
        <v>0</v>
      </c>
      <c r="T215" s="1">
        <f>IF(Signals_EU!L215=1,Signals_EU!R215*Mapping!$C$20,IF(Signals_EU!L215=-1,-Signals_EU!S215*Mapping!$C$20,0))</f>
        <v>5.000000000000001E-2</v>
      </c>
      <c r="U215" s="1">
        <f t="shared" si="3"/>
        <v>0</v>
      </c>
    </row>
    <row r="216" spans="1:21">
      <c r="A216" s="5">
        <f>Signals_EU!B216</f>
        <v>45566</v>
      </c>
      <c r="B216" s="1">
        <f>IF(Signals_EU!O216=1,Signals_EU!R216*Mapping!$C$2,IF(Signals_EU!O216=-1,-Signals_EU!S216*Mapping!$C$2,0))</f>
        <v>-5.000000000000001E-2</v>
      </c>
      <c r="C216" s="1">
        <f>IF(Signals_EU!F216=1,Signals_EU!R216*Mapping!$C$3,IF(Signals_EU!F216=-1,-Signals_EU!S216*Mapping!$C$3,0))</f>
        <v>3.0000000000000006E-2</v>
      </c>
      <c r="D216" s="1">
        <f>IF(Signals_EU!C216=1,Signals_EU!R216*Mapping!$C$4,IF(Signals_EU!C216=-1,-Signals_EU!S216*Mapping!$C$4,0))</f>
        <v>-2.5000000000000005E-2</v>
      </c>
      <c r="E216" s="1">
        <f>IF(Signals_EU!C216=1,Signals_EU!R216*Mapping!$C$5,IF(Signals_EU!C216=-1,-Signals_EU!S216*Mapping!$C$5,0))</f>
        <v>-2.5000000000000005E-2</v>
      </c>
      <c r="F216" s="1">
        <f>IF(Signals_EU!H216=1,Signals_EU!R216*Mapping!$C$6,IF(Signals_EU!H216=-1,-Signals_EU!S216*Mapping!$C$6,0))</f>
        <v>0</v>
      </c>
      <c r="G216" s="1">
        <f>IF(Signals_EU!F216=1,Signals_EU!R216*Mapping!$C$7,IF(Signals_EU!F216=-1,-Signals_EU!S216*Mapping!$C$7,0))</f>
        <v>1.0000000000000002E-2</v>
      </c>
      <c r="H216" s="1">
        <f>IF(Signals_EU!D216=1,Signals_EU!R216*Mapping!$C$8,IF(Signals_EU!D216=-1,-Signals_EU!S216*Mapping!$C$8,0))</f>
        <v>0</v>
      </c>
      <c r="I216" s="1">
        <f>IF(Signals_EU!G216=1,Signals_EU!R216*Mapping!$C$9,IF(Signals_EU!G216=-1,-Signals_EU!S216*Mapping!$C$9,0))</f>
        <v>5.000000000000001E-2</v>
      </c>
      <c r="J216" s="1">
        <f>IF(Signals_EU!H216=1,Signals_EU!R216*Mapping!$C$10,IF(Signals_EU!H216=-1,-Signals_EU!S216*Mapping!$C$10,0))</f>
        <v>0</v>
      </c>
      <c r="K216" s="1">
        <f>IF(Signals_EU!F216=1,Signals_EU!R216*Mapping!$C$11,IF(Signals_EU!F216=-1,-Signals_EU!S216*Mapping!$C$11,0))</f>
        <v>1.0000000000000002E-2</v>
      </c>
      <c r="L216" s="1">
        <f>IF(Signals_EU!N216=1,Signals_EU!R216*Mapping!$C$12,IF(Signals_EU!N216=-1,-Signals_EU!S216*Mapping!$C$12,0))</f>
        <v>0</v>
      </c>
      <c r="M216" s="1">
        <f>IF(Signals_EU!I216=1,Signals_EU!R216*Mapping!$C$13,IF(Signals_EU!I216=-1,-Signals_EU!S216*Mapping!$C$13,0))</f>
        <v>0</v>
      </c>
      <c r="N216" s="1">
        <f>IF(Signals_EU!E216=1,Signals_EU!R216*Mapping!$C$14,IF(Signals_EU!E216=-1,-Signals_EU!S216*Mapping!$C$14,0))</f>
        <v>-5.000000000000001E-2</v>
      </c>
      <c r="O216" s="1">
        <f>0</f>
        <v>0</v>
      </c>
      <c r="P216" s="1">
        <f>0</f>
        <v>0</v>
      </c>
      <c r="Q216" s="1">
        <f>IF(Signals_EU!J216=1,Signals_EU!R216*Mapping!$C$17,IF(Signals_EU!J216=-1,-Signals_EU!S216*Mapping!$C$17,0))</f>
        <v>5.000000000000001E-2</v>
      </c>
      <c r="R216" s="1">
        <f>IF(Signals_EU!K216=1,Signals_EU!R216*Mapping!$C$18,IF(Signals_EU!K216=-1,-Signals_EU!S216*Mapping!$C$18,0))</f>
        <v>0</v>
      </c>
      <c r="S216" s="1">
        <f>IF(Signals_EU!M216=1,Signals_EU!R216*Mapping!$C$19,IF(Signals_EU!M216=-1,-Signals_EU!S216*Mapping!$C$19,0))</f>
        <v>0</v>
      </c>
      <c r="T216" s="1">
        <f>IF(Signals_EU!L216=1,Signals_EU!R216*Mapping!$C$20,IF(Signals_EU!L216=-1,-Signals_EU!S216*Mapping!$C$20,0))</f>
        <v>0</v>
      </c>
      <c r="U216" s="1">
        <f t="shared" si="3"/>
        <v>0</v>
      </c>
    </row>
    <row r="217" spans="1:21">
      <c r="A217" s="5">
        <f>Signals_EU!B217</f>
        <v>45597</v>
      </c>
      <c r="B217" s="1">
        <f>IF(Signals_EU!O217=1,Signals_EU!R217*Mapping!$C$2,IF(Signals_EU!O217=-1,-Signals_EU!S217*Mapping!$C$2,0))</f>
        <v>-5.000000000000001E-2</v>
      </c>
      <c r="C217" s="1">
        <f>IF(Signals_EU!F217=1,Signals_EU!R217*Mapping!$C$3,IF(Signals_EU!F217=-1,-Signals_EU!S217*Mapping!$C$3,0))</f>
        <v>3.0000000000000006E-2</v>
      </c>
      <c r="D217" s="1">
        <f>IF(Signals_EU!C217=1,Signals_EU!R217*Mapping!$C$4,IF(Signals_EU!C217=-1,-Signals_EU!S217*Mapping!$C$4,0))</f>
        <v>-2.5000000000000005E-2</v>
      </c>
      <c r="E217" s="1">
        <f>IF(Signals_EU!C217=1,Signals_EU!R217*Mapping!$C$5,IF(Signals_EU!C217=-1,-Signals_EU!S217*Mapping!$C$5,0))</f>
        <v>-2.5000000000000005E-2</v>
      </c>
      <c r="F217" s="1">
        <f>IF(Signals_EU!H217=1,Signals_EU!R217*Mapping!$C$6,IF(Signals_EU!H217=-1,-Signals_EU!S217*Mapping!$C$6,0))</f>
        <v>0</v>
      </c>
      <c r="G217" s="1">
        <f>IF(Signals_EU!F217=1,Signals_EU!R217*Mapping!$C$7,IF(Signals_EU!F217=-1,-Signals_EU!S217*Mapping!$C$7,0))</f>
        <v>1.0000000000000002E-2</v>
      </c>
      <c r="H217" s="1">
        <f>IF(Signals_EU!D217=1,Signals_EU!R217*Mapping!$C$8,IF(Signals_EU!D217=-1,-Signals_EU!S217*Mapping!$C$8,0))</f>
        <v>-5.000000000000001E-2</v>
      </c>
      <c r="I217" s="1">
        <f>IF(Signals_EU!G217=1,Signals_EU!R217*Mapping!$C$9,IF(Signals_EU!G217=-1,-Signals_EU!S217*Mapping!$C$9,0))</f>
        <v>0</v>
      </c>
      <c r="J217" s="1">
        <f>IF(Signals_EU!H217=1,Signals_EU!R217*Mapping!$C$10,IF(Signals_EU!H217=-1,-Signals_EU!S217*Mapping!$C$10,0))</f>
        <v>0</v>
      </c>
      <c r="K217" s="1">
        <f>IF(Signals_EU!F217=1,Signals_EU!R217*Mapping!$C$11,IF(Signals_EU!F217=-1,-Signals_EU!S217*Mapping!$C$11,0))</f>
        <v>1.0000000000000002E-2</v>
      </c>
      <c r="L217" s="1">
        <f>IF(Signals_EU!N217=1,Signals_EU!R217*Mapping!$C$12,IF(Signals_EU!N217=-1,-Signals_EU!S217*Mapping!$C$12,0))</f>
        <v>0</v>
      </c>
      <c r="M217" s="1">
        <f>IF(Signals_EU!I217=1,Signals_EU!R217*Mapping!$C$13,IF(Signals_EU!I217=-1,-Signals_EU!S217*Mapping!$C$13,0))</f>
        <v>0</v>
      </c>
      <c r="N217" s="1">
        <f>IF(Signals_EU!E217=1,Signals_EU!R217*Mapping!$C$14,IF(Signals_EU!E217=-1,-Signals_EU!S217*Mapping!$C$14,0))</f>
        <v>0</v>
      </c>
      <c r="O217" s="1">
        <f>0</f>
        <v>0</v>
      </c>
      <c r="P217" s="1">
        <f>0</f>
        <v>0</v>
      </c>
      <c r="Q217" s="1">
        <f>IF(Signals_EU!J217=1,Signals_EU!R217*Mapping!$C$17,IF(Signals_EU!J217=-1,-Signals_EU!S217*Mapping!$C$17,0))</f>
        <v>5.000000000000001E-2</v>
      </c>
      <c r="R217" s="1">
        <f>IF(Signals_EU!K217=1,Signals_EU!R217*Mapping!$C$18,IF(Signals_EU!K217=-1,-Signals_EU!S217*Mapping!$C$18,0))</f>
        <v>0</v>
      </c>
      <c r="S217" s="1">
        <f>IF(Signals_EU!M217=1,Signals_EU!R217*Mapping!$C$19,IF(Signals_EU!M217=-1,-Signals_EU!S217*Mapping!$C$19,0))</f>
        <v>0</v>
      </c>
      <c r="T217" s="1">
        <f>IF(Signals_EU!L217=1,Signals_EU!R217*Mapping!$C$20,IF(Signals_EU!L217=-1,-Signals_EU!S217*Mapping!$C$20,0))</f>
        <v>5.000000000000001E-2</v>
      </c>
      <c r="U217" s="1">
        <f t="shared" si="3"/>
        <v>0</v>
      </c>
    </row>
    <row r="218" spans="1:21">
      <c r="A218" s="5">
        <f>Signals_EU!B218</f>
        <v>45627</v>
      </c>
      <c r="B218" s="1">
        <f>IF(Signals_EU!O218=1,Signals_EU!R218*Mapping!$C$2,IF(Signals_EU!O218=-1,-Signals_EU!S218*Mapping!$C$2,0))</f>
        <v>-5.000000000000001E-2</v>
      </c>
      <c r="C218" s="1">
        <f>IF(Signals_EU!F218=1,Signals_EU!R218*Mapping!$C$3,IF(Signals_EU!F218=-1,-Signals_EU!S218*Mapping!$C$3,0))</f>
        <v>3.0000000000000006E-2</v>
      </c>
      <c r="D218" s="1">
        <f>IF(Signals_EU!C218=1,Signals_EU!R218*Mapping!$C$4,IF(Signals_EU!C218=-1,-Signals_EU!S218*Mapping!$C$4,0))</f>
        <v>-2.5000000000000005E-2</v>
      </c>
      <c r="E218" s="1">
        <f>IF(Signals_EU!C218=1,Signals_EU!R218*Mapping!$C$5,IF(Signals_EU!C218=-1,-Signals_EU!S218*Mapping!$C$5,0))</f>
        <v>-2.5000000000000005E-2</v>
      </c>
      <c r="F218" s="1">
        <f>IF(Signals_EU!H218=1,Signals_EU!R218*Mapping!$C$6,IF(Signals_EU!H218=-1,-Signals_EU!S218*Mapping!$C$6,0))</f>
        <v>0</v>
      </c>
      <c r="G218" s="1">
        <f>IF(Signals_EU!F218=1,Signals_EU!R218*Mapping!$C$7,IF(Signals_EU!F218=-1,-Signals_EU!S218*Mapping!$C$7,0))</f>
        <v>1.0000000000000002E-2</v>
      </c>
      <c r="H218" s="1">
        <f>IF(Signals_EU!D218=1,Signals_EU!R218*Mapping!$C$8,IF(Signals_EU!D218=-1,-Signals_EU!S218*Mapping!$C$8,0))</f>
        <v>0</v>
      </c>
      <c r="I218" s="1">
        <f>IF(Signals_EU!G218=1,Signals_EU!R218*Mapping!$C$9,IF(Signals_EU!G218=-1,-Signals_EU!S218*Mapping!$C$9,0))</f>
        <v>5.000000000000001E-2</v>
      </c>
      <c r="J218" s="1">
        <f>IF(Signals_EU!H218=1,Signals_EU!R218*Mapping!$C$10,IF(Signals_EU!H218=-1,-Signals_EU!S218*Mapping!$C$10,0))</f>
        <v>0</v>
      </c>
      <c r="K218" s="1">
        <f>IF(Signals_EU!F218=1,Signals_EU!R218*Mapping!$C$11,IF(Signals_EU!F218=-1,-Signals_EU!S218*Mapping!$C$11,0))</f>
        <v>1.0000000000000002E-2</v>
      </c>
      <c r="L218" s="1">
        <f>IF(Signals_EU!N218=1,Signals_EU!R218*Mapping!$C$12,IF(Signals_EU!N218=-1,-Signals_EU!S218*Mapping!$C$12,0))</f>
        <v>0</v>
      </c>
      <c r="M218" s="1">
        <f>IF(Signals_EU!I218=1,Signals_EU!R218*Mapping!$C$13,IF(Signals_EU!I218=-1,-Signals_EU!S218*Mapping!$C$13,0))</f>
        <v>0</v>
      </c>
      <c r="N218" s="1">
        <f>IF(Signals_EU!E218=1,Signals_EU!R218*Mapping!$C$14,IF(Signals_EU!E218=-1,-Signals_EU!S218*Mapping!$C$14,0))</f>
        <v>-5.000000000000001E-2</v>
      </c>
      <c r="O218" s="1">
        <f>0</f>
        <v>0</v>
      </c>
      <c r="P218" s="1">
        <f>0</f>
        <v>0</v>
      </c>
      <c r="Q218" s="1">
        <f>IF(Signals_EU!J218=1,Signals_EU!R218*Mapping!$C$17,IF(Signals_EU!J218=-1,-Signals_EU!S218*Mapping!$C$17,0))</f>
        <v>0</v>
      </c>
      <c r="R218" s="1">
        <f>IF(Signals_EU!K218=1,Signals_EU!R218*Mapping!$C$18,IF(Signals_EU!K218=-1,-Signals_EU!S218*Mapping!$C$18,0))</f>
        <v>5.000000000000001E-2</v>
      </c>
      <c r="S218" s="1">
        <f>IF(Signals_EU!M218=1,Signals_EU!R218*Mapping!$C$19,IF(Signals_EU!M218=-1,-Signals_EU!S218*Mapping!$C$19,0))</f>
        <v>0</v>
      </c>
      <c r="T218" s="1">
        <f>IF(Signals_EU!L218=1,Signals_EU!R218*Mapping!$C$20,IF(Signals_EU!L218=-1,-Signals_EU!S218*Mapping!$C$20,0))</f>
        <v>0</v>
      </c>
      <c r="U218" s="1">
        <f t="shared" si="3"/>
        <v>0</v>
      </c>
    </row>
    <row r="219" spans="1:21">
      <c r="A219" s="5">
        <f>Signals_EU!B219</f>
        <v>45658</v>
      </c>
      <c r="B219" s="1">
        <f>IF(Signals_EU!O219=1,Signals_EU!R219*Mapping!$C$2,IF(Signals_EU!O219=-1,-Signals_EU!S219*Mapping!$C$2,0))</f>
        <v>-5.000000000000001E-2</v>
      </c>
      <c r="C219" s="1">
        <f>IF(Signals_EU!F219=1,Signals_EU!R219*Mapping!$C$3,IF(Signals_EU!F219=-1,-Signals_EU!S219*Mapping!$C$3,0))</f>
        <v>3.0000000000000006E-2</v>
      </c>
      <c r="D219" s="1">
        <f>IF(Signals_EU!C219=1,Signals_EU!R219*Mapping!$C$4,IF(Signals_EU!C219=-1,-Signals_EU!S219*Mapping!$C$4,0))</f>
        <v>-2.5000000000000005E-2</v>
      </c>
      <c r="E219" s="1">
        <f>IF(Signals_EU!C219=1,Signals_EU!R219*Mapping!$C$5,IF(Signals_EU!C219=-1,-Signals_EU!S219*Mapping!$C$5,0))</f>
        <v>-2.5000000000000005E-2</v>
      </c>
      <c r="F219" s="1">
        <f>IF(Signals_EU!H219=1,Signals_EU!R219*Mapping!$C$6,IF(Signals_EU!H219=-1,-Signals_EU!S219*Mapping!$C$6,0))</f>
        <v>0</v>
      </c>
      <c r="G219" s="1">
        <f>IF(Signals_EU!F219=1,Signals_EU!R219*Mapping!$C$7,IF(Signals_EU!F219=-1,-Signals_EU!S219*Mapping!$C$7,0))</f>
        <v>1.0000000000000002E-2</v>
      </c>
      <c r="H219" s="1">
        <f>IF(Signals_EU!D219=1,Signals_EU!R219*Mapping!$C$8,IF(Signals_EU!D219=-1,-Signals_EU!S219*Mapping!$C$8,0))</f>
        <v>0</v>
      </c>
      <c r="I219" s="1">
        <f>IF(Signals_EU!G219=1,Signals_EU!R219*Mapping!$C$9,IF(Signals_EU!G219=-1,-Signals_EU!S219*Mapping!$C$9,0))</f>
        <v>5.000000000000001E-2</v>
      </c>
      <c r="J219" s="1">
        <f>IF(Signals_EU!H219=1,Signals_EU!R219*Mapping!$C$10,IF(Signals_EU!H219=-1,-Signals_EU!S219*Mapping!$C$10,0))</f>
        <v>0</v>
      </c>
      <c r="K219" s="1">
        <f>IF(Signals_EU!F219=1,Signals_EU!R219*Mapping!$C$11,IF(Signals_EU!F219=-1,-Signals_EU!S219*Mapping!$C$11,0))</f>
        <v>1.0000000000000002E-2</v>
      </c>
      <c r="L219" s="1">
        <f>IF(Signals_EU!N219=1,Signals_EU!R219*Mapping!$C$12,IF(Signals_EU!N219=-1,-Signals_EU!S219*Mapping!$C$12,0))</f>
        <v>0</v>
      </c>
      <c r="M219" s="1">
        <f>IF(Signals_EU!I219=1,Signals_EU!R219*Mapping!$C$13,IF(Signals_EU!I219=-1,-Signals_EU!S219*Mapping!$C$13,0))</f>
        <v>0</v>
      </c>
      <c r="N219" s="1">
        <f>IF(Signals_EU!E219=1,Signals_EU!R219*Mapping!$C$14,IF(Signals_EU!E219=-1,-Signals_EU!S219*Mapping!$C$14,0))</f>
        <v>-5.000000000000001E-2</v>
      </c>
      <c r="O219" s="1">
        <f>0</f>
        <v>0</v>
      </c>
      <c r="P219" s="1">
        <f>0</f>
        <v>0</v>
      </c>
      <c r="Q219" s="1">
        <f>IF(Signals_EU!J219=1,Signals_EU!R219*Mapping!$C$17,IF(Signals_EU!J219=-1,-Signals_EU!S219*Mapping!$C$17,0))</f>
        <v>0</v>
      </c>
      <c r="R219" s="1">
        <f>IF(Signals_EU!K219=1,Signals_EU!R219*Mapping!$C$18,IF(Signals_EU!K219=-1,-Signals_EU!S219*Mapping!$C$18,0))</f>
        <v>5.000000000000001E-2</v>
      </c>
      <c r="S219" s="1">
        <f>IF(Signals_EU!M219=1,Signals_EU!R219*Mapping!$C$19,IF(Signals_EU!M219=-1,-Signals_EU!S219*Mapping!$C$19,0))</f>
        <v>0</v>
      </c>
      <c r="T219" s="1">
        <f>IF(Signals_EU!L219=1,Signals_EU!R219*Mapping!$C$20,IF(Signals_EU!L219=-1,-Signals_EU!S219*Mapping!$C$20,0))</f>
        <v>0</v>
      </c>
      <c r="U219" s="1">
        <f t="shared" si="3"/>
        <v>0</v>
      </c>
    </row>
    <row r="220" spans="1:21">
      <c r="A220" s="5">
        <f>Signals_EU!B220</f>
        <v>45689</v>
      </c>
      <c r="B220" s="1">
        <f>IF(Signals_EU!O220=1,Signals_EU!R220*Mapping!$C$2,IF(Signals_EU!O220=-1,-Signals_EU!S220*Mapping!$C$2,0))</f>
        <v>-5.000000000000001E-2</v>
      </c>
      <c r="C220" s="1">
        <f>IF(Signals_EU!F220=1,Signals_EU!R220*Mapping!$C$3,IF(Signals_EU!F220=-1,-Signals_EU!S220*Mapping!$C$3,0))</f>
        <v>3.0000000000000006E-2</v>
      </c>
      <c r="D220" s="1">
        <f>IF(Signals_EU!C220=1,Signals_EU!R220*Mapping!$C$4,IF(Signals_EU!C220=-1,-Signals_EU!S220*Mapping!$C$4,0))</f>
        <v>-2.5000000000000005E-2</v>
      </c>
      <c r="E220" s="1">
        <f>IF(Signals_EU!C220=1,Signals_EU!R220*Mapping!$C$5,IF(Signals_EU!C220=-1,-Signals_EU!S220*Mapping!$C$5,0))</f>
        <v>-2.5000000000000005E-2</v>
      </c>
      <c r="F220" s="1">
        <f>IF(Signals_EU!H220=1,Signals_EU!R220*Mapping!$C$6,IF(Signals_EU!H220=-1,-Signals_EU!S220*Mapping!$C$6,0))</f>
        <v>0</v>
      </c>
      <c r="G220" s="1">
        <f>IF(Signals_EU!F220=1,Signals_EU!R220*Mapping!$C$7,IF(Signals_EU!F220=-1,-Signals_EU!S220*Mapping!$C$7,0))</f>
        <v>1.0000000000000002E-2</v>
      </c>
      <c r="H220" s="1">
        <f>IF(Signals_EU!D220=1,Signals_EU!R220*Mapping!$C$8,IF(Signals_EU!D220=-1,-Signals_EU!S220*Mapping!$C$8,0))</f>
        <v>0</v>
      </c>
      <c r="I220" s="1">
        <f>IF(Signals_EU!G220=1,Signals_EU!R220*Mapping!$C$9,IF(Signals_EU!G220=-1,-Signals_EU!S220*Mapping!$C$9,0))</f>
        <v>0</v>
      </c>
      <c r="J220" s="1">
        <f>IF(Signals_EU!H220=1,Signals_EU!R220*Mapping!$C$10,IF(Signals_EU!H220=-1,-Signals_EU!S220*Mapping!$C$10,0))</f>
        <v>0</v>
      </c>
      <c r="K220" s="1">
        <f>IF(Signals_EU!F220=1,Signals_EU!R220*Mapping!$C$11,IF(Signals_EU!F220=-1,-Signals_EU!S220*Mapping!$C$11,0))</f>
        <v>1.0000000000000002E-2</v>
      </c>
      <c r="L220" s="1">
        <f>IF(Signals_EU!N220=1,Signals_EU!R220*Mapping!$C$12,IF(Signals_EU!N220=-1,-Signals_EU!S220*Mapping!$C$12,0))</f>
        <v>0</v>
      </c>
      <c r="M220" s="1">
        <f>IF(Signals_EU!I220=1,Signals_EU!R220*Mapping!$C$13,IF(Signals_EU!I220=-1,-Signals_EU!S220*Mapping!$C$13,0))</f>
        <v>0</v>
      </c>
      <c r="N220" s="1">
        <f>IF(Signals_EU!E220=1,Signals_EU!R220*Mapping!$C$14,IF(Signals_EU!E220=-1,-Signals_EU!S220*Mapping!$C$14,0))</f>
        <v>-5.000000000000001E-2</v>
      </c>
      <c r="O220" s="1">
        <f>0</f>
        <v>0</v>
      </c>
      <c r="P220" s="1">
        <f>0</f>
        <v>0</v>
      </c>
      <c r="Q220" s="1">
        <f>IF(Signals_EU!J220=1,Signals_EU!R220*Mapping!$C$17,IF(Signals_EU!J220=-1,-Signals_EU!S220*Mapping!$C$17,0))</f>
        <v>5.000000000000001E-2</v>
      </c>
      <c r="R220" s="1">
        <f>IF(Signals_EU!K220=1,Signals_EU!R220*Mapping!$C$18,IF(Signals_EU!K220=-1,-Signals_EU!S220*Mapping!$C$18,0))</f>
        <v>5.000000000000001E-2</v>
      </c>
      <c r="S220" s="1">
        <f>IF(Signals_EU!M220=1,Signals_EU!R220*Mapping!$C$19,IF(Signals_EU!M220=-1,-Signals_EU!S220*Mapping!$C$19,0))</f>
        <v>0</v>
      </c>
      <c r="T220" s="1">
        <f>IF(Signals_EU!L220=1,Signals_EU!R220*Mapping!$C$20,IF(Signals_EU!L220=-1,-Signals_EU!S220*Mapping!$C$20,0))</f>
        <v>0</v>
      </c>
      <c r="U220" s="1">
        <f t="shared" si="3"/>
        <v>0</v>
      </c>
    </row>
    <row r="221" spans="1:21">
      <c r="A221" s="5">
        <f>Signals_EU!B221</f>
        <v>45717</v>
      </c>
      <c r="B221" s="1">
        <f>IF(Signals_EU!O221=1,Signals_EU!R221*Mapping!$C$2,IF(Signals_EU!O221=-1,-Signals_EU!S221*Mapping!$C$2,0))</f>
        <v>-5.000000000000001E-2</v>
      </c>
      <c r="C221" s="1">
        <f>IF(Signals_EU!F221=1,Signals_EU!R221*Mapping!$C$3,IF(Signals_EU!F221=-1,-Signals_EU!S221*Mapping!$C$3,0))</f>
        <v>3.0000000000000006E-2</v>
      </c>
      <c r="D221" s="1">
        <f>IF(Signals_EU!C221=1,Signals_EU!R221*Mapping!$C$4,IF(Signals_EU!C221=-1,-Signals_EU!S221*Mapping!$C$4,0))</f>
        <v>-2.5000000000000005E-2</v>
      </c>
      <c r="E221" s="1">
        <f>IF(Signals_EU!C221=1,Signals_EU!R221*Mapping!$C$5,IF(Signals_EU!C221=-1,-Signals_EU!S221*Mapping!$C$5,0))</f>
        <v>-2.5000000000000005E-2</v>
      </c>
      <c r="F221" s="1">
        <f>IF(Signals_EU!H221=1,Signals_EU!R221*Mapping!$C$6,IF(Signals_EU!H221=-1,-Signals_EU!S221*Mapping!$C$6,0))</f>
        <v>0</v>
      </c>
      <c r="G221" s="1">
        <f>IF(Signals_EU!F221=1,Signals_EU!R221*Mapping!$C$7,IF(Signals_EU!F221=-1,-Signals_EU!S221*Mapping!$C$7,0))</f>
        <v>1.0000000000000002E-2</v>
      </c>
      <c r="H221" s="1">
        <f>IF(Signals_EU!D221=1,Signals_EU!R221*Mapping!$C$8,IF(Signals_EU!D221=-1,-Signals_EU!S221*Mapping!$C$8,0))</f>
        <v>0</v>
      </c>
      <c r="I221" s="1">
        <f>IF(Signals_EU!G221=1,Signals_EU!R221*Mapping!$C$9,IF(Signals_EU!G221=-1,-Signals_EU!S221*Mapping!$C$9,0))</f>
        <v>0</v>
      </c>
      <c r="J221" s="1">
        <f>IF(Signals_EU!H221=1,Signals_EU!R221*Mapping!$C$10,IF(Signals_EU!H221=-1,-Signals_EU!S221*Mapping!$C$10,0))</f>
        <v>0</v>
      </c>
      <c r="K221" s="1">
        <f>IF(Signals_EU!F221=1,Signals_EU!R221*Mapping!$C$11,IF(Signals_EU!F221=-1,-Signals_EU!S221*Mapping!$C$11,0))</f>
        <v>1.0000000000000002E-2</v>
      </c>
      <c r="L221" s="1">
        <f>IF(Signals_EU!N221=1,Signals_EU!R221*Mapping!$C$12,IF(Signals_EU!N221=-1,-Signals_EU!S221*Mapping!$C$12,0))</f>
        <v>0</v>
      </c>
      <c r="M221" s="1">
        <f>IF(Signals_EU!I221=1,Signals_EU!R221*Mapping!$C$13,IF(Signals_EU!I221=-1,-Signals_EU!S221*Mapping!$C$13,0))</f>
        <v>0</v>
      </c>
      <c r="N221" s="1">
        <f>IF(Signals_EU!E221=1,Signals_EU!R221*Mapping!$C$14,IF(Signals_EU!E221=-1,-Signals_EU!S221*Mapping!$C$14,0))</f>
        <v>-5.000000000000001E-2</v>
      </c>
      <c r="O221" s="1">
        <f>0</f>
        <v>0</v>
      </c>
      <c r="P221" s="1">
        <f>0</f>
        <v>0</v>
      </c>
      <c r="Q221" s="1">
        <f>IF(Signals_EU!J221=1,Signals_EU!R221*Mapping!$C$17,IF(Signals_EU!J221=-1,-Signals_EU!S221*Mapping!$C$17,0))</f>
        <v>5.000000000000001E-2</v>
      </c>
      <c r="R221" s="1">
        <f>IF(Signals_EU!K221=1,Signals_EU!R221*Mapping!$C$18,IF(Signals_EU!K221=-1,-Signals_EU!S221*Mapping!$C$18,0))</f>
        <v>0</v>
      </c>
      <c r="S221" s="1">
        <f>IF(Signals_EU!M221=1,Signals_EU!R221*Mapping!$C$19,IF(Signals_EU!M221=-1,-Signals_EU!S221*Mapping!$C$19,0))</f>
        <v>0</v>
      </c>
      <c r="T221" s="1">
        <f>IF(Signals_EU!L221=1,Signals_EU!R221*Mapping!$C$20,IF(Signals_EU!L221=-1,-Signals_EU!S221*Mapping!$C$20,0))</f>
        <v>5.000000000000001E-2</v>
      </c>
      <c r="U221" s="1">
        <f t="shared" si="3"/>
        <v>0</v>
      </c>
    </row>
    <row r="222" spans="1:21">
      <c r="A222" s="5">
        <f>Signals_EU!B222</f>
        <v>45748</v>
      </c>
      <c r="B222" s="1">
        <f>IF(Signals_EU!O222=1,Signals_EU!R222*Mapping!$C$2,IF(Signals_EU!O222=-1,-Signals_EU!S222*Mapping!$C$2,0))</f>
        <v>-5.000000000000001E-2</v>
      </c>
      <c r="C222" s="1">
        <f>IF(Signals_EU!F222=1,Signals_EU!R222*Mapping!$C$3,IF(Signals_EU!F222=-1,-Signals_EU!S222*Mapping!$C$3,0))</f>
        <v>3.0000000000000006E-2</v>
      </c>
      <c r="D222" s="1">
        <f>IF(Signals_EU!C222=1,Signals_EU!R222*Mapping!$C$4,IF(Signals_EU!C222=-1,-Signals_EU!S222*Mapping!$C$4,0))</f>
        <v>-2.5000000000000005E-2</v>
      </c>
      <c r="E222" s="1">
        <f>IF(Signals_EU!C222=1,Signals_EU!R222*Mapping!$C$5,IF(Signals_EU!C222=-1,-Signals_EU!S222*Mapping!$C$5,0))</f>
        <v>-2.5000000000000005E-2</v>
      </c>
      <c r="F222" s="1">
        <f>IF(Signals_EU!H222=1,Signals_EU!R222*Mapping!$C$6,IF(Signals_EU!H222=-1,-Signals_EU!S222*Mapping!$C$6,0))</f>
        <v>0</v>
      </c>
      <c r="G222" s="1">
        <f>IF(Signals_EU!F222=1,Signals_EU!R222*Mapping!$C$7,IF(Signals_EU!F222=-1,-Signals_EU!S222*Mapping!$C$7,0))</f>
        <v>1.0000000000000002E-2</v>
      </c>
      <c r="H222" s="1">
        <f>IF(Signals_EU!D222=1,Signals_EU!R222*Mapping!$C$8,IF(Signals_EU!D222=-1,-Signals_EU!S222*Mapping!$C$8,0))</f>
        <v>0</v>
      </c>
      <c r="I222" s="1">
        <f>IF(Signals_EU!G222=1,Signals_EU!R222*Mapping!$C$9,IF(Signals_EU!G222=-1,-Signals_EU!S222*Mapping!$C$9,0))</f>
        <v>5.000000000000001E-2</v>
      </c>
      <c r="J222" s="1">
        <f>IF(Signals_EU!H222=1,Signals_EU!R222*Mapping!$C$10,IF(Signals_EU!H222=-1,-Signals_EU!S222*Mapping!$C$10,0))</f>
        <v>0</v>
      </c>
      <c r="K222" s="1">
        <f>IF(Signals_EU!F222=1,Signals_EU!R222*Mapping!$C$11,IF(Signals_EU!F222=-1,-Signals_EU!S222*Mapping!$C$11,0))</f>
        <v>1.0000000000000002E-2</v>
      </c>
      <c r="L222" s="1">
        <f>IF(Signals_EU!N222=1,Signals_EU!R222*Mapping!$C$12,IF(Signals_EU!N222=-1,-Signals_EU!S222*Mapping!$C$12,0))</f>
        <v>0</v>
      </c>
      <c r="M222" s="1">
        <f>IF(Signals_EU!I222=1,Signals_EU!R222*Mapping!$C$13,IF(Signals_EU!I222=-1,-Signals_EU!S222*Mapping!$C$13,0))</f>
        <v>0</v>
      </c>
      <c r="N222" s="1">
        <f>IF(Signals_EU!E222=1,Signals_EU!R222*Mapping!$C$14,IF(Signals_EU!E222=-1,-Signals_EU!S222*Mapping!$C$14,0))</f>
        <v>-5.000000000000001E-2</v>
      </c>
      <c r="O222" s="1">
        <f>0</f>
        <v>0</v>
      </c>
      <c r="P222" s="1">
        <f>0</f>
        <v>0</v>
      </c>
      <c r="Q222" s="1">
        <f>IF(Signals_EU!J222=1,Signals_EU!R222*Mapping!$C$17,IF(Signals_EU!J222=-1,-Signals_EU!S222*Mapping!$C$17,0))</f>
        <v>0</v>
      </c>
      <c r="R222" s="1">
        <f>IF(Signals_EU!K222=1,Signals_EU!R222*Mapping!$C$18,IF(Signals_EU!K222=-1,-Signals_EU!S222*Mapping!$C$18,0))</f>
        <v>0</v>
      </c>
      <c r="S222" s="1">
        <f>IF(Signals_EU!M222=1,Signals_EU!R222*Mapping!$C$19,IF(Signals_EU!M222=-1,-Signals_EU!S222*Mapping!$C$19,0))</f>
        <v>0</v>
      </c>
      <c r="T222" s="1">
        <f>IF(Signals_EU!L222=1,Signals_EU!R222*Mapping!$C$20,IF(Signals_EU!L222=-1,-Signals_EU!S222*Mapping!$C$20,0))</f>
        <v>5.000000000000001E-2</v>
      </c>
      <c r="U222" s="1">
        <f t="shared" si="3"/>
        <v>0</v>
      </c>
    </row>
    <row r="223" spans="1:21">
      <c r="A223" s="5">
        <f>Signals_EU!B223</f>
        <v>45778</v>
      </c>
      <c r="B223" s="1">
        <f>IF(Signals_EU!O223=1,Signals_EU!R223*Mapping!$C$2,IF(Signals_EU!O223=-1,-Signals_EU!S223*Mapping!$C$2,0))</f>
        <v>-5.000000000000001E-2</v>
      </c>
      <c r="C223" s="1">
        <f>IF(Signals_EU!F223=1,Signals_EU!R223*Mapping!$C$3,IF(Signals_EU!F223=-1,-Signals_EU!S223*Mapping!$C$3,0))</f>
        <v>3.0000000000000006E-2</v>
      </c>
      <c r="D223" s="1">
        <f>IF(Signals_EU!C223=1,Signals_EU!R223*Mapping!$C$4,IF(Signals_EU!C223=-1,-Signals_EU!S223*Mapping!$C$4,0))</f>
        <v>-2.5000000000000005E-2</v>
      </c>
      <c r="E223" s="1">
        <f>IF(Signals_EU!C223=1,Signals_EU!R223*Mapping!$C$5,IF(Signals_EU!C223=-1,-Signals_EU!S223*Mapping!$C$5,0))</f>
        <v>-2.5000000000000005E-2</v>
      </c>
      <c r="F223" s="1">
        <f>IF(Signals_EU!H223=1,Signals_EU!R223*Mapping!$C$6,IF(Signals_EU!H223=-1,-Signals_EU!S223*Mapping!$C$6,0))</f>
        <v>1.0000000000000002E-2</v>
      </c>
      <c r="G223" s="1">
        <f>IF(Signals_EU!F223=1,Signals_EU!R223*Mapping!$C$7,IF(Signals_EU!F223=-1,-Signals_EU!S223*Mapping!$C$7,0))</f>
        <v>1.0000000000000002E-2</v>
      </c>
      <c r="H223" s="1">
        <f>IF(Signals_EU!D223=1,Signals_EU!R223*Mapping!$C$8,IF(Signals_EU!D223=-1,-Signals_EU!S223*Mapping!$C$8,0))</f>
        <v>0</v>
      </c>
      <c r="I223" s="1">
        <f>IF(Signals_EU!G223=1,Signals_EU!R223*Mapping!$C$9,IF(Signals_EU!G223=-1,-Signals_EU!S223*Mapping!$C$9,0))</f>
        <v>0</v>
      </c>
      <c r="J223" s="1">
        <f>IF(Signals_EU!H223=1,Signals_EU!R223*Mapping!$C$10,IF(Signals_EU!H223=-1,-Signals_EU!S223*Mapping!$C$10,0))</f>
        <v>4.0000000000000008E-2</v>
      </c>
      <c r="K223" s="1">
        <f>IF(Signals_EU!F223=1,Signals_EU!R223*Mapping!$C$11,IF(Signals_EU!F223=-1,-Signals_EU!S223*Mapping!$C$11,0))</f>
        <v>1.0000000000000002E-2</v>
      </c>
      <c r="L223" s="1">
        <f>IF(Signals_EU!N223=1,Signals_EU!R223*Mapping!$C$12,IF(Signals_EU!N223=-1,-Signals_EU!S223*Mapping!$C$12,0))</f>
        <v>0</v>
      </c>
      <c r="M223" s="1">
        <f>IF(Signals_EU!I223=1,Signals_EU!R223*Mapping!$C$13,IF(Signals_EU!I223=-1,-Signals_EU!S223*Mapping!$C$13,0))</f>
        <v>0</v>
      </c>
      <c r="N223" s="1">
        <f>IF(Signals_EU!E223=1,Signals_EU!R223*Mapping!$C$14,IF(Signals_EU!E223=-1,-Signals_EU!S223*Mapping!$C$14,0))</f>
        <v>-5.000000000000001E-2</v>
      </c>
      <c r="O223" s="1">
        <f>0</f>
        <v>0</v>
      </c>
      <c r="P223" s="1">
        <f>0</f>
        <v>0</v>
      </c>
      <c r="Q223" s="1">
        <f>IF(Signals_EU!J223=1,Signals_EU!R223*Mapping!$C$17,IF(Signals_EU!J223=-1,-Signals_EU!S223*Mapping!$C$17,0))</f>
        <v>0</v>
      </c>
      <c r="R223" s="1">
        <f>IF(Signals_EU!K223=1,Signals_EU!R223*Mapping!$C$18,IF(Signals_EU!K223=-1,-Signals_EU!S223*Mapping!$C$18,0))</f>
        <v>0</v>
      </c>
      <c r="S223" s="1">
        <f>IF(Signals_EU!M223=1,Signals_EU!R223*Mapping!$C$19,IF(Signals_EU!M223=-1,-Signals_EU!S223*Mapping!$C$19,0))</f>
        <v>0</v>
      </c>
      <c r="T223" s="1">
        <f>IF(Signals_EU!L223=1,Signals_EU!R223*Mapping!$C$20,IF(Signals_EU!L223=-1,-Signals_EU!S223*Mapping!$C$20,0))</f>
        <v>5.000000000000001E-2</v>
      </c>
      <c r="U223" s="1">
        <f t="shared" si="3"/>
        <v>0</v>
      </c>
    </row>
    <row r="224" spans="1:21">
      <c r="A224" s="5">
        <f>Signals_EU!B224</f>
        <v>45809</v>
      </c>
      <c r="B224" s="1">
        <f>IF(Signals_EU!O224=1,Signals_EU!R224*Mapping!$C$2,IF(Signals_EU!O224=-1,-Signals_EU!S224*Mapping!$C$2,0))</f>
        <v>0</v>
      </c>
      <c r="C224" s="1">
        <f>IF(Signals_EU!F224=1,Signals_EU!R224*Mapping!$C$3,IF(Signals_EU!F224=-1,-Signals_EU!S224*Mapping!$C$3,0))</f>
        <v>0</v>
      </c>
      <c r="D224" s="1">
        <f>IF(Signals_EU!C224=1,Signals_EU!R224*Mapping!$C$4,IF(Signals_EU!C224=-1,-Signals_EU!S224*Mapping!$C$4,0))</f>
        <v>-2.5000000000000005E-2</v>
      </c>
      <c r="E224" s="1">
        <f>IF(Signals_EU!C224=1,Signals_EU!R224*Mapping!$C$5,IF(Signals_EU!C224=-1,-Signals_EU!S224*Mapping!$C$5,0))</f>
        <v>-2.5000000000000005E-2</v>
      </c>
      <c r="F224" s="1">
        <f>IF(Signals_EU!H224=1,Signals_EU!R224*Mapping!$C$6,IF(Signals_EU!H224=-1,-Signals_EU!S224*Mapping!$C$6,0))</f>
        <v>0</v>
      </c>
      <c r="G224" s="1">
        <f>IF(Signals_EU!F224=1,Signals_EU!R224*Mapping!$C$7,IF(Signals_EU!F224=-1,-Signals_EU!S224*Mapping!$C$7,0))</f>
        <v>0</v>
      </c>
      <c r="H224" s="1">
        <f>IF(Signals_EU!D224=1,Signals_EU!R224*Mapping!$C$8,IF(Signals_EU!D224=-1,-Signals_EU!S224*Mapping!$C$8,0))</f>
        <v>0</v>
      </c>
      <c r="I224" s="1">
        <f>IF(Signals_EU!G224=1,Signals_EU!R224*Mapping!$C$9,IF(Signals_EU!G224=-1,-Signals_EU!S224*Mapping!$C$9,0))</f>
        <v>5.000000000000001E-2</v>
      </c>
      <c r="J224" s="1">
        <f>IF(Signals_EU!H224=1,Signals_EU!R224*Mapping!$C$10,IF(Signals_EU!H224=-1,-Signals_EU!S224*Mapping!$C$10,0))</f>
        <v>0</v>
      </c>
      <c r="K224" s="1">
        <f>IF(Signals_EU!F224=1,Signals_EU!R224*Mapping!$C$11,IF(Signals_EU!F224=-1,-Signals_EU!S224*Mapping!$C$11,0))</f>
        <v>0</v>
      </c>
      <c r="L224" s="1">
        <f>IF(Signals_EU!N224=1,Signals_EU!R224*Mapping!$C$12,IF(Signals_EU!N224=-1,-Signals_EU!S224*Mapping!$C$12,0))</f>
        <v>0</v>
      </c>
      <c r="M224" s="1">
        <f>IF(Signals_EU!I224=1,Signals_EU!R224*Mapping!$C$13,IF(Signals_EU!I224=-1,-Signals_EU!S224*Mapping!$C$13,0))</f>
        <v>-5.000000000000001E-2</v>
      </c>
      <c r="N224" s="1">
        <f>IF(Signals_EU!E224=1,Signals_EU!R224*Mapping!$C$14,IF(Signals_EU!E224=-1,-Signals_EU!S224*Mapping!$C$14,0))</f>
        <v>-5.000000000000001E-2</v>
      </c>
      <c r="O224" s="1">
        <f>0</f>
        <v>0</v>
      </c>
      <c r="P224" s="1">
        <f>0</f>
        <v>0</v>
      </c>
      <c r="Q224" s="1">
        <f>IF(Signals_EU!J224=1,Signals_EU!R224*Mapping!$C$17,IF(Signals_EU!J224=-1,-Signals_EU!S224*Mapping!$C$17,0))</f>
        <v>0</v>
      </c>
      <c r="R224" s="1">
        <f>IF(Signals_EU!K224=1,Signals_EU!R224*Mapping!$C$18,IF(Signals_EU!K224=-1,-Signals_EU!S224*Mapping!$C$18,0))</f>
        <v>5.000000000000001E-2</v>
      </c>
      <c r="S224" s="1">
        <f>IF(Signals_EU!M224=1,Signals_EU!R224*Mapping!$C$19,IF(Signals_EU!M224=-1,-Signals_EU!S224*Mapping!$C$19,0))</f>
        <v>0</v>
      </c>
      <c r="T224" s="1">
        <f>IF(Signals_EU!L224=1,Signals_EU!R224*Mapping!$C$20,IF(Signals_EU!L224=-1,-Signals_EU!S224*Mapping!$C$20,0))</f>
        <v>5.000000000000001E-2</v>
      </c>
      <c r="U224" s="1">
        <f t="shared" si="3"/>
        <v>0</v>
      </c>
    </row>
    <row r="225" spans="1:21">
      <c r="A225" s="5">
        <f>Signals_EU!B225</f>
        <v>45839</v>
      </c>
      <c r="B225" s="1">
        <f>IF(Signals_EU!O225=1,Signals_EU!R225*Mapping!$C$2,IF(Signals_EU!O225=-1,-Signals_EU!S225*Mapping!$C$2,0))</f>
        <v>0</v>
      </c>
      <c r="C225" s="1">
        <f>IF(Signals_EU!F225=1,Signals_EU!R225*Mapping!$C$3,IF(Signals_EU!F225=-1,-Signals_EU!S225*Mapping!$C$3,0))</f>
        <v>3.0000000000000006E-2</v>
      </c>
      <c r="D225" s="1">
        <f>IF(Signals_EU!C225=1,Signals_EU!R225*Mapping!$C$4,IF(Signals_EU!C225=-1,-Signals_EU!S225*Mapping!$C$4,0))</f>
        <v>-2.5000000000000005E-2</v>
      </c>
      <c r="E225" s="1">
        <f>IF(Signals_EU!C225=1,Signals_EU!R225*Mapping!$C$5,IF(Signals_EU!C225=-1,-Signals_EU!S225*Mapping!$C$5,0))</f>
        <v>-2.5000000000000005E-2</v>
      </c>
      <c r="F225" s="1">
        <f>IF(Signals_EU!H225=1,Signals_EU!R225*Mapping!$C$6,IF(Signals_EU!H225=-1,-Signals_EU!S225*Mapping!$C$6,0))</f>
        <v>0</v>
      </c>
      <c r="G225" s="1">
        <f>IF(Signals_EU!F225=1,Signals_EU!R225*Mapping!$C$7,IF(Signals_EU!F225=-1,-Signals_EU!S225*Mapping!$C$7,0))</f>
        <v>1.0000000000000002E-2</v>
      </c>
      <c r="H225" s="1">
        <f>IF(Signals_EU!D225=1,Signals_EU!R225*Mapping!$C$8,IF(Signals_EU!D225=-1,-Signals_EU!S225*Mapping!$C$8,0))</f>
        <v>0</v>
      </c>
      <c r="I225" s="1">
        <f>IF(Signals_EU!G225=1,Signals_EU!R225*Mapping!$C$9,IF(Signals_EU!G225=-1,-Signals_EU!S225*Mapping!$C$9,0))</f>
        <v>0</v>
      </c>
      <c r="J225" s="1">
        <f>IF(Signals_EU!H225=1,Signals_EU!R225*Mapping!$C$10,IF(Signals_EU!H225=-1,-Signals_EU!S225*Mapping!$C$10,0))</f>
        <v>0</v>
      </c>
      <c r="K225" s="1">
        <f>IF(Signals_EU!F225=1,Signals_EU!R225*Mapping!$C$11,IF(Signals_EU!F225=-1,-Signals_EU!S225*Mapping!$C$11,0))</f>
        <v>1.0000000000000002E-2</v>
      </c>
      <c r="L225" s="1">
        <f>IF(Signals_EU!N225=1,Signals_EU!R225*Mapping!$C$12,IF(Signals_EU!N225=-1,-Signals_EU!S225*Mapping!$C$12,0))</f>
        <v>0</v>
      </c>
      <c r="M225" s="1">
        <f>IF(Signals_EU!I225=1,Signals_EU!R225*Mapping!$C$13,IF(Signals_EU!I225=-1,-Signals_EU!S225*Mapping!$C$13,0))</f>
        <v>-5.000000000000001E-2</v>
      </c>
      <c r="N225" s="1">
        <f>IF(Signals_EU!E225=1,Signals_EU!R225*Mapping!$C$14,IF(Signals_EU!E225=-1,-Signals_EU!S225*Mapping!$C$14,0))</f>
        <v>-5.000000000000001E-2</v>
      </c>
      <c r="O225" s="1">
        <f>0</f>
        <v>0</v>
      </c>
      <c r="P225" s="1">
        <f>0</f>
        <v>0</v>
      </c>
      <c r="Q225" s="1">
        <f>IF(Signals_EU!J225=1,Signals_EU!R225*Mapping!$C$17,IF(Signals_EU!J225=-1,-Signals_EU!S225*Mapping!$C$17,0))</f>
        <v>0</v>
      </c>
      <c r="R225" s="1">
        <f>IF(Signals_EU!K225=1,Signals_EU!R225*Mapping!$C$18,IF(Signals_EU!K225=-1,-Signals_EU!S225*Mapping!$C$18,0))</f>
        <v>5.000000000000001E-2</v>
      </c>
      <c r="S225" s="1">
        <f>IF(Signals_EU!M225=1,Signals_EU!R225*Mapping!$C$19,IF(Signals_EU!M225=-1,-Signals_EU!S225*Mapping!$C$19,0))</f>
        <v>0</v>
      </c>
      <c r="T225" s="1">
        <f>IF(Signals_EU!L225=1,Signals_EU!R225*Mapping!$C$20,IF(Signals_EU!L225=-1,-Signals_EU!S225*Mapping!$C$20,0))</f>
        <v>5.000000000000001E-2</v>
      </c>
      <c r="U225" s="1">
        <f t="shared" si="3"/>
        <v>0</v>
      </c>
    </row>
    <row r="226" spans="1:21">
      <c r="A226" s="5">
        <f>Signals_EU!B226</f>
        <v>45870</v>
      </c>
      <c r="B226" s="1">
        <f>IF(Signals_EU!O226=1,Signals_EU!R226*Mapping!$C$2,IF(Signals_EU!O226=-1,-Signals_EU!S226*Mapping!$C$2,0))</f>
        <v>-5.000000000000001E-2</v>
      </c>
      <c r="C226" s="1">
        <f>IF(Signals_EU!F226=1,Signals_EU!R226*Mapping!$C$3,IF(Signals_EU!F226=-1,-Signals_EU!S226*Mapping!$C$3,0))</f>
        <v>3.0000000000000006E-2</v>
      </c>
      <c r="D226" s="1">
        <f>IF(Signals_EU!C226=1,Signals_EU!R226*Mapping!$C$4,IF(Signals_EU!C226=-1,-Signals_EU!S226*Mapping!$C$4,0))</f>
        <v>0</v>
      </c>
      <c r="E226" s="1">
        <f>IF(Signals_EU!C226=1,Signals_EU!R226*Mapping!$C$5,IF(Signals_EU!C226=-1,-Signals_EU!S226*Mapping!$C$5,0))</f>
        <v>0</v>
      </c>
      <c r="F226" s="1">
        <f>IF(Signals_EU!H226=1,Signals_EU!R226*Mapping!$C$6,IF(Signals_EU!H226=-1,-Signals_EU!S226*Mapping!$C$6,0))</f>
        <v>0</v>
      </c>
      <c r="G226" s="1">
        <f>IF(Signals_EU!F226=1,Signals_EU!R226*Mapping!$C$7,IF(Signals_EU!F226=-1,-Signals_EU!S226*Mapping!$C$7,0))</f>
        <v>1.0000000000000002E-2</v>
      </c>
      <c r="H226" s="1">
        <f>IF(Signals_EU!D226=1,Signals_EU!R226*Mapping!$C$8,IF(Signals_EU!D226=-1,-Signals_EU!S226*Mapping!$C$8,0))</f>
        <v>0</v>
      </c>
      <c r="I226" s="1">
        <f>IF(Signals_EU!G226=1,Signals_EU!R226*Mapping!$C$9,IF(Signals_EU!G226=-1,-Signals_EU!S226*Mapping!$C$9,0))</f>
        <v>0</v>
      </c>
      <c r="J226" s="1">
        <f>IF(Signals_EU!H226=1,Signals_EU!R226*Mapping!$C$10,IF(Signals_EU!H226=-1,-Signals_EU!S226*Mapping!$C$10,0))</f>
        <v>0</v>
      </c>
      <c r="K226" s="1">
        <f>IF(Signals_EU!F226=1,Signals_EU!R226*Mapping!$C$11,IF(Signals_EU!F226=-1,-Signals_EU!S226*Mapping!$C$11,0))</f>
        <v>1.0000000000000002E-2</v>
      </c>
      <c r="L226" s="1">
        <f>IF(Signals_EU!N226=1,Signals_EU!R226*Mapping!$C$12,IF(Signals_EU!N226=-1,-Signals_EU!S226*Mapping!$C$12,0))</f>
        <v>0</v>
      </c>
      <c r="M226" s="1">
        <f>IF(Signals_EU!I226=1,Signals_EU!R226*Mapping!$C$13,IF(Signals_EU!I226=-1,-Signals_EU!S226*Mapping!$C$13,0))</f>
        <v>-5.000000000000001E-2</v>
      </c>
      <c r="N226" s="1">
        <f>IF(Signals_EU!E226=1,Signals_EU!R226*Mapping!$C$14,IF(Signals_EU!E226=-1,-Signals_EU!S226*Mapping!$C$14,0))</f>
        <v>-5.000000000000001E-2</v>
      </c>
      <c r="O226" s="1">
        <f>0</f>
        <v>0</v>
      </c>
      <c r="P226" s="1">
        <f>0</f>
        <v>0</v>
      </c>
      <c r="Q226" s="1">
        <f>IF(Signals_EU!J226=1,Signals_EU!R226*Mapping!$C$17,IF(Signals_EU!J226=-1,-Signals_EU!S226*Mapping!$C$17,0))</f>
        <v>0</v>
      </c>
      <c r="R226" s="1">
        <f>IF(Signals_EU!K226=1,Signals_EU!R226*Mapping!$C$18,IF(Signals_EU!K226=-1,-Signals_EU!S226*Mapping!$C$18,0))</f>
        <v>5.000000000000001E-2</v>
      </c>
      <c r="S226" s="1">
        <f>IF(Signals_EU!M226=1,Signals_EU!R226*Mapping!$C$19,IF(Signals_EU!M226=-1,-Signals_EU!S226*Mapping!$C$19,0))</f>
        <v>0</v>
      </c>
      <c r="T226" s="1">
        <f>IF(Signals_EU!L226=1,Signals_EU!R226*Mapping!$C$20,IF(Signals_EU!L226=-1,-Signals_EU!S226*Mapping!$C$20,0))</f>
        <v>5.000000000000001E-2</v>
      </c>
      <c r="U226" s="1">
        <f t="shared" si="3"/>
        <v>0</v>
      </c>
    </row>
    <row r="227" spans="1:21">
      <c r="A227" s="5">
        <f>Signals_EU!B227</f>
        <v>45901</v>
      </c>
      <c r="B227" s="1">
        <f>IF(Signals_EU!O227=1,Signals_EU!R227*Mapping!$C$2,IF(Signals_EU!O227=-1,-Signals_EU!S227*Mapping!$C$2,0))</f>
        <v>-5.000000000000001E-2</v>
      </c>
      <c r="C227" s="1">
        <f>IF(Signals_EU!F227=1,Signals_EU!R227*Mapping!$C$3,IF(Signals_EU!F227=-1,-Signals_EU!S227*Mapping!$C$3,0))</f>
        <v>3.0000000000000006E-2</v>
      </c>
      <c r="D227" s="1">
        <f>IF(Signals_EU!C227=1,Signals_EU!R227*Mapping!$C$4,IF(Signals_EU!C227=-1,-Signals_EU!S227*Mapping!$C$4,0))</f>
        <v>-2.5000000000000005E-2</v>
      </c>
      <c r="E227" s="1">
        <f>IF(Signals_EU!C227=1,Signals_EU!R227*Mapping!$C$5,IF(Signals_EU!C227=-1,-Signals_EU!S227*Mapping!$C$5,0))</f>
        <v>-2.5000000000000005E-2</v>
      </c>
      <c r="F227" s="1">
        <f>IF(Signals_EU!H227=1,Signals_EU!R227*Mapping!$C$6,IF(Signals_EU!H227=-1,-Signals_EU!S227*Mapping!$C$6,0))</f>
        <v>0</v>
      </c>
      <c r="G227" s="1">
        <f>IF(Signals_EU!F227=1,Signals_EU!R227*Mapping!$C$7,IF(Signals_EU!F227=-1,-Signals_EU!S227*Mapping!$C$7,0))</f>
        <v>1.0000000000000002E-2</v>
      </c>
      <c r="H227" s="1">
        <f>IF(Signals_EU!D227=1,Signals_EU!R227*Mapping!$C$8,IF(Signals_EU!D227=-1,-Signals_EU!S227*Mapping!$C$8,0))</f>
        <v>-5.000000000000001E-2</v>
      </c>
      <c r="I227" s="1">
        <f>IF(Signals_EU!G227=1,Signals_EU!R227*Mapping!$C$9,IF(Signals_EU!G227=-1,-Signals_EU!S227*Mapping!$C$9,0))</f>
        <v>0</v>
      </c>
      <c r="J227" s="1">
        <f>IF(Signals_EU!H227=1,Signals_EU!R227*Mapping!$C$10,IF(Signals_EU!H227=-1,-Signals_EU!S227*Mapping!$C$10,0))</f>
        <v>0</v>
      </c>
      <c r="K227" s="1">
        <f>IF(Signals_EU!F227=1,Signals_EU!R227*Mapping!$C$11,IF(Signals_EU!F227=-1,-Signals_EU!S227*Mapping!$C$11,0))</f>
        <v>1.0000000000000002E-2</v>
      </c>
      <c r="L227" s="1">
        <f>IF(Signals_EU!N227=1,Signals_EU!R227*Mapping!$C$12,IF(Signals_EU!N227=-1,-Signals_EU!S227*Mapping!$C$12,0))</f>
        <v>0</v>
      </c>
      <c r="M227" s="1">
        <f>IF(Signals_EU!I227=1,Signals_EU!R227*Mapping!$C$13,IF(Signals_EU!I227=-1,-Signals_EU!S227*Mapping!$C$13,0))</f>
        <v>0</v>
      </c>
      <c r="N227" s="1">
        <f>IF(Signals_EU!E227=1,Signals_EU!R227*Mapping!$C$14,IF(Signals_EU!E227=-1,-Signals_EU!S227*Mapping!$C$14,0))</f>
        <v>0</v>
      </c>
      <c r="O227" s="1">
        <f>0</f>
        <v>0</v>
      </c>
      <c r="P227" s="1">
        <f>0</f>
        <v>0</v>
      </c>
      <c r="Q227" s="1">
        <f>IF(Signals_EU!J227=1,Signals_EU!R227*Mapping!$C$17,IF(Signals_EU!J227=-1,-Signals_EU!S227*Mapping!$C$17,0))</f>
        <v>5.000000000000001E-2</v>
      </c>
      <c r="R227" s="1">
        <f>IF(Signals_EU!K227=1,Signals_EU!R227*Mapping!$C$18,IF(Signals_EU!K227=-1,-Signals_EU!S227*Mapping!$C$18,0))</f>
        <v>0</v>
      </c>
      <c r="S227" s="1">
        <f>IF(Signals_EU!M227=1,Signals_EU!R227*Mapping!$C$19,IF(Signals_EU!M227=-1,-Signals_EU!S227*Mapping!$C$19,0))</f>
        <v>0</v>
      </c>
      <c r="T227" s="1">
        <f>IF(Signals_EU!L227=1,Signals_EU!R227*Mapping!$C$20,IF(Signals_EU!L227=-1,-Signals_EU!S227*Mapping!$C$20,0))</f>
        <v>5.000000000000001E-2</v>
      </c>
      <c r="U227" s="1">
        <f t="shared" si="3"/>
        <v>0</v>
      </c>
    </row>
    <row r="228" spans="1:21">
      <c r="A228" s="5">
        <f>Signals_EU!B228</f>
        <v>45931</v>
      </c>
      <c r="B228" s="1">
        <f>IF(Signals_EU!O228=1,Signals_EU!R228*Mapping!$C$2,IF(Signals_EU!O228=-1,-Signals_EU!S228*Mapping!$C$2,0))</f>
        <v>0</v>
      </c>
      <c r="C228" s="1">
        <f>IF(Signals_EU!F228=1,Signals_EU!R228*Mapping!$C$3,IF(Signals_EU!F228=-1,-Signals_EU!S228*Mapping!$C$3,0))</f>
        <v>3.0000000000000006E-2</v>
      </c>
      <c r="D228" s="1">
        <f>IF(Signals_EU!C228=1,Signals_EU!R228*Mapping!$C$4,IF(Signals_EU!C228=-1,-Signals_EU!S228*Mapping!$C$4,0))</f>
        <v>-2.5000000000000005E-2</v>
      </c>
      <c r="E228" s="1">
        <f>IF(Signals_EU!C228=1,Signals_EU!R228*Mapping!$C$5,IF(Signals_EU!C228=-1,-Signals_EU!S228*Mapping!$C$5,0))</f>
        <v>-2.5000000000000005E-2</v>
      </c>
      <c r="F228" s="1">
        <f>IF(Signals_EU!H228=1,Signals_EU!R228*Mapping!$C$6,IF(Signals_EU!H228=-1,-Signals_EU!S228*Mapping!$C$6,0))</f>
        <v>0</v>
      </c>
      <c r="G228" s="1">
        <f>IF(Signals_EU!F228=1,Signals_EU!R228*Mapping!$C$7,IF(Signals_EU!F228=-1,-Signals_EU!S228*Mapping!$C$7,0))</f>
        <v>1.0000000000000002E-2</v>
      </c>
      <c r="H228" s="1">
        <f>IF(Signals_EU!D228=1,Signals_EU!R228*Mapping!$C$8,IF(Signals_EU!D228=-1,-Signals_EU!S228*Mapping!$C$8,0))</f>
        <v>-5.000000000000001E-2</v>
      </c>
      <c r="I228" s="1">
        <f>IF(Signals_EU!G228=1,Signals_EU!R228*Mapping!$C$9,IF(Signals_EU!G228=-1,-Signals_EU!S228*Mapping!$C$9,0))</f>
        <v>0</v>
      </c>
      <c r="J228" s="1">
        <f>IF(Signals_EU!H228=1,Signals_EU!R228*Mapping!$C$10,IF(Signals_EU!H228=-1,-Signals_EU!S228*Mapping!$C$10,0))</f>
        <v>0</v>
      </c>
      <c r="K228" s="1">
        <f>IF(Signals_EU!F228=1,Signals_EU!R228*Mapping!$C$11,IF(Signals_EU!F228=-1,-Signals_EU!S228*Mapping!$C$11,0))</f>
        <v>1.0000000000000002E-2</v>
      </c>
      <c r="L228" s="1">
        <f>IF(Signals_EU!N228=1,Signals_EU!R228*Mapping!$C$12,IF(Signals_EU!N228=-1,-Signals_EU!S228*Mapping!$C$12,0))</f>
        <v>0</v>
      </c>
      <c r="M228" s="1">
        <f>IF(Signals_EU!I228=1,Signals_EU!R228*Mapping!$C$13,IF(Signals_EU!I228=-1,-Signals_EU!S228*Mapping!$C$13,0))</f>
        <v>0</v>
      </c>
      <c r="N228" s="1">
        <f>IF(Signals_EU!E228=1,Signals_EU!R228*Mapping!$C$14,IF(Signals_EU!E228=-1,-Signals_EU!S228*Mapping!$C$14,0))</f>
        <v>-5.000000000000001E-2</v>
      </c>
      <c r="O228" s="1">
        <f>0</f>
        <v>0</v>
      </c>
      <c r="P228" s="1">
        <f>0</f>
        <v>0</v>
      </c>
      <c r="Q228" s="1">
        <f>IF(Signals_EU!J228=1,Signals_EU!R228*Mapping!$C$17,IF(Signals_EU!J228=-1,-Signals_EU!S228*Mapping!$C$17,0))</f>
        <v>5.000000000000001E-2</v>
      </c>
      <c r="R228" s="1">
        <f>IF(Signals_EU!K228=1,Signals_EU!R228*Mapping!$C$18,IF(Signals_EU!K228=-1,-Signals_EU!S228*Mapping!$C$18,0))</f>
        <v>5.000000000000001E-2</v>
      </c>
      <c r="S228" s="1">
        <f>IF(Signals_EU!M228=1,Signals_EU!R228*Mapping!$C$19,IF(Signals_EU!M228=-1,-Signals_EU!S228*Mapping!$C$19,0))</f>
        <v>0</v>
      </c>
      <c r="T228" s="1">
        <f>IF(Signals_EU!L228=1,Signals_EU!R228*Mapping!$C$20,IF(Signals_EU!L228=-1,-Signals_EU!S228*Mapping!$C$20,0))</f>
        <v>0</v>
      </c>
      <c r="U228" s="1">
        <f t="shared" si="3"/>
        <v>0</v>
      </c>
    </row>
    <row r="229" spans="1:21">
      <c r="A229" s="5">
        <f>Signals_EU!B229</f>
        <v>45962</v>
      </c>
      <c r="B229" s="1">
        <f>IF(Signals_EU!O229=1,Signals_EU!R229*Mapping!$C$2,IF(Signals_EU!O229=-1,-Signals_EU!S229*Mapping!$C$2,0))</f>
        <v>0</v>
      </c>
      <c r="C229" s="1">
        <f>IF(Signals_EU!F229=1,Signals_EU!R229*Mapping!$C$3,IF(Signals_EU!F229=-1,-Signals_EU!S229*Mapping!$C$3,0))</f>
        <v>3.0000000000000006E-2</v>
      </c>
      <c r="D229" s="1">
        <f>IF(Signals_EU!C229=1,Signals_EU!R229*Mapping!$C$4,IF(Signals_EU!C229=-1,-Signals_EU!S229*Mapping!$C$4,0))</f>
        <v>-2.5000000000000005E-2</v>
      </c>
      <c r="E229" s="1">
        <f>IF(Signals_EU!C229=1,Signals_EU!R229*Mapping!$C$5,IF(Signals_EU!C229=-1,-Signals_EU!S229*Mapping!$C$5,0))</f>
        <v>-2.5000000000000005E-2</v>
      </c>
      <c r="F229" s="1">
        <f>IF(Signals_EU!H229=1,Signals_EU!R229*Mapping!$C$6,IF(Signals_EU!H229=-1,-Signals_EU!S229*Mapping!$C$6,0))</f>
        <v>0</v>
      </c>
      <c r="G229" s="1">
        <f>IF(Signals_EU!F229=1,Signals_EU!R229*Mapping!$C$7,IF(Signals_EU!F229=-1,-Signals_EU!S229*Mapping!$C$7,0))</f>
        <v>1.0000000000000002E-2</v>
      </c>
      <c r="H229" s="1">
        <f>IF(Signals_EU!D229=1,Signals_EU!R229*Mapping!$C$8,IF(Signals_EU!D229=-1,-Signals_EU!S229*Mapping!$C$8,0))</f>
        <v>-5.000000000000001E-2</v>
      </c>
      <c r="I229" s="1">
        <f>IF(Signals_EU!G229=1,Signals_EU!R229*Mapping!$C$9,IF(Signals_EU!G229=-1,-Signals_EU!S229*Mapping!$C$9,0))</f>
        <v>0</v>
      </c>
      <c r="J229" s="1">
        <f>IF(Signals_EU!H229=1,Signals_EU!R229*Mapping!$C$10,IF(Signals_EU!H229=-1,-Signals_EU!S229*Mapping!$C$10,0))</f>
        <v>0</v>
      </c>
      <c r="K229" s="1">
        <f>IF(Signals_EU!F229=1,Signals_EU!R229*Mapping!$C$11,IF(Signals_EU!F229=-1,-Signals_EU!S229*Mapping!$C$11,0))</f>
        <v>1.0000000000000002E-2</v>
      </c>
      <c r="L229" s="1">
        <f>IF(Signals_EU!N229=1,Signals_EU!R229*Mapping!$C$12,IF(Signals_EU!N229=-1,-Signals_EU!S229*Mapping!$C$12,0))</f>
        <v>0</v>
      </c>
      <c r="M229" s="1">
        <f>IF(Signals_EU!I229=1,Signals_EU!R229*Mapping!$C$13,IF(Signals_EU!I229=-1,-Signals_EU!S229*Mapping!$C$13,0))</f>
        <v>-5.000000000000001E-2</v>
      </c>
      <c r="N229" s="1">
        <f>IF(Signals_EU!E229=1,Signals_EU!R229*Mapping!$C$14,IF(Signals_EU!E229=-1,-Signals_EU!S229*Mapping!$C$14,0))</f>
        <v>0</v>
      </c>
      <c r="O229" s="1">
        <f>0</f>
        <v>0</v>
      </c>
      <c r="P229" s="1">
        <f>0</f>
        <v>0</v>
      </c>
      <c r="Q229" s="1">
        <f>IF(Signals_EU!J229=1,Signals_EU!R229*Mapping!$C$17,IF(Signals_EU!J229=-1,-Signals_EU!S229*Mapping!$C$17,0))</f>
        <v>5.000000000000001E-2</v>
      </c>
      <c r="R229" s="1">
        <f>IF(Signals_EU!K229=1,Signals_EU!R229*Mapping!$C$18,IF(Signals_EU!K229=-1,-Signals_EU!S229*Mapping!$C$18,0))</f>
        <v>5.000000000000001E-2</v>
      </c>
      <c r="S229" s="1">
        <f>IF(Signals_EU!M229=1,Signals_EU!R229*Mapping!$C$19,IF(Signals_EU!M229=-1,-Signals_EU!S229*Mapping!$C$19,0))</f>
        <v>0</v>
      </c>
      <c r="T229" s="1">
        <f>IF(Signals_EU!L229=1,Signals_EU!R229*Mapping!$C$20,IF(Signals_EU!L229=-1,-Signals_EU!S229*Mapping!$C$20,0))</f>
        <v>0</v>
      </c>
      <c r="U229" s="1">
        <f t="shared" si="3"/>
        <v>0</v>
      </c>
    </row>
    <row r="230" spans="1:21">
      <c r="A230" s="5">
        <f>Signals_EU!B230</f>
        <v>45992</v>
      </c>
      <c r="B230" s="1">
        <f>IF(Signals_EU!O230=1,Signals_EU!R230*Mapping!$C$2,IF(Signals_EU!O230=-1,-Signals_EU!S230*Mapping!$C$2,0))</f>
        <v>0</v>
      </c>
      <c r="C230" s="1">
        <f>IF(Signals_EU!F230=1,Signals_EU!R230*Mapping!$C$3,IF(Signals_EU!F230=-1,-Signals_EU!S230*Mapping!$C$3,0))</f>
        <v>3.0000000000000006E-2</v>
      </c>
      <c r="D230" s="1">
        <f>IF(Signals_EU!C230=1,Signals_EU!R230*Mapping!$C$4,IF(Signals_EU!C230=-1,-Signals_EU!S230*Mapping!$C$4,0))</f>
        <v>-2.5000000000000005E-2</v>
      </c>
      <c r="E230" s="1">
        <f>IF(Signals_EU!C230=1,Signals_EU!R230*Mapping!$C$5,IF(Signals_EU!C230=-1,-Signals_EU!S230*Mapping!$C$5,0))</f>
        <v>-2.5000000000000005E-2</v>
      </c>
      <c r="F230" s="1">
        <f>IF(Signals_EU!H230=1,Signals_EU!R230*Mapping!$C$6,IF(Signals_EU!H230=-1,-Signals_EU!S230*Mapping!$C$6,0))</f>
        <v>0</v>
      </c>
      <c r="G230" s="1">
        <f>IF(Signals_EU!F230=1,Signals_EU!R230*Mapping!$C$7,IF(Signals_EU!F230=-1,-Signals_EU!S230*Mapping!$C$7,0))</f>
        <v>1.0000000000000002E-2</v>
      </c>
      <c r="H230" s="1">
        <f>IF(Signals_EU!D230=1,Signals_EU!R230*Mapping!$C$8,IF(Signals_EU!D230=-1,-Signals_EU!S230*Mapping!$C$8,0))</f>
        <v>-5.000000000000001E-2</v>
      </c>
      <c r="I230" s="1">
        <f>IF(Signals_EU!G230=1,Signals_EU!R230*Mapping!$C$9,IF(Signals_EU!G230=-1,-Signals_EU!S230*Mapping!$C$9,0))</f>
        <v>0</v>
      </c>
      <c r="J230" s="1">
        <f>IF(Signals_EU!H230=1,Signals_EU!R230*Mapping!$C$10,IF(Signals_EU!H230=-1,-Signals_EU!S230*Mapping!$C$10,0))</f>
        <v>0</v>
      </c>
      <c r="K230" s="1">
        <f>IF(Signals_EU!F230=1,Signals_EU!R230*Mapping!$C$11,IF(Signals_EU!F230=-1,-Signals_EU!S230*Mapping!$C$11,0))</f>
        <v>1.0000000000000002E-2</v>
      </c>
      <c r="L230" s="1">
        <f>IF(Signals_EU!N230=1,Signals_EU!R230*Mapping!$C$12,IF(Signals_EU!N230=-1,-Signals_EU!S230*Mapping!$C$12,0))</f>
        <v>-5.000000000000001E-2</v>
      </c>
      <c r="M230" s="1">
        <f>IF(Signals_EU!I230=1,Signals_EU!R230*Mapping!$C$13,IF(Signals_EU!I230=-1,-Signals_EU!S230*Mapping!$C$13,0))</f>
        <v>0</v>
      </c>
      <c r="N230" s="1">
        <f>IF(Signals_EU!E230=1,Signals_EU!R230*Mapping!$C$14,IF(Signals_EU!E230=-1,-Signals_EU!S230*Mapping!$C$14,0))</f>
        <v>0</v>
      </c>
      <c r="O230" s="1">
        <f>0</f>
        <v>0</v>
      </c>
      <c r="P230" s="1">
        <f>0</f>
        <v>0</v>
      </c>
      <c r="Q230" s="1">
        <f>IF(Signals_EU!J230=1,Signals_EU!R230*Mapping!$C$17,IF(Signals_EU!J230=-1,-Signals_EU!S230*Mapping!$C$17,0))</f>
        <v>5.000000000000001E-2</v>
      </c>
      <c r="R230" s="1">
        <f>IF(Signals_EU!K230=1,Signals_EU!R230*Mapping!$C$18,IF(Signals_EU!K230=-1,-Signals_EU!S230*Mapping!$C$18,0))</f>
        <v>0</v>
      </c>
      <c r="S230" s="1">
        <f>IF(Signals_EU!M230=1,Signals_EU!R230*Mapping!$C$19,IF(Signals_EU!M230=-1,-Signals_EU!S230*Mapping!$C$19,0))</f>
        <v>0</v>
      </c>
      <c r="T230" s="1">
        <f>IF(Signals_EU!L230=1,Signals_EU!R230*Mapping!$C$20,IF(Signals_EU!L230=-1,-Signals_EU!S230*Mapping!$C$20,0))</f>
        <v>5.000000000000001E-2</v>
      </c>
      <c r="U230" s="1">
        <f t="shared" si="3"/>
        <v>0</v>
      </c>
    </row>
    <row r="231" spans="1:21">
      <c r="A231" s="5">
        <f>Signals_EU!B231</f>
        <v>46023</v>
      </c>
      <c r="B231" s="1">
        <f>IF(Signals_EU!O231=1,Signals_EU!R231*Mapping!$C$2,IF(Signals_EU!O231=-1,-Signals_EU!S231*Mapping!$C$2,0))</f>
        <v>0</v>
      </c>
      <c r="C231" s="1">
        <f>IF(Signals_EU!F231=1,Signals_EU!R231*Mapping!$C$3,IF(Signals_EU!F231=-1,-Signals_EU!S231*Mapping!$C$3,0))</f>
        <v>3.0000000000000006E-2</v>
      </c>
      <c r="D231" s="1">
        <f>IF(Signals_EU!C231=1,Signals_EU!R231*Mapping!$C$4,IF(Signals_EU!C231=-1,-Signals_EU!S231*Mapping!$C$4,0))</f>
        <v>0</v>
      </c>
      <c r="E231" s="1">
        <f>IF(Signals_EU!C231=1,Signals_EU!R231*Mapping!$C$5,IF(Signals_EU!C231=-1,-Signals_EU!S231*Mapping!$C$5,0))</f>
        <v>0</v>
      </c>
      <c r="F231" s="1">
        <f>IF(Signals_EU!H231=1,Signals_EU!R231*Mapping!$C$6,IF(Signals_EU!H231=-1,-Signals_EU!S231*Mapping!$C$6,0))</f>
        <v>0</v>
      </c>
      <c r="G231" s="1">
        <f>IF(Signals_EU!F231=1,Signals_EU!R231*Mapping!$C$7,IF(Signals_EU!F231=-1,-Signals_EU!S231*Mapping!$C$7,0))</f>
        <v>1.0000000000000002E-2</v>
      </c>
      <c r="H231" s="1">
        <f>IF(Signals_EU!D231=1,Signals_EU!R231*Mapping!$C$8,IF(Signals_EU!D231=-1,-Signals_EU!S231*Mapping!$C$8,0))</f>
        <v>-5.000000000000001E-2</v>
      </c>
      <c r="I231" s="1">
        <f>IF(Signals_EU!G231=1,Signals_EU!R231*Mapping!$C$9,IF(Signals_EU!G231=-1,-Signals_EU!S231*Mapping!$C$9,0))</f>
        <v>0</v>
      </c>
      <c r="J231" s="1">
        <f>IF(Signals_EU!H231=1,Signals_EU!R231*Mapping!$C$10,IF(Signals_EU!H231=-1,-Signals_EU!S231*Mapping!$C$10,0))</f>
        <v>0</v>
      </c>
      <c r="K231" s="1">
        <f>IF(Signals_EU!F231=1,Signals_EU!R231*Mapping!$C$11,IF(Signals_EU!F231=-1,-Signals_EU!S231*Mapping!$C$11,0))</f>
        <v>1.0000000000000002E-2</v>
      </c>
      <c r="L231" s="1">
        <f>IF(Signals_EU!N231=1,Signals_EU!R231*Mapping!$C$12,IF(Signals_EU!N231=-1,-Signals_EU!S231*Mapping!$C$12,0))</f>
        <v>0</v>
      </c>
      <c r="M231" s="1">
        <f>IF(Signals_EU!I231=1,Signals_EU!R231*Mapping!$C$13,IF(Signals_EU!I231=-1,-Signals_EU!S231*Mapping!$C$13,0))</f>
        <v>-5.000000000000001E-2</v>
      </c>
      <c r="N231" s="1">
        <f>IF(Signals_EU!E231=1,Signals_EU!R231*Mapping!$C$14,IF(Signals_EU!E231=-1,-Signals_EU!S231*Mapping!$C$14,0))</f>
        <v>-5.000000000000001E-2</v>
      </c>
      <c r="O231" s="1">
        <f>0</f>
        <v>0</v>
      </c>
      <c r="P231" s="1">
        <f>0</f>
        <v>0</v>
      </c>
      <c r="Q231" s="1">
        <f>IF(Signals_EU!J231=1,Signals_EU!R231*Mapping!$C$17,IF(Signals_EU!J231=-1,-Signals_EU!S231*Mapping!$C$17,0))</f>
        <v>5.000000000000001E-2</v>
      </c>
      <c r="R231" s="1">
        <f>IF(Signals_EU!K231=1,Signals_EU!R231*Mapping!$C$18,IF(Signals_EU!K231=-1,-Signals_EU!S231*Mapping!$C$18,0))</f>
        <v>0</v>
      </c>
      <c r="S231" s="1">
        <f>IF(Signals_EU!M231=1,Signals_EU!R231*Mapping!$C$19,IF(Signals_EU!M231=-1,-Signals_EU!S231*Mapping!$C$19,0))</f>
        <v>0</v>
      </c>
      <c r="T231" s="1">
        <f>IF(Signals_EU!L231=1,Signals_EU!R231*Mapping!$C$20,IF(Signals_EU!L231=-1,-Signals_EU!S231*Mapping!$C$20,0))</f>
        <v>5.000000000000001E-2</v>
      </c>
      <c r="U231" s="1">
        <f t="shared" si="3"/>
        <v>0</v>
      </c>
    </row>
    <row r="232" spans="1:21">
      <c r="A232" s="5">
        <f>Signals_EU!B232</f>
        <v>46054</v>
      </c>
      <c r="B232" s="1">
        <f>IF(Signals_EU!O232=1,Signals_EU!R232*Mapping!$C$2,IF(Signals_EU!O232=-1,-Signals_EU!S232*Mapping!$C$2,0))</f>
        <v>0</v>
      </c>
      <c r="C232" s="1">
        <f>IF(Signals_EU!F232=1,Signals_EU!R232*Mapping!$C$3,IF(Signals_EU!F232=-1,-Signals_EU!S232*Mapping!$C$3,0))</f>
        <v>3.0000000000000006E-2</v>
      </c>
      <c r="D232" s="1">
        <f>IF(Signals_EU!C232=1,Signals_EU!R232*Mapping!$C$4,IF(Signals_EU!C232=-1,-Signals_EU!S232*Mapping!$C$4,0))</f>
        <v>0</v>
      </c>
      <c r="E232" s="1">
        <f>IF(Signals_EU!C232=1,Signals_EU!R232*Mapping!$C$5,IF(Signals_EU!C232=-1,-Signals_EU!S232*Mapping!$C$5,0))</f>
        <v>0</v>
      </c>
      <c r="F232" s="1">
        <f>IF(Signals_EU!H232=1,Signals_EU!R232*Mapping!$C$6,IF(Signals_EU!H232=-1,-Signals_EU!S232*Mapping!$C$6,0))</f>
        <v>0</v>
      </c>
      <c r="G232" s="1">
        <f>IF(Signals_EU!F232=1,Signals_EU!R232*Mapping!$C$7,IF(Signals_EU!F232=-1,-Signals_EU!S232*Mapping!$C$7,0))</f>
        <v>1.0000000000000002E-2</v>
      </c>
      <c r="H232" s="1">
        <f>IF(Signals_EU!D232=1,Signals_EU!R232*Mapping!$C$8,IF(Signals_EU!D232=-1,-Signals_EU!S232*Mapping!$C$8,0))</f>
        <v>-5.000000000000001E-2</v>
      </c>
      <c r="I232" s="1">
        <f>IF(Signals_EU!G232=1,Signals_EU!R232*Mapping!$C$9,IF(Signals_EU!G232=-1,-Signals_EU!S232*Mapping!$C$9,0))</f>
        <v>5.000000000000001E-2</v>
      </c>
      <c r="J232" s="1">
        <f>IF(Signals_EU!H232=1,Signals_EU!R232*Mapping!$C$10,IF(Signals_EU!H232=-1,-Signals_EU!S232*Mapping!$C$10,0))</f>
        <v>0</v>
      </c>
      <c r="K232" s="1">
        <f>IF(Signals_EU!F232=1,Signals_EU!R232*Mapping!$C$11,IF(Signals_EU!F232=-1,-Signals_EU!S232*Mapping!$C$11,0))</f>
        <v>1.0000000000000002E-2</v>
      </c>
      <c r="L232" s="1">
        <f>IF(Signals_EU!N232=1,Signals_EU!R232*Mapping!$C$12,IF(Signals_EU!N232=-1,-Signals_EU!S232*Mapping!$C$12,0))</f>
        <v>0</v>
      </c>
      <c r="M232" s="1">
        <f>IF(Signals_EU!I232=1,Signals_EU!R232*Mapping!$C$13,IF(Signals_EU!I232=-1,-Signals_EU!S232*Mapping!$C$13,0))</f>
        <v>-5.000000000000001E-2</v>
      </c>
      <c r="N232" s="1">
        <f>IF(Signals_EU!E232=1,Signals_EU!R232*Mapping!$C$14,IF(Signals_EU!E232=-1,-Signals_EU!S232*Mapping!$C$14,0))</f>
        <v>-5.000000000000001E-2</v>
      </c>
      <c r="O232" s="1">
        <f>0</f>
        <v>0</v>
      </c>
      <c r="P232" s="1">
        <f>0</f>
        <v>0</v>
      </c>
      <c r="Q232" s="1">
        <f>IF(Signals_EU!J232=1,Signals_EU!R232*Mapping!$C$17,IF(Signals_EU!J232=-1,-Signals_EU!S232*Mapping!$C$17,0))</f>
        <v>5.000000000000001E-2</v>
      </c>
      <c r="R232" s="1">
        <f>IF(Signals_EU!K232=1,Signals_EU!R232*Mapping!$C$18,IF(Signals_EU!K232=-1,-Signals_EU!S232*Mapping!$C$18,0))</f>
        <v>0</v>
      </c>
      <c r="S232" s="1">
        <f>IF(Signals_EU!M232=1,Signals_EU!R232*Mapping!$C$19,IF(Signals_EU!M232=-1,-Signals_EU!S232*Mapping!$C$19,0))</f>
        <v>0</v>
      </c>
      <c r="T232" s="1">
        <f>IF(Signals_EU!L232=1,Signals_EU!R232*Mapping!$C$20,IF(Signals_EU!L232=-1,-Signals_EU!S232*Mapping!$C$20,0))</f>
        <v>0</v>
      </c>
      <c r="U232" s="1">
        <f t="shared" si="3"/>
        <v>0</v>
      </c>
    </row>
    <row r="233" spans="1:21">
      <c r="A233" s="5">
        <f>Signals_EU!B233</f>
        <v>46082</v>
      </c>
      <c r="B233" s="1">
        <f>IF(Signals_EU!O233=1,Signals_EU!R233*Mapping!$C$2,IF(Signals_EU!O233=-1,-Signals_EU!S233*Mapping!$C$2,0))</f>
        <v>0</v>
      </c>
      <c r="C233" s="1">
        <f>IF(Signals_EU!F233=1,Signals_EU!R233*Mapping!$C$3,IF(Signals_EU!F233=-1,-Signals_EU!S233*Mapping!$C$3,0))</f>
        <v>3.0000000000000006E-2</v>
      </c>
      <c r="D233" s="1">
        <f>IF(Signals_EU!C233=1,Signals_EU!R233*Mapping!$C$4,IF(Signals_EU!C233=-1,-Signals_EU!S233*Mapping!$C$4,0))</f>
        <v>0</v>
      </c>
      <c r="E233" s="1">
        <f>IF(Signals_EU!C233=1,Signals_EU!R233*Mapping!$C$5,IF(Signals_EU!C233=-1,-Signals_EU!S233*Mapping!$C$5,0))</f>
        <v>0</v>
      </c>
      <c r="F233" s="1">
        <f>IF(Signals_EU!H233=1,Signals_EU!R233*Mapping!$C$6,IF(Signals_EU!H233=-1,-Signals_EU!S233*Mapping!$C$6,0))</f>
        <v>0</v>
      </c>
      <c r="G233" s="1">
        <f>IF(Signals_EU!F233=1,Signals_EU!R233*Mapping!$C$7,IF(Signals_EU!F233=-1,-Signals_EU!S233*Mapping!$C$7,0))</f>
        <v>1.0000000000000002E-2</v>
      </c>
      <c r="H233" s="1">
        <f>IF(Signals_EU!D233=1,Signals_EU!R233*Mapping!$C$8,IF(Signals_EU!D233=-1,-Signals_EU!S233*Mapping!$C$8,0))</f>
        <v>-5.000000000000001E-2</v>
      </c>
      <c r="I233" s="1">
        <f>IF(Signals_EU!G233=1,Signals_EU!R233*Mapping!$C$9,IF(Signals_EU!G233=-1,-Signals_EU!S233*Mapping!$C$9,0))</f>
        <v>0</v>
      </c>
      <c r="J233" s="1">
        <f>IF(Signals_EU!H233=1,Signals_EU!R233*Mapping!$C$10,IF(Signals_EU!H233=-1,-Signals_EU!S233*Mapping!$C$10,0))</f>
        <v>0</v>
      </c>
      <c r="K233" s="1">
        <f>IF(Signals_EU!F233=1,Signals_EU!R233*Mapping!$C$11,IF(Signals_EU!F233=-1,-Signals_EU!S233*Mapping!$C$11,0))</f>
        <v>1.0000000000000002E-2</v>
      </c>
      <c r="L233" s="1">
        <f>IF(Signals_EU!N233=1,Signals_EU!R233*Mapping!$C$12,IF(Signals_EU!N233=-1,-Signals_EU!S233*Mapping!$C$12,0))</f>
        <v>0</v>
      </c>
      <c r="M233" s="1">
        <f>IF(Signals_EU!I233=1,Signals_EU!R233*Mapping!$C$13,IF(Signals_EU!I233=-1,-Signals_EU!S233*Mapping!$C$13,0))</f>
        <v>-5.000000000000001E-2</v>
      </c>
      <c r="N233" s="1">
        <f>IF(Signals_EU!E233=1,Signals_EU!R233*Mapping!$C$14,IF(Signals_EU!E233=-1,-Signals_EU!S233*Mapping!$C$14,0))</f>
        <v>-5.000000000000001E-2</v>
      </c>
      <c r="O233" s="1">
        <f>0</f>
        <v>0</v>
      </c>
      <c r="P233" s="1">
        <f>0</f>
        <v>0</v>
      </c>
      <c r="Q233" s="1">
        <f>IF(Signals_EU!J233=1,Signals_EU!R233*Mapping!$C$17,IF(Signals_EU!J233=-1,-Signals_EU!S233*Mapping!$C$17,0))</f>
        <v>5.000000000000001E-2</v>
      </c>
      <c r="R233" s="1">
        <f>IF(Signals_EU!K233=1,Signals_EU!R233*Mapping!$C$18,IF(Signals_EU!K233=-1,-Signals_EU!S233*Mapping!$C$18,0))</f>
        <v>5.000000000000001E-2</v>
      </c>
      <c r="S233" s="1">
        <f>IF(Signals_EU!M233=1,Signals_EU!R233*Mapping!$C$19,IF(Signals_EU!M233=-1,-Signals_EU!S233*Mapping!$C$19,0))</f>
        <v>0</v>
      </c>
      <c r="T233" s="1">
        <f>IF(Signals_EU!L233=1,Signals_EU!R233*Mapping!$C$20,IF(Signals_EU!L233=-1,-Signals_EU!S233*Mapping!$C$20,0))</f>
        <v>0</v>
      </c>
      <c r="U233" s="1">
        <f t="shared" si="3"/>
        <v>0</v>
      </c>
    </row>
    <row r="234" spans="1:21">
      <c r="A234" s="5">
        <f>Signals_EU!B234</f>
        <v>46113</v>
      </c>
      <c r="B234" s="1">
        <f>IF(Signals_EU!O234=1,Signals_EU!R234*Mapping!$C$2,IF(Signals_EU!O234=-1,-Signals_EU!S234*Mapping!$C$2,0))</f>
        <v>0</v>
      </c>
      <c r="C234" s="1">
        <f>IF(Signals_EU!F234=1,Signals_EU!R234*Mapping!$C$3,IF(Signals_EU!F234=-1,-Signals_EU!S234*Mapping!$C$3,0))</f>
        <v>0</v>
      </c>
      <c r="D234" s="1">
        <f>IF(Signals_EU!C234=1,Signals_EU!R234*Mapping!$C$4,IF(Signals_EU!C234=-1,-Signals_EU!S234*Mapping!$C$4,0))</f>
        <v>0</v>
      </c>
      <c r="E234" s="1">
        <f>IF(Signals_EU!C234=1,Signals_EU!R234*Mapping!$C$5,IF(Signals_EU!C234=-1,-Signals_EU!S234*Mapping!$C$5,0))</f>
        <v>0</v>
      </c>
      <c r="F234" s="1">
        <f>IF(Signals_EU!H234=1,Signals_EU!R234*Mapping!$C$6,IF(Signals_EU!H234=-1,-Signals_EU!S234*Mapping!$C$6,0))</f>
        <v>-1.0000000000000002E-2</v>
      </c>
      <c r="G234" s="1">
        <f>IF(Signals_EU!F234=1,Signals_EU!R234*Mapping!$C$7,IF(Signals_EU!F234=-1,-Signals_EU!S234*Mapping!$C$7,0))</f>
        <v>0</v>
      </c>
      <c r="H234" s="1">
        <f>IF(Signals_EU!D234=1,Signals_EU!R234*Mapping!$C$8,IF(Signals_EU!D234=-1,-Signals_EU!S234*Mapping!$C$8,0))</f>
        <v>-5.000000000000001E-2</v>
      </c>
      <c r="I234" s="1">
        <f>IF(Signals_EU!G234=1,Signals_EU!R234*Mapping!$C$9,IF(Signals_EU!G234=-1,-Signals_EU!S234*Mapping!$C$9,0))</f>
        <v>0</v>
      </c>
      <c r="J234" s="1">
        <f>IF(Signals_EU!H234=1,Signals_EU!R234*Mapping!$C$10,IF(Signals_EU!H234=-1,-Signals_EU!S234*Mapping!$C$10,0))</f>
        <v>-4.0000000000000008E-2</v>
      </c>
      <c r="K234" s="1">
        <f>IF(Signals_EU!F234=1,Signals_EU!R234*Mapping!$C$11,IF(Signals_EU!F234=-1,-Signals_EU!S234*Mapping!$C$11,0))</f>
        <v>0</v>
      </c>
      <c r="L234" s="1">
        <f>IF(Signals_EU!N234=1,Signals_EU!R234*Mapping!$C$12,IF(Signals_EU!N234=-1,-Signals_EU!S234*Mapping!$C$12,0))</f>
        <v>5.000000000000001E-2</v>
      </c>
      <c r="M234" s="1">
        <f>IF(Signals_EU!I234=1,Signals_EU!R234*Mapping!$C$13,IF(Signals_EU!I234=-1,-Signals_EU!S234*Mapping!$C$13,0))</f>
        <v>0</v>
      </c>
      <c r="N234" s="1">
        <f>IF(Signals_EU!E234=1,Signals_EU!R234*Mapping!$C$14,IF(Signals_EU!E234=-1,-Signals_EU!S234*Mapping!$C$14,0))</f>
        <v>-5.000000000000001E-2</v>
      </c>
      <c r="O234" s="1">
        <f>0</f>
        <v>0</v>
      </c>
      <c r="P234" s="1">
        <f>0</f>
        <v>0</v>
      </c>
      <c r="Q234" s="1">
        <f>IF(Signals_EU!J234=1,Signals_EU!R234*Mapping!$C$17,IF(Signals_EU!J234=-1,-Signals_EU!S234*Mapping!$C$17,0))</f>
        <v>5.000000000000001E-2</v>
      </c>
      <c r="R234" s="1">
        <f>IF(Signals_EU!K234=1,Signals_EU!R234*Mapping!$C$18,IF(Signals_EU!K234=-1,-Signals_EU!S234*Mapping!$C$18,0))</f>
        <v>0</v>
      </c>
      <c r="S234" s="1">
        <f>IF(Signals_EU!M234=1,Signals_EU!R234*Mapping!$C$19,IF(Signals_EU!M234=-1,-Signals_EU!S234*Mapping!$C$19,0))</f>
        <v>0</v>
      </c>
      <c r="T234" s="1">
        <f>IF(Signals_EU!L234=1,Signals_EU!R234*Mapping!$C$20,IF(Signals_EU!L234=-1,-Signals_EU!S234*Mapping!$C$20,0))</f>
        <v>5.000000000000001E-2</v>
      </c>
      <c r="U234" s="1">
        <f t="shared" si="3"/>
        <v>0</v>
      </c>
    </row>
    <row r="235" spans="1:21">
      <c r="A235" s="5">
        <f>Signals_EU!B235</f>
        <v>46143</v>
      </c>
      <c r="B235" s="1">
        <f>IF(Signals_EU!O235=1,Signals_EU!R235*Mapping!$C$2,IF(Signals_EU!O235=-1,-Signals_EU!S235*Mapping!$C$2,0))</f>
        <v>0</v>
      </c>
      <c r="C235" s="1">
        <f>IF(Signals_EU!F235=1,Signals_EU!R235*Mapping!$C$3,IF(Signals_EU!F235=-1,-Signals_EU!S235*Mapping!$C$3,0))</f>
        <v>0</v>
      </c>
      <c r="D235" s="1">
        <f>IF(Signals_EU!C235=1,Signals_EU!R235*Mapping!$C$4,IF(Signals_EU!C235=-1,-Signals_EU!S235*Mapping!$C$4,0))</f>
        <v>2.5000000000000005E-2</v>
      </c>
      <c r="E235" s="1">
        <f>IF(Signals_EU!C235=1,Signals_EU!R235*Mapping!$C$5,IF(Signals_EU!C235=-1,-Signals_EU!S235*Mapping!$C$5,0))</f>
        <v>2.5000000000000005E-2</v>
      </c>
      <c r="F235" s="1">
        <f>IF(Signals_EU!H235=1,Signals_EU!R235*Mapping!$C$6,IF(Signals_EU!H235=-1,-Signals_EU!S235*Mapping!$C$6,0))</f>
        <v>-1.0000000000000002E-2</v>
      </c>
      <c r="G235" s="1">
        <f>IF(Signals_EU!F235=1,Signals_EU!R235*Mapping!$C$7,IF(Signals_EU!F235=-1,-Signals_EU!S235*Mapping!$C$7,0))</f>
        <v>0</v>
      </c>
      <c r="H235" s="1">
        <f>IF(Signals_EU!D235=1,Signals_EU!R235*Mapping!$C$8,IF(Signals_EU!D235=-1,-Signals_EU!S235*Mapping!$C$8,0))</f>
        <v>-5.000000000000001E-2</v>
      </c>
      <c r="I235" s="1">
        <f>IF(Signals_EU!G235=1,Signals_EU!R235*Mapping!$C$9,IF(Signals_EU!G235=-1,-Signals_EU!S235*Mapping!$C$9,0))</f>
        <v>0</v>
      </c>
      <c r="J235" s="1">
        <f>IF(Signals_EU!H235=1,Signals_EU!R235*Mapping!$C$10,IF(Signals_EU!H235=-1,-Signals_EU!S235*Mapping!$C$10,0))</f>
        <v>-4.0000000000000008E-2</v>
      </c>
      <c r="K235" s="1">
        <f>IF(Signals_EU!F235=1,Signals_EU!R235*Mapping!$C$11,IF(Signals_EU!F235=-1,-Signals_EU!S235*Mapping!$C$11,0))</f>
        <v>0</v>
      </c>
      <c r="L235" s="1">
        <f>IF(Signals_EU!N235=1,Signals_EU!R235*Mapping!$C$12,IF(Signals_EU!N235=-1,-Signals_EU!S235*Mapping!$C$12,0))</f>
        <v>0</v>
      </c>
      <c r="M235" s="1">
        <f>IF(Signals_EU!I235=1,Signals_EU!R235*Mapping!$C$13,IF(Signals_EU!I235=-1,-Signals_EU!S235*Mapping!$C$13,0))</f>
        <v>0</v>
      </c>
      <c r="N235" s="1">
        <f>IF(Signals_EU!E235=1,Signals_EU!R235*Mapping!$C$14,IF(Signals_EU!E235=-1,-Signals_EU!S235*Mapping!$C$14,0))</f>
        <v>-5.000000000000001E-2</v>
      </c>
      <c r="O235" s="1">
        <f>0</f>
        <v>0</v>
      </c>
      <c r="P235" s="1">
        <f>0</f>
        <v>0</v>
      </c>
      <c r="Q235" s="1">
        <f>IF(Signals_EU!J235=1,Signals_EU!R235*Mapping!$C$17,IF(Signals_EU!J235=-1,-Signals_EU!S235*Mapping!$C$17,0))</f>
        <v>5.000000000000001E-2</v>
      </c>
      <c r="R235" s="1">
        <f>IF(Signals_EU!K235=1,Signals_EU!R235*Mapping!$C$18,IF(Signals_EU!K235=-1,-Signals_EU!S235*Mapping!$C$18,0))</f>
        <v>0</v>
      </c>
      <c r="S235" s="1">
        <f>IF(Signals_EU!M235=1,Signals_EU!R235*Mapping!$C$19,IF(Signals_EU!M235=-1,-Signals_EU!S235*Mapping!$C$19,0))</f>
        <v>0</v>
      </c>
      <c r="T235" s="1">
        <f>IF(Signals_EU!L235=1,Signals_EU!R235*Mapping!$C$20,IF(Signals_EU!L235=-1,-Signals_EU!S235*Mapping!$C$20,0))</f>
        <v>5.000000000000001E-2</v>
      </c>
      <c r="U235" s="1">
        <f t="shared" si="3"/>
        <v>0</v>
      </c>
    </row>
    <row r="236" spans="1:21">
      <c r="A236" s="5">
        <f>Signals_EU!B236</f>
        <v>46174</v>
      </c>
      <c r="B236" s="1">
        <f>IF(Signals_EU!O236=1,Signals_EU!R236*Mapping!$C$2,IF(Signals_EU!O236=-1,-Signals_EU!S236*Mapping!$C$2,0))</f>
        <v>-5.000000000000001E-2</v>
      </c>
      <c r="C236" s="1">
        <f>IF(Signals_EU!F236=1,Signals_EU!R236*Mapping!$C$3,IF(Signals_EU!F236=-1,-Signals_EU!S236*Mapping!$C$3,0))</f>
        <v>0</v>
      </c>
      <c r="D236" s="1">
        <f>IF(Signals_EU!C236=1,Signals_EU!R236*Mapping!$C$4,IF(Signals_EU!C236=-1,-Signals_EU!S236*Mapping!$C$4,0))</f>
        <v>0</v>
      </c>
      <c r="E236" s="1">
        <f>IF(Signals_EU!C236=1,Signals_EU!R236*Mapping!$C$5,IF(Signals_EU!C236=-1,-Signals_EU!S236*Mapping!$C$5,0))</f>
        <v>0</v>
      </c>
      <c r="F236" s="1">
        <f>IF(Signals_EU!H236=1,Signals_EU!R236*Mapping!$C$6,IF(Signals_EU!H236=-1,-Signals_EU!S236*Mapping!$C$6,0))</f>
        <v>0</v>
      </c>
      <c r="G236" s="1">
        <f>IF(Signals_EU!F236=1,Signals_EU!R236*Mapping!$C$7,IF(Signals_EU!F236=-1,-Signals_EU!S236*Mapping!$C$7,0))</f>
        <v>0</v>
      </c>
      <c r="H236" s="1">
        <f>IF(Signals_EU!D236=1,Signals_EU!R236*Mapping!$C$8,IF(Signals_EU!D236=-1,-Signals_EU!S236*Mapping!$C$8,0))</f>
        <v>-5.000000000000001E-2</v>
      </c>
      <c r="I236" s="1">
        <f>IF(Signals_EU!G236=1,Signals_EU!R236*Mapping!$C$9,IF(Signals_EU!G236=-1,-Signals_EU!S236*Mapping!$C$9,0))</f>
        <v>0</v>
      </c>
      <c r="J236" s="1">
        <f>IF(Signals_EU!H236=1,Signals_EU!R236*Mapping!$C$10,IF(Signals_EU!H236=-1,-Signals_EU!S236*Mapping!$C$10,0))</f>
        <v>0</v>
      </c>
      <c r="K236" s="1">
        <f>IF(Signals_EU!F236=1,Signals_EU!R236*Mapping!$C$11,IF(Signals_EU!F236=-1,-Signals_EU!S236*Mapping!$C$11,0))</f>
        <v>0</v>
      </c>
      <c r="L236" s="1">
        <f>IF(Signals_EU!N236=1,Signals_EU!R236*Mapping!$C$12,IF(Signals_EU!N236=-1,-Signals_EU!S236*Mapping!$C$12,0))</f>
        <v>0</v>
      </c>
      <c r="M236" s="1">
        <f>IF(Signals_EU!I236=1,Signals_EU!R236*Mapping!$C$13,IF(Signals_EU!I236=-1,-Signals_EU!S236*Mapping!$C$13,0))</f>
        <v>5.000000000000001E-2</v>
      </c>
      <c r="N236" s="1">
        <f>IF(Signals_EU!E236=1,Signals_EU!R236*Mapping!$C$14,IF(Signals_EU!E236=-1,-Signals_EU!S236*Mapping!$C$14,0))</f>
        <v>-5.000000000000001E-2</v>
      </c>
      <c r="O236" s="1">
        <f>0</f>
        <v>0</v>
      </c>
      <c r="P236" s="1">
        <f>0</f>
        <v>0</v>
      </c>
      <c r="Q236" s="1">
        <f>IF(Signals_EU!J236=1,Signals_EU!R236*Mapping!$C$17,IF(Signals_EU!J236=-1,-Signals_EU!S236*Mapping!$C$17,0))</f>
        <v>5.000000000000001E-2</v>
      </c>
      <c r="R236" s="1">
        <f>IF(Signals_EU!K236=1,Signals_EU!R236*Mapping!$C$18,IF(Signals_EU!K236=-1,-Signals_EU!S236*Mapping!$C$18,0))</f>
        <v>0</v>
      </c>
      <c r="S236" s="1">
        <f>IF(Signals_EU!M236=1,Signals_EU!R236*Mapping!$C$19,IF(Signals_EU!M236=-1,-Signals_EU!S236*Mapping!$C$19,0))</f>
        <v>0</v>
      </c>
      <c r="T236" s="1">
        <f>IF(Signals_EU!L236=1,Signals_EU!R236*Mapping!$C$20,IF(Signals_EU!L236=-1,-Signals_EU!S236*Mapping!$C$20,0))</f>
        <v>5.000000000000001E-2</v>
      </c>
      <c r="U236" s="1">
        <f t="shared" si="3"/>
        <v>0</v>
      </c>
    </row>
    <row r="237" spans="1:21">
      <c r="A237" s="5">
        <f>Signals_EU!B237</f>
        <v>46204</v>
      </c>
      <c r="B237" s="1">
        <f>IF(Signals_EU!O237=1,Signals_EU!R237*Mapping!$C$2,IF(Signals_EU!O237=-1,-Signals_EU!S237*Mapping!$C$2,0))</f>
        <v>-5.000000000000001E-2</v>
      </c>
      <c r="C237" s="1">
        <f>IF(Signals_EU!F237=1,Signals_EU!R237*Mapping!$C$3,IF(Signals_EU!F237=-1,-Signals_EU!S237*Mapping!$C$3,0))</f>
        <v>0</v>
      </c>
      <c r="D237" s="1">
        <f>IF(Signals_EU!C237=1,Signals_EU!R237*Mapping!$C$4,IF(Signals_EU!C237=-1,-Signals_EU!S237*Mapping!$C$4,0))</f>
        <v>2.5000000000000005E-2</v>
      </c>
      <c r="E237" s="1">
        <f>IF(Signals_EU!C237=1,Signals_EU!R237*Mapping!$C$5,IF(Signals_EU!C237=-1,-Signals_EU!S237*Mapping!$C$5,0))</f>
        <v>2.5000000000000005E-2</v>
      </c>
      <c r="F237" s="1">
        <f>IF(Signals_EU!H237=1,Signals_EU!R237*Mapping!$C$6,IF(Signals_EU!H237=-1,-Signals_EU!S237*Mapping!$C$6,0))</f>
        <v>0</v>
      </c>
      <c r="G237" s="1">
        <f>IF(Signals_EU!F237=1,Signals_EU!R237*Mapping!$C$7,IF(Signals_EU!F237=-1,-Signals_EU!S237*Mapping!$C$7,0))</f>
        <v>0</v>
      </c>
      <c r="H237" s="1">
        <f>IF(Signals_EU!D237=1,Signals_EU!R237*Mapping!$C$8,IF(Signals_EU!D237=-1,-Signals_EU!S237*Mapping!$C$8,0))</f>
        <v>-5.000000000000001E-2</v>
      </c>
      <c r="I237" s="1">
        <f>IF(Signals_EU!G237=1,Signals_EU!R237*Mapping!$C$9,IF(Signals_EU!G237=-1,-Signals_EU!S237*Mapping!$C$9,0))</f>
        <v>0</v>
      </c>
      <c r="J237" s="1">
        <f>IF(Signals_EU!H237=1,Signals_EU!R237*Mapping!$C$10,IF(Signals_EU!H237=-1,-Signals_EU!S237*Mapping!$C$10,0))</f>
        <v>0</v>
      </c>
      <c r="K237" s="1">
        <f>IF(Signals_EU!F237=1,Signals_EU!R237*Mapping!$C$11,IF(Signals_EU!F237=-1,-Signals_EU!S237*Mapping!$C$11,0))</f>
        <v>0</v>
      </c>
      <c r="L237" s="1">
        <f>IF(Signals_EU!N237=1,Signals_EU!R237*Mapping!$C$12,IF(Signals_EU!N237=-1,-Signals_EU!S237*Mapping!$C$12,0))</f>
        <v>0</v>
      </c>
      <c r="M237" s="1">
        <f>IF(Signals_EU!I237=1,Signals_EU!R237*Mapping!$C$13,IF(Signals_EU!I237=-1,-Signals_EU!S237*Mapping!$C$13,0))</f>
        <v>0</v>
      </c>
      <c r="N237" s="1">
        <f>IF(Signals_EU!E237=1,Signals_EU!R237*Mapping!$C$14,IF(Signals_EU!E237=-1,-Signals_EU!S237*Mapping!$C$14,0))</f>
        <v>-5.000000000000001E-2</v>
      </c>
      <c r="O237" s="1">
        <f>0</f>
        <v>0</v>
      </c>
      <c r="P237" s="1">
        <f>0</f>
        <v>0</v>
      </c>
      <c r="Q237" s="1">
        <f>IF(Signals_EU!J237=1,Signals_EU!R237*Mapping!$C$17,IF(Signals_EU!J237=-1,-Signals_EU!S237*Mapping!$C$17,0))</f>
        <v>5.000000000000001E-2</v>
      </c>
      <c r="R237" s="1">
        <f>IF(Signals_EU!K237=1,Signals_EU!R237*Mapping!$C$18,IF(Signals_EU!K237=-1,-Signals_EU!S237*Mapping!$C$18,0))</f>
        <v>0</v>
      </c>
      <c r="S237" s="1">
        <f>IF(Signals_EU!M237=1,Signals_EU!R237*Mapping!$C$19,IF(Signals_EU!M237=-1,-Signals_EU!S237*Mapping!$C$19,0))</f>
        <v>0</v>
      </c>
      <c r="T237" s="1">
        <f>IF(Signals_EU!L237=1,Signals_EU!R237*Mapping!$C$20,IF(Signals_EU!L237=-1,-Signals_EU!S237*Mapping!$C$20,0))</f>
        <v>5.000000000000001E-2</v>
      </c>
      <c r="U237" s="1">
        <f t="shared" si="3"/>
        <v>0</v>
      </c>
    </row>
    <row r="238" spans="1:21">
      <c r="A238" s="5">
        <f>Signals_EU!B238</f>
        <v>46235</v>
      </c>
      <c r="B238" s="1">
        <f>IF(Signals_EU!O238=1,Signals_EU!R238*Mapping!$C$2,IF(Signals_EU!O238=-1,-Signals_EU!S238*Mapping!$C$2,0))</f>
        <v>-5.000000000000001E-2</v>
      </c>
      <c r="C238" s="1">
        <f>IF(Signals_EU!F238=1,Signals_EU!R238*Mapping!$C$3,IF(Signals_EU!F238=-1,-Signals_EU!S238*Mapping!$C$3,0))</f>
        <v>0</v>
      </c>
      <c r="D238" s="1">
        <f>IF(Signals_EU!C238=1,Signals_EU!R238*Mapping!$C$4,IF(Signals_EU!C238=-1,-Signals_EU!S238*Mapping!$C$4,0))</f>
        <v>-2.5000000000000005E-2</v>
      </c>
      <c r="E238" s="1">
        <f>IF(Signals_EU!C238=1,Signals_EU!R238*Mapping!$C$5,IF(Signals_EU!C238=-1,-Signals_EU!S238*Mapping!$C$5,0))</f>
        <v>-2.5000000000000005E-2</v>
      </c>
      <c r="F238" s="1">
        <f>IF(Signals_EU!H238=1,Signals_EU!R238*Mapping!$C$6,IF(Signals_EU!H238=-1,-Signals_EU!S238*Mapping!$C$6,0))</f>
        <v>0</v>
      </c>
      <c r="G238" s="1">
        <f>IF(Signals_EU!F238=1,Signals_EU!R238*Mapping!$C$7,IF(Signals_EU!F238=-1,-Signals_EU!S238*Mapping!$C$7,0))</f>
        <v>0</v>
      </c>
      <c r="H238" s="1">
        <f>IF(Signals_EU!D238=1,Signals_EU!R238*Mapping!$C$8,IF(Signals_EU!D238=-1,-Signals_EU!S238*Mapping!$C$8,0))</f>
        <v>-5.000000000000001E-2</v>
      </c>
      <c r="I238" s="1">
        <f>IF(Signals_EU!G238=1,Signals_EU!R238*Mapping!$C$9,IF(Signals_EU!G238=-1,-Signals_EU!S238*Mapping!$C$9,0))</f>
        <v>0</v>
      </c>
      <c r="J238" s="1">
        <f>IF(Signals_EU!H238=1,Signals_EU!R238*Mapping!$C$10,IF(Signals_EU!H238=-1,-Signals_EU!S238*Mapping!$C$10,0))</f>
        <v>0</v>
      </c>
      <c r="K238" s="1">
        <f>IF(Signals_EU!F238=1,Signals_EU!R238*Mapping!$C$11,IF(Signals_EU!F238=-1,-Signals_EU!S238*Mapping!$C$11,0))</f>
        <v>0</v>
      </c>
      <c r="L238" s="1">
        <f>IF(Signals_EU!N238=1,Signals_EU!R238*Mapping!$C$12,IF(Signals_EU!N238=-1,-Signals_EU!S238*Mapping!$C$12,0))</f>
        <v>5.000000000000001E-2</v>
      </c>
      <c r="M238" s="1">
        <f>IF(Signals_EU!I238=1,Signals_EU!R238*Mapping!$C$13,IF(Signals_EU!I238=-1,-Signals_EU!S238*Mapping!$C$13,0))</f>
        <v>0</v>
      </c>
      <c r="N238" s="1">
        <f>IF(Signals_EU!E238=1,Signals_EU!R238*Mapping!$C$14,IF(Signals_EU!E238=-1,-Signals_EU!S238*Mapping!$C$14,0))</f>
        <v>0</v>
      </c>
      <c r="O238" s="1">
        <f>0</f>
        <v>0</v>
      </c>
      <c r="P238" s="1">
        <f>0</f>
        <v>0</v>
      </c>
      <c r="Q238" s="1">
        <f>IF(Signals_EU!J238=1,Signals_EU!R238*Mapping!$C$17,IF(Signals_EU!J238=-1,-Signals_EU!S238*Mapping!$C$17,0))</f>
        <v>5.000000000000001E-2</v>
      </c>
      <c r="R238" s="1">
        <f>IF(Signals_EU!K238=1,Signals_EU!R238*Mapping!$C$18,IF(Signals_EU!K238=-1,-Signals_EU!S238*Mapping!$C$18,0))</f>
        <v>0</v>
      </c>
      <c r="S238" s="1">
        <f>IF(Signals_EU!M238=1,Signals_EU!R238*Mapping!$C$19,IF(Signals_EU!M238=-1,-Signals_EU!S238*Mapping!$C$19,0))</f>
        <v>0</v>
      </c>
      <c r="T238" s="1">
        <f>IF(Signals_EU!L238=1,Signals_EU!R238*Mapping!$C$20,IF(Signals_EU!L238=-1,-Signals_EU!S238*Mapping!$C$20,0))</f>
        <v>5.000000000000001E-2</v>
      </c>
      <c r="U238" s="1">
        <f t="shared" si="3"/>
        <v>0</v>
      </c>
    </row>
    <row r="239" spans="1:21">
      <c r="A239" s="5">
        <f>Signals_EU!B239</f>
        <v>46266</v>
      </c>
      <c r="B239" s="1">
        <f>IF(Signals_EU!O239=1,Signals_EU!R239*Mapping!$C$2,IF(Signals_EU!O239=-1,-Signals_EU!S239*Mapping!$C$2,0))</f>
        <v>-5.000000000000001E-2</v>
      </c>
      <c r="C239" s="1">
        <f>IF(Signals_EU!F239=1,Signals_EU!R239*Mapping!$C$3,IF(Signals_EU!F239=-1,-Signals_EU!S239*Mapping!$C$3,0))</f>
        <v>3.0000000000000006E-2</v>
      </c>
      <c r="D239" s="1">
        <f>IF(Signals_EU!C239=1,Signals_EU!R239*Mapping!$C$4,IF(Signals_EU!C239=-1,-Signals_EU!S239*Mapping!$C$4,0))</f>
        <v>0</v>
      </c>
      <c r="E239" s="1">
        <f>IF(Signals_EU!C239=1,Signals_EU!R239*Mapping!$C$5,IF(Signals_EU!C239=-1,-Signals_EU!S239*Mapping!$C$5,0))</f>
        <v>0</v>
      </c>
      <c r="F239" s="1">
        <f>IF(Signals_EU!H239=1,Signals_EU!R239*Mapping!$C$6,IF(Signals_EU!H239=-1,-Signals_EU!S239*Mapping!$C$6,0))</f>
        <v>0</v>
      </c>
      <c r="G239" s="1">
        <f>IF(Signals_EU!F239=1,Signals_EU!R239*Mapping!$C$7,IF(Signals_EU!F239=-1,-Signals_EU!S239*Mapping!$C$7,0))</f>
        <v>1.0000000000000002E-2</v>
      </c>
      <c r="H239" s="1">
        <f>IF(Signals_EU!D239=1,Signals_EU!R239*Mapping!$C$8,IF(Signals_EU!D239=-1,-Signals_EU!S239*Mapping!$C$8,0))</f>
        <v>-5.000000000000001E-2</v>
      </c>
      <c r="I239" s="1">
        <f>IF(Signals_EU!G239=1,Signals_EU!R239*Mapping!$C$9,IF(Signals_EU!G239=-1,-Signals_EU!S239*Mapping!$C$9,0))</f>
        <v>0</v>
      </c>
      <c r="J239" s="1">
        <f>IF(Signals_EU!H239=1,Signals_EU!R239*Mapping!$C$10,IF(Signals_EU!H239=-1,-Signals_EU!S239*Mapping!$C$10,0))</f>
        <v>0</v>
      </c>
      <c r="K239" s="1">
        <f>IF(Signals_EU!F239=1,Signals_EU!R239*Mapping!$C$11,IF(Signals_EU!F239=-1,-Signals_EU!S239*Mapping!$C$11,0))</f>
        <v>1.0000000000000002E-2</v>
      </c>
      <c r="L239" s="1">
        <f>IF(Signals_EU!N239=1,Signals_EU!R239*Mapping!$C$12,IF(Signals_EU!N239=-1,-Signals_EU!S239*Mapping!$C$12,0))</f>
        <v>0</v>
      </c>
      <c r="M239" s="1">
        <f>IF(Signals_EU!I239=1,Signals_EU!R239*Mapping!$C$13,IF(Signals_EU!I239=-1,-Signals_EU!S239*Mapping!$C$13,0))</f>
        <v>5.000000000000001E-2</v>
      </c>
      <c r="N239" s="1">
        <f>IF(Signals_EU!E239=1,Signals_EU!R239*Mapping!$C$14,IF(Signals_EU!E239=-1,-Signals_EU!S239*Mapping!$C$14,0))</f>
        <v>-5.000000000000001E-2</v>
      </c>
      <c r="O239" s="1">
        <f>0</f>
        <v>0</v>
      </c>
      <c r="P239" s="1">
        <f>0</f>
        <v>0</v>
      </c>
      <c r="Q239" s="1">
        <f>IF(Signals_EU!J239=1,Signals_EU!R239*Mapping!$C$17,IF(Signals_EU!J239=-1,-Signals_EU!S239*Mapping!$C$17,0))</f>
        <v>5.000000000000001E-2</v>
      </c>
      <c r="R239" s="1">
        <f>IF(Signals_EU!K239=1,Signals_EU!R239*Mapping!$C$18,IF(Signals_EU!K239=-1,-Signals_EU!S239*Mapping!$C$18,0))</f>
        <v>0</v>
      </c>
      <c r="S239" s="1">
        <f>IF(Signals_EU!M239=1,Signals_EU!R239*Mapping!$C$19,IF(Signals_EU!M239=-1,-Signals_EU!S239*Mapping!$C$19,0))</f>
        <v>0</v>
      </c>
      <c r="T239" s="1">
        <f>IF(Signals_EU!L239=1,Signals_EU!R239*Mapping!$C$20,IF(Signals_EU!L239=-1,-Signals_EU!S239*Mapping!$C$20,0))</f>
        <v>0</v>
      </c>
      <c r="U239" s="1">
        <f t="shared" si="3"/>
        <v>0</v>
      </c>
    </row>
    <row r="240" spans="1:21">
      <c r="A240" s="5">
        <f>Signals_EU!B240</f>
        <v>46296</v>
      </c>
      <c r="B240" s="1">
        <f>IF(Signals_EU!O240=1,Signals_EU!R240*Mapping!$C$2,IF(Signals_EU!O240=-1,-Signals_EU!S240*Mapping!$C$2,0))</f>
        <v>-5.000000000000001E-2</v>
      </c>
      <c r="C240" s="1">
        <f>IF(Signals_EU!F240=1,Signals_EU!R240*Mapping!$C$3,IF(Signals_EU!F240=-1,-Signals_EU!S240*Mapping!$C$3,0))</f>
        <v>3.0000000000000006E-2</v>
      </c>
      <c r="D240" s="1">
        <f>IF(Signals_EU!C240=1,Signals_EU!R240*Mapping!$C$4,IF(Signals_EU!C240=-1,-Signals_EU!S240*Mapping!$C$4,0))</f>
        <v>0</v>
      </c>
      <c r="E240" s="1">
        <f>IF(Signals_EU!C240=1,Signals_EU!R240*Mapping!$C$5,IF(Signals_EU!C240=-1,-Signals_EU!S240*Mapping!$C$5,0))</f>
        <v>0</v>
      </c>
      <c r="F240" s="1">
        <f>IF(Signals_EU!H240=1,Signals_EU!R240*Mapping!$C$6,IF(Signals_EU!H240=-1,-Signals_EU!S240*Mapping!$C$6,0))</f>
        <v>0</v>
      </c>
      <c r="G240" s="1">
        <f>IF(Signals_EU!F240=1,Signals_EU!R240*Mapping!$C$7,IF(Signals_EU!F240=-1,-Signals_EU!S240*Mapping!$C$7,0))</f>
        <v>1.0000000000000002E-2</v>
      </c>
      <c r="H240" s="1">
        <f>IF(Signals_EU!D240=1,Signals_EU!R240*Mapping!$C$8,IF(Signals_EU!D240=-1,-Signals_EU!S240*Mapping!$C$8,0))</f>
        <v>-5.000000000000001E-2</v>
      </c>
      <c r="I240" s="1">
        <f>IF(Signals_EU!G240=1,Signals_EU!R240*Mapping!$C$9,IF(Signals_EU!G240=-1,-Signals_EU!S240*Mapping!$C$9,0))</f>
        <v>5.000000000000001E-2</v>
      </c>
      <c r="J240" s="1">
        <f>IF(Signals_EU!H240=1,Signals_EU!R240*Mapping!$C$10,IF(Signals_EU!H240=-1,-Signals_EU!S240*Mapping!$C$10,0))</f>
        <v>0</v>
      </c>
      <c r="K240" s="1">
        <f>IF(Signals_EU!F240=1,Signals_EU!R240*Mapping!$C$11,IF(Signals_EU!F240=-1,-Signals_EU!S240*Mapping!$C$11,0))</f>
        <v>1.0000000000000002E-2</v>
      </c>
      <c r="L240" s="1">
        <f>IF(Signals_EU!N240=1,Signals_EU!R240*Mapping!$C$12,IF(Signals_EU!N240=-1,-Signals_EU!S240*Mapping!$C$12,0))</f>
        <v>0</v>
      </c>
      <c r="M240" s="1">
        <f>IF(Signals_EU!I240=1,Signals_EU!R240*Mapping!$C$13,IF(Signals_EU!I240=-1,-Signals_EU!S240*Mapping!$C$13,0))</f>
        <v>-5.000000000000001E-2</v>
      </c>
      <c r="N240" s="1">
        <f>IF(Signals_EU!E240=1,Signals_EU!R240*Mapping!$C$14,IF(Signals_EU!E240=-1,-Signals_EU!S240*Mapping!$C$14,0))</f>
        <v>0</v>
      </c>
      <c r="O240" s="1">
        <f>0</f>
        <v>0</v>
      </c>
      <c r="P240" s="1">
        <f>0</f>
        <v>0</v>
      </c>
      <c r="Q240" s="1">
        <f>IF(Signals_EU!J240=1,Signals_EU!R240*Mapping!$C$17,IF(Signals_EU!J240=-1,-Signals_EU!S240*Mapping!$C$17,0))</f>
        <v>5.000000000000001E-2</v>
      </c>
      <c r="R240" s="1">
        <f>IF(Signals_EU!K240=1,Signals_EU!R240*Mapping!$C$18,IF(Signals_EU!K240=-1,-Signals_EU!S240*Mapping!$C$18,0))</f>
        <v>0</v>
      </c>
      <c r="S240" s="1">
        <f>IF(Signals_EU!M240=1,Signals_EU!R240*Mapping!$C$19,IF(Signals_EU!M240=-1,-Signals_EU!S240*Mapping!$C$19,0))</f>
        <v>0</v>
      </c>
      <c r="T240" s="1">
        <f>IF(Signals_EU!L240=1,Signals_EU!R240*Mapping!$C$20,IF(Signals_EU!L240=-1,-Signals_EU!S240*Mapping!$C$20,0))</f>
        <v>0</v>
      </c>
      <c r="U240" s="1">
        <f t="shared" si="3"/>
        <v>0</v>
      </c>
    </row>
  </sheetData>
  <conditionalFormatting sqref="B2:T240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0AB9-B12A-4FFF-B14E-99DF31762D17}">
  <dimension ref="A1:R240"/>
  <sheetViews>
    <sheetView workbookViewId="0"/>
  </sheetViews>
  <sheetFormatPr defaultRowHeight="14.5"/>
  <cols>
    <col min="1" max="2" width="18.6328125" customWidth="1"/>
    <col min="3" max="14" width="14.6328125" customWidth="1"/>
    <col min="15" max="18" width="16.6328125" customWidth="1"/>
  </cols>
  <sheetData>
    <row r="1" spans="1:18" ht="64" customHeight="1">
      <c r="A1" s="4" t="s">
        <v>44</v>
      </c>
      <c r="B1" s="4" t="s">
        <v>45</v>
      </c>
      <c r="C1" s="4" t="s">
        <v>10</v>
      </c>
      <c r="D1" s="4" t="s">
        <v>16</v>
      </c>
      <c r="E1" s="4" t="s">
        <v>27</v>
      </c>
      <c r="F1" s="4" t="s">
        <v>8</v>
      </c>
      <c r="G1" s="4" t="s">
        <v>18</v>
      </c>
      <c r="H1" s="4" t="s">
        <v>13</v>
      </c>
      <c r="I1" s="4" t="s">
        <v>23</v>
      </c>
      <c r="J1" s="4" t="s">
        <v>29</v>
      </c>
      <c r="K1" s="4" t="s">
        <v>31</v>
      </c>
      <c r="L1" s="4" t="s">
        <v>35</v>
      </c>
      <c r="M1" s="4" t="s">
        <v>33</v>
      </c>
      <c r="N1" s="4" t="s">
        <v>21</v>
      </c>
      <c r="O1" s="4" t="s">
        <v>46</v>
      </c>
      <c r="P1" s="4" t="s">
        <v>47</v>
      </c>
      <c r="Q1" s="4" t="s">
        <v>48</v>
      </c>
      <c r="R1" s="4" t="s">
        <v>49</v>
      </c>
    </row>
    <row r="2" spans="1:18">
      <c r="A2" s="5">
        <v>39051</v>
      </c>
      <c r="B2" s="5">
        <v>39052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f>COUNTIF(C2:N2,1)</f>
        <v>3</v>
      </c>
      <c r="P2">
        <f>COUNTIF(C2:N2,-1)</f>
        <v>0</v>
      </c>
      <c r="Q2" s="1">
        <f>IF(OR(O2=0,P2=0),0,MIN(O2,P2)*Mapping!$I$2/O2)</f>
        <v>0</v>
      </c>
      <c r="R2" s="1">
        <f>IF(OR(O2=0,P2=0),0,MIN(O2,P2)*Mapping!$I$2/P2)</f>
        <v>0</v>
      </c>
    </row>
    <row r="3" spans="1:18">
      <c r="A3" s="5">
        <v>39082</v>
      </c>
      <c r="B3" s="5">
        <v>39083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f t="shared" ref="O3:O66" si="0">COUNTIF(C3:N3,1)</f>
        <v>3</v>
      </c>
      <c r="P3">
        <f t="shared" ref="P3:P66" si="1">COUNTIF(C3:N3,-1)</f>
        <v>0</v>
      </c>
      <c r="Q3" s="1">
        <f>IF(OR(O3=0,P3=0),0,MIN(O3,P3)*Mapping!$I$2/O3)</f>
        <v>0</v>
      </c>
      <c r="R3" s="1">
        <f>IF(OR(O3=0,P3=0),0,MIN(O3,P3)*Mapping!$I$2/P3)</f>
        <v>0</v>
      </c>
    </row>
    <row r="4" spans="1:18">
      <c r="A4" s="5">
        <v>39113</v>
      </c>
      <c r="B4" s="5">
        <v>39114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 t="shared" si="0"/>
        <v>3</v>
      </c>
      <c r="P4">
        <f t="shared" si="1"/>
        <v>0</v>
      </c>
      <c r="Q4" s="1">
        <f>IF(OR(O4=0,P4=0),0,MIN(O4,P4)*Mapping!$I$2/O4)</f>
        <v>0</v>
      </c>
      <c r="R4" s="1">
        <f>IF(OR(O4=0,P4=0),0,MIN(O4,P4)*Mapping!$I$2/P4)</f>
        <v>0</v>
      </c>
    </row>
    <row r="5" spans="1:18">
      <c r="A5" s="5">
        <v>39141</v>
      </c>
      <c r="B5" s="5">
        <v>39142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 t="shared" si="0"/>
        <v>3</v>
      </c>
      <c r="P5">
        <f t="shared" si="1"/>
        <v>0</v>
      </c>
      <c r="Q5" s="1">
        <f>IF(OR(O5=0,P5=0),0,MIN(O5,P5)*Mapping!$I$2/O5)</f>
        <v>0</v>
      </c>
      <c r="R5" s="1">
        <f>IF(OR(O5=0,P5=0),0,MIN(O5,P5)*Mapping!$I$2/P5)</f>
        <v>0</v>
      </c>
    </row>
    <row r="6" spans="1:18">
      <c r="A6" s="5">
        <v>39172</v>
      </c>
      <c r="B6" s="5">
        <v>39173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f t="shared" si="0"/>
        <v>3</v>
      </c>
      <c r="P6">
        <f t="shared" si="1"/>
        <v>0</v>
      </c>
      <c r="Q6" s="1">
        <f>IF(OR(O6=0,P6=0),0,MIN(O6,P6)*Mapping!$I$2/O6)</f>
        <v>0</v>
      </c>
      <c r="R6" s="1">
        <f>IF(OR(O6=0,P6=0),0,MIN(O6,P6)*Mapping!$I$2/P6)</f>
        <v>0</v>
      </c>
    </row>
    <row r="7" spans="1:18">
      <c r="A7" s="5">
        <v>39202</v>
      </c>
      <c r="B7" s="5">
        <v>39203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f t="shared" si="0"/>
        <v>3</v>
      </c>
      <c r="P7">
        <f t="shared" si="1"/>
        <v>0</v>
      </c>
      <c r="Q7" s="1">
        <f>IF(OR(O7=0,P7=0),0,MIN(O7,P7)*Mapping!$I$2/O7)</f>
        <v>0</v>
      </c>
      <c r="R7" s="1">
        <f>IF(OR(O7=0,P7=0),0,MIN(O7,P7)*Mapping!$I$2/P7)</f>
        <v>0</v>
      </c>
    </row>
    <row r="8" spans="1:18">
      <c r="A8" s="5">
        <v>39233</v>
      </c>
      <c r="B8" s="5">
        <v>39234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 t="shared" si="0"/>
        <v>3</v>
      </c>
      <c r="P8">
        <f t="shared" si="1"/>
        <v>0</v>
      </c>
      <c r="Q8" s="1">
        <f>IF(OR(O8=0,P8=0),0,MIN(O8,P8)*Mapping!$I$2/O8)</f>
        <v>0</v>
      </c>
      <c r="R8" s="1">
        <f>IF(OR(O8=0,P8=0),0,MIN(O8,P8)*Mapping!$I$2/P8)</f>
        <v>0</v>
      </c>
    </row>
    <row r="9" spans="1:18">
      <c r="A9" s="5">
        <v>39263</v>
      </c>
      <c r="B9" s="5">
        <v>39264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f t="shared" si="0"/>
        <v>3</v>
      </c>
      <c r="P9">
        <f t="shared" si="1"/>
        <v>0</v>
      </c>
      <c r="Q9" s="1">
        <f>IF(OR(O9=0,P9=0),0,MIN(O9,P9)*Mapping!$I$2/O9)</f>
        <v>0</v>
      </c>
      <c r="R9" s="1">
        <f>IF(OR(O9=0,P9=0),0,MIN(O9,P9)*Mapping!$I$2/P9)</f>
        <v>0</v>
      </c>
    </row>
    <row r="10" spans="1:18">
      <c r="A10" s="5">
        <v>39294</v>
      </c>
      <c r="B10" s="5">
        <v>39295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 t="shared" si="0"/>
        <v>3</v>
      </c>
      <c r="P10">
        <f t="shared" si="1"/>
        <v>0</v>
      </c>
      <c r="Q10" s="1">
        <f>IF(OR(O10=0,P10=0),0,MIN(O10,P10)*Mapping!$I$2/O10)</f>
        <v>0</v>
      </c>
      <c r="R10" s="1">
        <f>IF(OR(O10=0,P10=0),0,MIN(O10,P10)*Mapping!$I$2/P10)</f>
        <v>0</v>
      </c>
    </row>
    <row r="11" spans="1:18">
      <c r="A11" s="5">
        <v>39325</v>
      </c>
      <c r="B11" s="5">
        <v>39326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f t="shared" si="0"/>
        <v>3</v>
      </c>
      <c r="P11">
        <f t="shared" si="1"/>
        <v>0</v>
      </c>
      <c r="Q11" s="1">
        <f>IF(OR(O11=0,P11=0),0,MIN(O11,P11)*Mapping!$I$2/O11)</f>
        <v>0</v>
      </c>
      <c r="R11" s="1">
        <f>IF(OR(O11=0,P11=0),0,MIN(O11,P11)*Mapping!$I$2/P11)</f>
        <v>0</v>
      </c>
    </row>
    <row r="12" spans="1:18">
      <c r="A12" s="5">
        <v>39355</v>
      </c>
      <c r="B12" s="5">
        <v>39356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 t="shared" si="0"/>
        <v>3</v>
      </c>
      <c r="P12">
        <f t="shared" si="1"/>
        <v>0</v>
      </c>
      <c r="Q12" s="1">
        <f>IF(OR(O12=0,P12=0),0,MIN(O12,P12)*Mapping!$I$2/O12)</f>
        <v>0</v>
      </c>
      <c r="R12" s="1">
        <f>IF(OR(O12=0,P12=0),0,MIN(O12,P12)*Mapping!$I$2/P12)</f>
        <v>0</v>
      </c>
    </row>
    <row r="13" spans="1:18">
      <c r="A13" s="5">
        <v>39386</v>
      </c>
      <c r="B13" s="5">
        <v>39387</v>
      </c>
      <c r="C13">
        <v>1</v>
      </c>
      <c r="D13">
        <v>0</v>
      </c>
      <c r="E13">
        <v>-1</v>
      </c>
      <c r="F13">
        <v>-1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-1</v>
      </c>
      <c r="O13">
        <f t="shared" si="0"/>
        <v>3</v>
      </c>
      <c r="P13">
        <f t="shared" si="1"/>
        <v>3</v>
      </c>
      <c r="Q13" s="1">
        <f>IF(OR(O13=0,P13=0),0,MIN(O13,P13)*Mapping!$I$2/O13)</f>
        <v>5.000000000000001E-2</v>
      </c>
      <c r="R13" s="1">
        <f>IF(OR(O13=0,P13=0),0,MIN(O13,P13)*Mapping!$I$2/P13)</f>
        <v>5.000000000000001E-2</v>
      </c>
    </row>
    <row r="14" spans="1:18">
      <c r="A14" s="5">
        <v>39416</v>
      </c>
      <c r="B14" s="5">
        <v>39417</v>
      </c>
      <c r="C14">
        <v>1</v>
      </c>
      <c r="D14">
        <v>0</v>
      </c>
      <c r="E14">
        <v>-1</v>
      </c>
      <c r="F14">
        <v>-1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-1</v>
      </c>
      <c r="O14">
        <f t="shared" si="0"/>
        <v>3</v>
      </c>
      <c r="P14">
        <f t="shared" si="1"/>
        <v>3</v>
      </c>
      <c r="Q14" s="1">
        <f>IF(OR(O14=0,P14=0),0,MIN(O14,P14)*Mapping!$I$2/O14)</f>
        <v>5.000000000000001E-2</v>
      </c>
      <c r="R14" s="1">
        <f>IF(OR(O14=0,P14=0),0,MIN(O14,P14)*Mapping!$I$2/P14)</f>
        <v>5.000000000000001E-2</v>
      </c>
    </row>
    <row r="15" spans="1:18">
      <c r="A15" s="5">
        <v>39447</v>
      </c>
      <c r="B15" s="5">
        <v>39448</v>
      </c>
      <c r="C15">
        <v>1</v>
      </c>
      <c r="D15">
        <v>0</v>
      </c>
      <c r="E15">
        <v>-1</v>
      </c>
      <c r="F15">
        <v>-1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-1</v>
      </c>
      <c r="O15">
        <f t="shared" si="0"/>
        <v>3</v>
      </c>
      <c r="P15">
        <f t="shared" si="1"/>
        <v>3</v>
      </c>
      <c r="Q15" s="1">
        <f>IF(OR(O15=0,P15=0),0,MIN(O15,P15)*Mapping!$I$2/O15)</f>
        <v>5.000000000000001E-2</v>
      </c>
      <c r="R15" s="1">
        <f>IF(OR(O15=0,P15=0),0,MIN(O15,P15)*Mapping!$I$2/P15)</f>
        <v>5.000000000000001E-2</v>
      </c>
    </row>
    <row r="16" spans="1:18">
      <c r="A16" s="5">
        <v>39478</v>
      </c>
      <c r="B16" s="5">
        <v>39479</v>
      </c>
      <c r="C16">
        <v>1</v>
      </c>
      <c r="D16">
        <v>0</v>
      </c>
      <c r="E16">
        <v>-1</v>
      </c>
      <c r="F16">
        <v>-1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-1</v>
      </c>
      <c r="O16">
        <f t="shared" si="0"/>
        <v>3</v>
      </c>
      <c r="P16">
        <f t="shared" si="1"/>
        <v>3</v>
      </c>
      <c r="Q16" s="1">
        <f>IF(OR(O16=0,P16=0),0,MIN(O16,P16)*Mapping!$I$2/O16)</f>
        <v>5.000000000000001E-2</v>
      </c>
      <c r="R16" s="1">
        <f>IF(OR(O16=0,P16=0),0,MIN(O16,P16)*Mapping!$I$2/P16)</f>
        <v>5.000000000000001E-2</v>
      </c>
    </row>
    <row r="17" spans="1:18">
      <c r="A17" s="5">
        <v>39507</v>
      </c>
      <c r="B17" s="5">
        <v>39508</v>
      </c>
      <c r="C17">
        <v>1</v>
      </c>
      <c r="D17">
        <v>0</v>
      </c>
      <c r="E17">
        <v>-1</v>
      </c>
      <c r="F17">
        <v>-1</v>
      </c>
      <c r="G17">
        <v>0</v>
      </c>
      <c r="H17">
        <v>0</v>
      </c>
      <c r="I17">
        <v>1</v>
      </c>
      <c r="J17">
        <v>0</v>
      </c>
      <c r="K17">
        <v>-1</v>
      </c>
      <c r="L17">
        <v>1</v>
      </c>
      <c r="M17">
        <v>0</v>
      </c>
      <c r="N17">
        <v>0</v>
      </c>
      <c r="O17">
        <f t="shared" si="0"/>
        <v>3</v>
      </c>
      <c r="P17">
        <f t="shared" si="1"/>
        <v>3</v>
      </c>
      <c r="Q17" s="1">
        <f>IF(OR(O17=0,P17=0),0,MIN(O17,P17)*Mapping!$I$2/O17)</f>
        <v>5.000000000000001E-2</v>
      </c>
      <c r="R17" s="1">
        <f>IF(OR(O17=0,P17=0),0,MIN(O17,P17)*Mapping!$I$2/P17)</f>
        <v>5.000000000000001E-2</v>
      </c>
    </row>
    <row r="18" spans="1:18">
      <c r="A18" s="5">
        <v>39538</v>
      </c>
      <c r="B18" s="5">
        <v>39539</v>
      </c>
      <c r="C18">
        <v>1</v>
      </c>
      <c r="D18">
        <v>1</v>
      </c>
      <c r="E18">
        <v>0</v>
      </c>
      <c r="F18">
        <v>-1</v>
      </c>
      <c r="G18">
        <v>0</v>
      </c>
      <c r="H18">
        <v>0</v>
      </c>
      <c r="I18">
        <v>1</v>
      </c>
      <c r="J18">
        <v>0</v>
      </c>
      <c r="K18">
        <v>-1</v>
      </c>
      <c r="L18">
        <v>0</v>
      </c>
      <c r="M18">
        <v>-1</v>
      </c>
      <c r="N18">
        <v>0</v>
      </c>
      <c r="O18">
        <f t="shared" si="0"/>
        <v>3</v>
      </c>
      <c r="P18">
        <f t="shared" si="1"/>
        <v>3</v>
      </c>
      <c r="Q18" s="1">
        <f>IF(OR(O18=0,P18=0),0,MIN(O18,P18)*Mapping!$I$2/O18)</f>
        <v>5.000000000000001E-2</v>
      </c>
      <c r="R18" s="1">
        <f>IF(OR(O18=0,P18=0),0,MIN(O18,P18)*Mapping!$I$2/P18)</f>
        <v>5.000000000000001E-2</v>
      </c>
    </row>
    <row r="19" spans="1:18">
      <c r="A19" s="5">
        <v>39568</v>
      </c>
      <c r="B19" s="5">
        <v>39569</v>
      </c>
      <c r="C19">
        <v>1</v>
      </c>
      <c r="D19">
        <v>0</v>
      </c>
      <c r="E19">
        <v>0</v>
      </c>
      <c r="F19">
        <v>-1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-1</v>
      </c>
      <c r="N19">
        <v>-1</v>
      </c>
      <c r="O19">
        <f t="shared" si="0"/>
        <v>3</v>
      </c>
      <c r="P19">
        <f t="shared" si="1"/>
        <v>3</v>
      </c>
      <c r="Q19" s="1">
        <f>IF(OR(O19=0,P19=0),0,MIN(O19,P19)*Mapping!$I$2/O19)</f>
        <v>5.000000000000001E-2</v>
      </c>
      <c r="R19" s="1">
        <f>IF(OR(O19=0,P19=0),0,MIN(O19,P19)*Mapping!$I$2/P19)</f>
        <v>5.000000000000001E-2</v>
      </c>
    </row>
    <row r="20" spans="1:18">
      <c r="A20" s="5">
        <v>39599</v>
      </c>
      <c r="B20" s="5">
        <v>39600</v>
      </c>
      <c r="C20">
        <v>1</v>
      </c>
      <c r="D20">
        <v>0</v>
      </c>
      <c r="E20">
        <v>0</v>
      </c>
      <c r="F20">
        <v>-1</v>
      </c>
      <c r="G20">
        <v>-1</v>
      </c>
      <c r="H20">
        <v>0</v>
      </c>
      <c r="I20">
        <v>1</v>
      </c>
      <c r="J20">
        <v>1</v>
      </c>
      <c r="K20">
        <v>0</v>
      </c>
      <c r="L20">
        <v>0</v>
      </c>
      <c r="M20">
        <v>-1</v>
      </c>
      <c r="N20">
        <v>0</v>
      </c>
      <c r="O20">
        <f t="shared" si="0"/>
        <v>3</v>
      </c>
      <c r="P20">
        <f t="shared" si="1"/>
        <v>3</v>
      </c>
      <c r="Q20" s="1">
        <f>IF(OR(O20=0,P20=0),0,MIN(O20,P20)*Mapping!$I$2/O20)</f>
        <v>5.000000000000001E-2</v>
      </c>
      <c r="R20" s="1">
        <f>IF(OR(O20=0,P20=0),0,MIN(O20,P20)*Mapping!$I$2/P20)</f>
        <v>5.000000000000001E-2</v>
      </c>
    </row>
    <row r="21" spans="1:18">
      <c r="A21" s="5">
        <v>39629</v>
      </c>
      <c r="B21" s="5">
        <v>39630</v>
      </c>
      <c r="C21">
        <v>1</v>
      </c>
      <c r="D21">
        <v>0</v>
      </c>
      <c r="E21">
        <v>0</v>
      </c>
      <c r="F21">
        <v>-1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-1</v>
      </c>
      <c r="N21">
        <v>-1</v>
      </c>
      <c r="O21">
        <f t="shared" si="0"/>
        <v>3</v>
      </c>
      <c r="P21">
        <f t="shared" si="1"/>
        <v>3</v>
      </c>
      <c r="Q21" s="1">
        <f>IF(OR(O21=0,P21=0),0,MIN(O21,P21)*Mapping!$I$2/O21)</f>
        <v>5.000000000000001E-2</v>
      </c>
      <c r="R21" s="1">
        <f>IF(OR(O21=0,P21=0),0,MIN(O21,P21)*Mapping!$I$2/P21)</f>
        <v>5.000000000000001E-2</v>
      </c>
    </row>
    <row r="22" spans="1:18">
      <c r="A22" s="5">
        <v>39660</v>
      </c>
      <c r="B22" s="5">
        <v>39661</v>
      </c>
      <c r="C22">
        <v>1</v>
      </c>
      <c r="D22">
        <v>0</v>
      </c>
      <c r="E22">
        <v>0</v>
      </c>
      <c r="F22">
        <v>-1</v>
      </c>
      <c r="G22">
        <v>0</v>
      </c>
      <c r="H22">
        <v>0</v>
      </c>
      <c r="I22">
        <v>1</v>
      </c>
      <c r="J22">
        <v>0</v>
      </c>
      <c r="K22">
        <v>-1</v>
      </c>
      <c r="L22">
        <v>1</v>
      </c>
      <c r="M22">
        <v>-1</v>
      </c>
      <c r="N22">
        <v>0</v>
      </c>
      <c r="O22">
        <f t="shared" si="0"/>
        <v>3</v>
      </c>
      <c r="P22">
        <f t="shared" si="1"/>
        <v>3</v>
      </c>
      <c r="Q22" s="1">
        <f>IF(OR(O22=0,P22=0),0,MIN(O22,P22)*Mapping!$I$2/O22)</f>
        <v>5.000000000000001E-2</v>
      </c>
      <c r="R22" s="1">
        <f>IF(OR(O22=0,P22=0),0,MIN(O22,P22)*Mapping!$I$2/P22)</f>
        <v>5.000000000000001E-2</v>
      </c>
    </row>
    <row r="23" spans="1:18">
      <c r="A23" s="5">
        <v>39691</v>
      </c>
      <c r="B23" s="5">
        <v>39692</v>
      </c>
      <c r="C23">
        <v>1</v>
      </c>
      <c r="D23">
        <v>1</v>
      </c>
      <c r="E23">
        <v>1</v>
      </c>
      <c r="F23">
        <v>-1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-1</v>
      </c>
      <c r="N23">
        <v>-1</v>
      </c>
      <c r="O23">
        <f t="shared" si="0"/>
        <v>3</v>
      </c>
      <c r="P23">
        <f t="shared" si="1"/>
        <v>3</v>
      </c>
      <c r="Q23" s="1">
        <f>IF(OR(O23=0,P23=0),0,MIN(O23,P23)*Mapping!$I$2/O23)</f>
        <v>5.000000000000001E-2</v>
      </c>
      <c r="R23" s="1">
        <f>IF(OR(O23=0,P23=0),0,MIN(O23,P23)*Mapping!$I$2/P23)</f>
        <v>5.000000000000001E-2</v>
      </c>
    </row>
    <row r="24" spans="1:18">
      <c r="A24" s="5">
        <v>39721</v>
      </c>
      <c r="B24" s="5">
        <v>39722</v>
      </c>
      <c r="C24">
        <v>0</v>
      </c>
      <c r="D24">
        <v>0</v>
      </c>
      <c r="E24">
        <v>1</v>
      </c>
      <c r="F24">
        <v>-1</v>
      </c>
      <c r="G24">
        <v>1</v>
      </c>
      <c r="H24">
        <v>0</v>
      </c>
      <c r="I24">
        <v>0</v>
      </c>
      <c r="J24">
        <v>-1</v>
      </c>
      <c r="K24">
        <v>-1</v>
      </c>
      <c r="L24">
        <v>0</v>
      </c>
      <c r="M24">
        <v>0</v>
      </c>
      <c r="N24">
        <v>1</v>
      </c>
      <c r="O24">
        <f t="shared" si="0"/>
        <v>3</v>
      </c>
      <c r="P24">
        <f t="shared" si="1"/>
        <v>3</v>
      </c>
      <c r="Q24" s="1">
        <f>IF(OR(O24=0,P24=0),0,MIN(O24,P24)*Mapping!$I$2/O24)</f>
        <v>5.000000000000001E-2</v>
      </c>
      <c r="R24" s="1">
        <f>IF(OR(O24=0,P24=0),0,MIN(O24,P24)*Mapping!$I$2/P24)</f>
        <v>5.000000000000001E-2</v>
      </c>
    </row>
    <row r="25" spans="1:18">
      <c r="A25" s="5">
        <v>39752</v>
      </c>
      <c r="B25" s="5">
        <v>39753</v>
      </c>
      <c r="C25">
        <v>-1</v>
      </c>
      <c r="D25">
        <v>1</v>
      </c>
      <c r="E25">
        <v>1</v>
      </c>
      <c r="F25">
        <v>-1</v>
      </c>
      <c r="G25">
        <v>1</v>
      </c>
      <c r="H25">
        <v>0</v>
      </c>
      <c r="I25">
        <v>0</v>
      </c>
      <c r="J25">
        <v>0</v>
      </c>
      <c r="K25">
        <v>-1</v>
      </c>
      <c r="L25">
        <v>0</v>
      </c>
      <c r="M25">
        <v>0</v>
      </c>
      <c r="N25">
        <v>0</v>
      </c>
      <c r="O25">
        <f t="shared" si="0"/>
        <v>3</v>
      </c>
      <c r="P25">
        <f t="shared" si="1"/>
        <v>3</v>
      </c>
      <c r="Q25" s="1">
        <f>IF(OR(O25=0,P25=0),0,MIN(O25,P25)*Mapping!$I$2/O25)</f>
        <v>5.000000000000001E-2</v>
      </c>
      <c r="R25" s="1">
        <f>IF(OR(O25=0,P25=0),0,MIN(O25,P25)*Mapping!$I$2/P25)</f>
        <v>5.000000000000001E-2</v>
      </c>
    </row>
    <row r="26" spans="1:18">
      <c r="A26" s="5">
        <v>39782</v>
      </c>
      <c r="B26" s="5">
        <v>39783</v>
      </c>
      <c r="C26">
        <v>-1</v>
      </c>
      <c r="D26">
        <v>1</v>
      </c>
      <c r="E26">
        <v>0</v>
      </c>
      <c r="F26">
        <v>-1</v>
      </c>
      <c r="G26">
        <v>1</v>
      </c>
      <c r="H26">
        <v>0</v>
      </c>
      <c r="I26">
        <v>0</v>
      </c>
      <c r="J26">
        <v>-1</v>
      </c>
      <c r="K26">
        <v>0</v>
      </c>
      <c r="L26">
        <v>1</v>
      </c>
      <c r="M26">
        <v>0</v>
      </c>
      <c r="N26">
        <v>0</v>
      </c>
      <c r="O26">
        <f t="shared" si="0"/>
        <v>3</v>
      </c>
      <c r="P26">
        <f t="shared" si="1"/>
        <v>3</v>
      </c>
      <c r="Q26" s="1">
        <f>IF(OR(O26=0,P26=0),0,MIN(O26,P26)*Mapping!$I$2/O26)</f>
        <v>5.000000000000001E-2</v>
      </c>
      <c r="R26" s="1">
        <f>IF(OR(O26=0,P26=0),0,MIN(O26,P26)*Mapping!$I$2/P26)</f>
        <v>5.000000000000001E-2</v>
      </c>
    </row>
    <row r="27" spans="1:18">
      <c r="A27" s="5">
        <v>39813</v>
      </c>
      <c r="B27" s="5">
        <v>39814</v>
      </c>
      <c r="C27">
        <v>-1</v>
      </c>
      <c r="D27">
        <v>1</v>
      </c>
      <c r="E27">
        <v>1</v>
      </c>
      <c r="F27">
        <v>-1</v>
      </c>
      <c r="G27">
        <v>1</v>
      </c>
      <c r="H27">
        <v>0</v>
      </c>
      <c r="I27">
        <v>0</v>
      </c>
      <c r="J27">
        <v>-1</v>
      </c>
      <c r="K27">
        <v>0</v>
      </c>
      <c r="L27">
        <v>0</v>
      </c>
      <c r="M27">
        <v>0</v>
      </c>
      <c r="N27">
        <v>0</v>
      </c>
      <c r="O27">
        <f t="shared" si="0"/>
        <v>3</v>
      </c>
      <c r="P27">
        <f t="shared" si="1"/>
        <v>3</v>
      </c>
      <c r="Q27" s="1">
        <f>IF(OR(O27=0,P27=0),0,MIN(O27,P27)*Mapping!$I$2/O27)</f>
        <v>5.000000000000001E-2</v>
      </c>
      <c r="R27" s="1">
        <f>IF(OR(O27=0,P27=0),0,MIN(O27,P27)*Mapping!$I$2/P27)</f>
        <v>5.000000000000001E-2</v>
      </c>
    </row>
    <row r="28" spans="1:18">
      <c r="A28" s="5">
        <v>39844</v>
      </c>
      <c r="B28" s="5">
        <v>39845</v>
      </c>
      <c r="C28">
        <v>-1</v>
      </c>
      <c r="D28">
        <v>1</v>
      </c>
      <c r="E28">
        <v>1</v>
      </c>
      <c r="F28">
        <v>-1</v>
      </c>
      <c r="G28">
        <v>1</v>
      </c>
      <c r="H28">
        <v>-1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f t="shared" si="0"/>
        <v>3</v>
      </c>
      <c r="P28">
        <f t="shared" si="1"/>
        <v>3</v>
      </c>
      <c r="Q28" s="1">
        <f>IF(OR(O28=0,P28=0),0,MIN(O28,P28)*Mapping!$I$2/O28)</f>
        <v>5.000000000000001E-2</v>
      </c>
      <c r="R28" s="1">
        <f>IF(OR(O28=0,P28=0),0,MIN(O28,P28)*Mapping!$I$2/P28)</f>
        <v>5.000000000000001E-2</v>
      </c>
    </row>
    <row r="29" spans="1:18">
      <c r="A29" s="5">
        <v>39872</v>
      </c>
      <c r="B29" s="5">
        <v>39873</v>
      </c>
      <c r="C29">
        <v>-1</v>
      </c>
      <c r="D29">
        <v>0</v>
      </c>
      <c r="E29">
        <v>1</v>
      </c>
      <c r="F29">
        <v>-1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-1</v>
      </c>
      <c r="O29">
        <f t="shared" si="0"/>
        <v>3</v>
      </c>
      <c r="P29">
        <f t="shared" si="1"/>
        <v>3</v>
      </c>
      <c r="Q29" s="1">
        <f>IF(OR(O29=0,P29=0),0,MIN(O29,P29)*Mapping!$I$2/O29)</f>
        <v>5.000000000000001E-2</v>
      </c>
      <c r="R29" s="1">
        <f>IF(OR(O29=0,P29=0),0,MIN(O29,P29)*Mapping!$I$2/P29)</f>
        <v>5.000000000000001E-2</v>
      </c>
    </row>
    <row r="30" spans="1:18">
      <c r="A30" s="5">
        <v>39903</v>
      </c>
      <c r="B30" s="5">
        <v>39904</v>
      </c>
      <c r="C30">
        <v>-1</v>
      </c>
      <c r="D30">
        <v>0</v>
      </c>
      <c r="E30">
        <v>0</v>
      </c>
      <c r="F30">
        <v>-1</v>
      </c>
      <c r="G30">
        <v>1</v>
      </c>
      <c r="H30">
        <v>-1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f t="shared" si="0"/>
        <v>3</v>
      </c>
      <c r="P30">
        <f t="shared" si="1"/>
        <v>3</v>
      </c>
      <c r="Q30" s="1">
        <f>IF(OR(O30=0,P30=0),0,MIN(O30,P30)*Mapping!$I$2/O30)</f>
        <v>5.000000000000001E-2</v>
      </c>
      <c r="R30" s="1">
        <f>IF(OR(O30=0,P30=0),0,MIN(O30,P30)*Mapping!$I$2/P30)</f>
        <v>5.000000000000001E-2</v>
      </c>
    </row>
    <row r="31" spans="1:18">
      <c r="A31" s="5">
        <v>39933</v>
      </c>
      <c r="B31" s="5">
        <v>39934</v>
      </c>
      <c r="C31">
        <v>-1</v>
      </c>
      <c r="D31">
        <v>0</v>
      </c>
      <c r="E31">
        <v>1</v>
      </c>
      <c r="F31">
        <v>-1</v>
      </c>
      <c r="G31">
        <v>1</v>
      </c>
      <c r="H31">
        <v>-1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f t="shared" si="0"/>
        <v>3</v>
      </c>
      <c r="P31">
        <f t="shared" si="1"/>
        <v>3</v>
      </c>
      <c r="Q31" s="1">
        <f>IF(OR(O31=0,P31=0),0,MIN(O31,P31)*Mapping!$I$2/O31)</f>
        <v>5.000000000000001E-2</v>
      </c>
      <c r="R31" s="1">
        <f>IF(OR(O31=0,P31=0),0,MIN(O31,P31)*Mapping!$I$2/P31)</f>
        <v>5.000000000000001E-2</v>
      </c>
    </row>
    <row r="32" spans="1:18">
      <c r="A32" s="5">
        <v>39964</v>
      </c>
      <c r="B32" s="5">
        <v>39965</v>
      </c>
      <c r="C32">
        <v>0</v>
      </c>
      <c r="D32">
        <v>0</v>
      </c>
      <c r="E32">
        <v>1</v>
      </c>
      <c r="F32">
        <v>-1</v>
      </c>
      <c r="G32">
        <v>1</v>
      </c>
      <c r="H32">
        <v>0</v>
      </c>
      <c r="I32">
        <v>-1</v>
      </c>
      <c r="J32">
        <v>1</v>
      </c>
      <c r="K32">
        <v>0</v>
      </c>
      <c r="L32">
        <v>-1</v>
      </c>
      <c r="M32">
        <v>0</v>
      </c>
      <c r="N32">
        <v>0</v>
      </c>
      <c r="O32">
        <f t="shared" si="0"/>
        <v>3</v>
      </c>
      <c r="P32">
        <f t="shared" si="1"/>
        <v>3</v>
      </c>
      <c r="Q32" s="1">
        <f>IF(OR(O32=0,P32=0),0,MIN(O32,P32)*Mapping!$I$2/O32)</f>
        <v>5.000000000000001E-2</v>
      </c>
      <c r="R32" s="1">
        <f>IF(OR(O32=0,P32=0),0,MIN(O32,P32)*Mapping!$I$2/P32)</f>
        <v>5.000000000000001E-2</v>
      </c>
    </row>
    <row r="33" spans="1:18">
      <c r="A33" s="5">
        <v>39994</v>
      </c>
      <c r="B33" s="5">
        <v>39995</v>
      </c>
      <c r="C33">
        <v>0</v>
      </c>
      <c r="D33">
        <v>1</v>
      </c>
      <c r="E33">
        <v>1</v>
      </c>
      <c r="F33">
        <v>-1</v>
      </c>
      <c r="G33">
        <v>0</v>
      </c>
      <c r="H33">
        <v>-1</v>
      </c>
      <c r="I33">
        <v>0</v>
      </c>
      <c r="J33">
        <v>1</v>
      </c>
      <c r="K33">
        <v>0</v>
      </c>
      <c r="L33">
        <v>-1</v>
      </c>
      <c r="M33">
        <v>0</v>
      </c>
      <c r="N33">
        <v>0</v>
      </c>
      <c r="O33">
        <f t="shared" si="0"/>
        <v>3</v>
      </c>
      <c r="P33">
        <f t="shared" si="1"/>
        <v>3</v>
      </c>
      <c r="Q33" s="1">
        <f>IF(OR(O33=0,P33=0),0,MIN(O33,P33)*Mapping!$I$2/O33)</f>
        <v>5.000000000000001E-2</v>
      </c>
      <c r="R33" s="1">
        <f>IF(OR(O33=0,P33=0),0,MIN(O33,P33)*Mapping!$I$2/P33)</f>
        <v>5.000000000000001E-2</v>
      </c>
    </row>
    <row r="34" spans="1:18">
      <c r="A34" s="5">
        <v>40025</v>
      </c>
      <c r="B34" s="5">
        <v>40026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-1</v>
      </c>
      <c r="J34">
        <v>1</v>
      </c>
      <c r="K34">
        <v>-1</v>
      </c>
      <c r="L34">
        <v>-1</v>
      </c>
      <c r="M34">
        <v>0</v>
      </c>
      <c r="N34">
        <v>0</v>
      </c>
      <c r="O34">
        <f t="shared" si="0"/>
        <v>3</v>
      </c>
      <c r="P34">
        <f t="shared" si="1"/>
        <v>3</v>
      </c>
      <c r="Q34" s="1">
        <f>IF(OR(O34=0,P34=0),0,MIN(O34,P34)*Mapping!$I$2/O34)</f>
        <v>5.000000000000001E-2</v>
      </c>
      <c r="R34" s="1">
        <f>IF(OR(O34=0,P34=0),0,MIN(O34,P34)*Mapping!$I$2/P34)</f>
        <v>5.000000000000001E-2</v>
      </c>
    </row>
    <row r="35" spans="1:18">
      <c r="A35" s="5">
        <v>40056</v>
      </c>
      <c r="B35" s="5">
        <v>40057</v>
      </c>
      <c r="C35">
        <v>1</v>
      </c>
      <c r="D35">
        <v>0</v>
      </c>
      <c r="E35">
        <v>1</v>
      </c>
      <c r="F35">
        <v>-1</v>
      </c>
      <c r="G35">
        <v>0</v>
      </c>
      <c r="H35">
        <v>-1</v>
      </c>
      <c r="I35">
        <v>0</v>
      </c>
      <c r="J35">
        <v>1</v>
      </c>
      <c r="K35">
        <v>-1</v>
      </c>
      <c r="L35">
        <v>0</v>
      </c>
      <c r="M35">
        <v>0</v>
      </c>
      <c r="N35">
        <v>0</v>
      </c>
      <c r="O35">
        <f t="shared" si="0"/>
        <v>3</v>
      </c>
      <c r="P35">
        <f t="shared" si="1"/>
        <v>3</v>
      </c>
      <c r="Q35" s="1">
        <f>IF(OR(O35=0,P35=0),0,MIN(O35,P35)*Mapping!$I$2/O35)</f>
        <v>5.000000000000001E-2</v>
      </c>
      <c r="R35" s="1">
        <f>IF(OR(O35=0,P35=0),0,MIN(O35,P35)*Mapping!$I$2/P35)</f>
        <v>5.000000000000001E-2</v>
      </c>
    </row>
    <row r="36" spans="1:18">
      <c r="A36" s="5">
        <v>40086</v>
      </c>
      <c r="B36" s="5">
        <v>40087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-1</v>
      </c>
      <c r="J36">
        <v>1</v>
      </c>
      <c r="K36">
        <v>-1</v>
      </c>
      <c r="L36">
        <v>-1</v>
      </c>
      <c r="M36">
        <v>1</v>
      </c>
      <c r="N36">
        <v>0</v>
      </c>
      <c r="O36">
        <f t="shared" si="0"/>
        <v>3</v>
      </c>
      <c r="P36">
        <f t="shared" si="1"/>
        <v>3</v>
      </c>
      <c r="Q36" s="1">
        <f>IF(OR(O36=0,P36=0),0,MIN(O36,P36)*Mapping!$I$2/O36)</f>
        <v>5.000000000000001E-2</v>
      </c>
      <c r="R36" s="1">
        <f>IF(OR(O36=0,P36=0),0,MIN(O36,P36)*Mapping!$I$2/P36)</f>
        <v>5.000000000000001E-2</v>
      </c>
    </row>
    <row r="37" spans="1:18">
      <c r="A37" s="5">
        <v>40117</v>
      </c>
      <c r="B37" s="5">
        <v>40118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-1</v>
      </c>
      <c r="J37">
        <v>1</v>
      </c>
      <c r="K37">
        <v>-1</v>
      </c>
      <c r="L37">
        <v>-1</v>
      </c>
      <c r="M37">
        <v>0</v>
      </c>
      <c r="N37">
        <v>1</v>
      </c>
      <c r="O37">
        <f t="shared" si="0"/>
        <v>3</v>
      </c>
      <c r="P37">
        <f t="shared" si="1"/>
        <v>3</v>
      </c>
      <c r="Q37" s="1">
        <f>IF(OR(O37=0,P37=0),0,MIN(O37,P37)*Mapping!$I$2/O37)</f>
        <v>5.000000000000001E-2</v>
      </c>
      <c r="R37" s="1">
        <f>IF(OR(O37=0,P37=0),0,MIN(O37,P37)*Mapping!$I$2/P37)</f>
        <v>5.000000000000001E-2</v>
      </c>
    </row>
    <row r="38" spans="1:18">
      <c r="A38" s="5">
        <v>40147</v>
      </c>
      <c r="B38" s="5">
        <v>40148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-1</v>
      </c>
      <c r="J38">
        <v>1</v>
      </c>
      <c r="K38">
        <v>-1</v>
      </c>
      <c r="L38">
        <v>-1</v>
      </c>
      <c r="M38">
        <v>0</v>
      </c>
      <c r="N38">
        <v>1</v>
      </c>
      <c r="O38">
        <f t="shared" si="0"/>
        <v>3</v>
      </c>
      <c r="P38">
        <f t="shared" si="1"/>
        <v>3</v>
      </c>
      <c r="Q38" s="1">
        <f>IF(OR(O38=0,P38=0),0,MIN(O38,P38)*Mapping!$I$2/O38)</f>
        <v>5.000000000000001E-2</v>
      </c>
      <c r="R38" s="1">
        <f>IF(OR(O38=0,P38=0),0,MIN(O38,P38)*Mapping!$I$2/P38)</f>
        <v>5.000000000000001E-2</v>
      </c>
    </row>
    <row r="39" spans="1:18">
      <c r="A39" s="5">
        <v>40178</v>
      </c>
      <c r="B39" s="5">
        <v>40179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-1</v>
      </c>
      <c r="J39">
        <v>1</v>
      </c>
      <c r="K39">
        <v>-1</v>
      </c>
      <c r="L39">
        <v>0</v>
      </c>
      <c r="M39">
        <v>1</v>
      </c>
      <c r="N39">
        <v>0</v>
      </c>
      <c r="O39">
        <f t="shared" si="0"/>
        <v>3</v>
      </c>
      <c r="P39">
        <f t="shared" si="1"/>
        <v>2</v>
      </c>
      <c r="Q39" s="1">
        <f>IF(OR(O39=0,P39=0),0,MIN(O39,P39)*Mapping!$I$2/O39)</f>
        <v>3.3333333333333333E-2</v>
      </c>
      <c r="R39" s="1">
        <f>IF(OR(O39=0,P39=0),0,MIN(O39,P39)*Mapping!$I$2/P39)</f>
        <v>0.05</v>
      </c>
    </row>
    <row r="40" spans="1:18">
      <c r="A40" s="5">
        <v>40209</v>
      </c>
      <c r="B40" s="5">
        <v>40210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-1</v>
      </c>
      <c r="J40">
        <v>-1</v>
      </c>
      <c r="K40">
        <v>-1</v>
      </c>
      <c r="L40">
        <v>0</v>
      </c>
      <c r="M40">
        <v>1</v>
      </c>
      <c r="N40">
        <v>1</v>
      </c>
      <c r="O40">
        <f t="shared" si="0"/>
        <v>3</v>
      </c>
      <c r="P40">
        <f t="shared" si="1"/>
        <v>3</v>
      </c>
      <c r="Q40" s="1">
        <f>IF(OR(O40=0,P40=0),0,MIN(O40,P40)*Mapping!$I$2/O40)</f>
        <v>5.000000000000001E-2</v>
      </c>
      <c r="R40" s="1">
        <f>IF(OR(O40=0,P40=0),0,MIN(O40,P40)*Mapping!$I$2/P40)</f>
        <v>5.000000000000001E-2</v>
      </c>
    </row>
    <row r="41" spans="1:18">
      <c r="A41" s="5">
        <v>40237</v>
      </c>
      <c r="B41" s="5">
        <v>40238</v>
      </c>
      <c r="C41">
        <v>0</v>
      </c>
      <c r="D41">
        <v>0</v>
      </c>
      <c r="E41">
        <v>0</v>
      </c>
      <c r="F41">
        <v>-1</v>
      </c>
      <c r="G41">
        <v>1</v>
      </c>
      <c r="H41">
        <v>0</v>
      </c>
      <c r="I41">
        <v>-1</v>
      </c>
      <c r="J41">
        <v>1</v>
      </c>
      <c r="K41">
        <v>-1</v>
      </c>
      <c r="L41">
        <v>0</v>
      </c>
      <c r="M41">
        <v>0</v>
      </c>
      <c r="N41">
        <v>1</v>
      </c>
      <c r="O41">
        <f t="shared" si="0"/>
        <v>3</v>
      </c>
      <c r="P41">
        <f t="shared" si="1"/>
        <v>3</v>
      </c>
      <c r="Q41" s="1">
        <f>IF(OR(O41=0,P41=0),0,MIN(O41,P41)*Mapping!$I$2/O41)</f>
        <v>5.000000000000001E-2</v>
      </c>
      <c r="R41" s="1">
        <f>IF(OR(O41=0,P41=0),0,MIN(O41,P41)*Mapping!$I$2/P41)</f>
        <v>5.000000000000001E-2</v>
      </c>
    </row>
    <row r="42" spans="1:18">
      <c r="A42" s="5">
        <v>40268</v>
      </c>
      <c r="B42" s="5">
        <v>40269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-1</v>
      </c>
      <c r="J42">
        <v>1</v>
      </c>
      <c r="K42">
        <v>-1</v>
      </c>
      <c r="L42">
        <v>-1</v>
      </c>
      <c r="M42">
        <v>0</v>
      </c>
      <c r="N42">
        <v>1</v>
      </c>
      <c r="O42">
        <f t="shared" si="0"/>
        <v>3</v>
      </c>
      <c r="P42">
        <f t="shared" si="1"/>
        <v>3</v>
      </c>
      <c r="Q42" s="1">
        <f>IF(OR(O42=0,P42=0),0,MIN(O42,P42)*Mapping!$I$2/O42)</f>
        <v>5.000000000000001E-2</v>
      </c>
      <c r="R42" s="1">
        <f>IF(OR(O42=0,P42=0),0,MIN(O42,P42)*Mapping!$I$2/P42)</f>
        <v>5.000000000000001E-2</v>
      </c>
    </row>
    <row r="43" spans="1:18">
      <c r="A43" s="5">
        <v>40298</v>
      </c>
      <c r="B43" s="5">
        <v>40299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-1</v>
      </c>
      <c r="J43">
        <v>-1</v>
      </c>
      <c r="K43">
        <v>-1</v>
      </c>
      <c r="L43">
        <v>0</v>
      </c>
      <c r="M43">
        <v>0</v>
      </c>
      <c r="N43">
        <v>0</v>
      </c>
      <c r="O43">
        <f t="shared" si="0"/>
        <v>3</v>
      </c>
      <c r="P43">
        <f t="shared" si="1"/>
        <v>3</v>
      </c>
      <c r="Q43" s="1">
        <f>IF(OR(O43=0,P43=0),0,MIN(O43,P43)*Mapping!$I$2/O43)</f>
        <v>5.000000000000001E-2</v>
      </c>
      <c r="R43" s="1">
        <f>IF(OR(O43=0,P43=0),0,MIN(O43,P43)*Mapping!$I$2/P43)</f>
        <v>5.000000000000001E-2</v>
      </c>
    </row>
    <row r="44" spans="1:18">
      <c r="A44" s="5">
        <v>40329</v>
      </c>
      <c r="B44" s="5">
        <v>40330</v>
      </c>
      <c r="C44">
        <v>0</v>
      </c>
      <c r="D44">
        <v>0</v>
      </c>
      <c r="E44">
        <v>0</v>
      </c>
      <c r="F44">
        <v>0</v>
      </c>
      <c r="G44">
        <v>-1</v>
      </c>
      <c r="H44">
        <v>1</v>
      </c>
      <c r="I44">
        <v>0</v>
      </c>
      <c r="J44">
        <v>-1</v>
      </c>
      <c r="K44">
        <v>-1</v>
      </c>
      <c r="L44">
        <v>0</v>
      </c>
      <c r="M44">
        <v>1</v>
      </c>
      <c r="N44">
        <v>1</v>
      </c>
      <c r="O44">
        <f t="shared" si="0"/>
        <v>3</v>
      </c>
      <c r="P44">
        <f t="shared" si="1"/>
        <v>3</v>
      </c>
      <c r="Q44" s="1">
        <f>IF(OR(O44=0,P44=0),0,MIN(O44,P44)*Mapping!$I$2/O44)</f>
        <v>5.000000000000001E-2</v>
      </c>
      <c r="R44" s="1">
        <f>IF(OR(O44=0,P44=0),0,MIN(O44,P44)*Mapping!$I$2/P44)</f>
        <v>5.000000000000001E-2</v>
      </c>
    </row>
    <row r="45" spans="1:18">
      <c r="A45" s="5">
        <v>40359</v>
      </c>
      <c r="B45" s="5">
        <v>40360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-1</v>
      </c>
      <c r="J45">
        <v>-1</v>
      </c>
      <c r="K45">
        <v>-1</v>
      </c>
      <c r="L45">
        <v>0</v>
      </c>
      <c r="M45">
        <v>1</v>
      </c>
      <c r="N45">
        <v>1</v>
      </c>
      <c r="O45">
        <f t="shared" si="0"/>
        <v>3</v>
      </c>
      <c r="P45">
        <f t="shared" si="1"/>
        <v>3</v>
      </c>
      <c r="Q45" s="1">
        <f>IF(OR(O45=0,P45=0),0,MIN(O45,P45)*Mapping!$I$2/O45)</f>
        <v>5.000000000000001E-2</v>
      </c>
      <c r="R45" s="1">
        <f>IF(OR(O45=0,P45=0),0,MIN(O45,P45)*Mapping!$I$2/P45)</f>
        <v>5.000000000000001E-2</v>
      </c>
    </row>
    <row r="46" spans="1:18">
      <c r="A46" s="5">
        <v>40390</v>
      </c>
      <c r="B46" s="5">
        <v>40391</v>
      </c>
      <c r="C46">
        <v>0</v>
      </c>
      <c r="D46">
        <v>0</v>
      </c>
      <c r="E46">
        <v>-1</v>
      </c>
      <c r="F46">
        <v>0</v>
      </c>
      <c r="G46">
        <v>-1</v>
      </c>
      <c r="H46">
        <v>1</v>
      </c>
      <c r="I46">
        <v>-1</v>
      </c>
      <c r="J46">
        <v>0</v>
      </c>
      <c r="K46">
        <v>0</v>
      </c>
      <c r="L46">
        <v>0</v>
      </c>
      <c r="M46">
        <v>1</v>
      </c>
      <c r="N46">
        <v>1</v>
      </c>
      <c r="O46">
        <f t="shared" si="0"/>
        <v>3</v>
      </c>
      <c r="P46">
        <f t="shared" si="1"/>
        <v>3</v>
      </c>
      <c r="Q46" s="1">
        <f>IF(OR(O46=0,P46=0),0,MIN(O46,P46)*Mapping!$I$2/O46)</f>
        <v>5.000000000000001E-2</v>
      </c>
      <c r="R46" s="1">
        <f>IF(OR(O46=0,P46=0),0,MIN(O46,P46)*Mapping!$I$2/P46)</f>
        <v>5.000000000000001E-2</v>
      </c>
    </row>
    <row r="47" spans="1:18">
      <c r="A47" s="5">
        <v>40421</v>
      </c>
      <c r="B47" s="5">
        <v>40422</v>
      </c>
      <c r="C47">
        <v>1</v>
      </c>
      <c r="D47">
        <v>0</v>
      </c>
      <c r="E47">
        <v>-1</v>
      </c>
      <c r="F47">
        <v>-1</v>
      </c>
      <c r="G47">
        <v>-1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f t="shared" si="0"/>
        <v>3</v>
      </c>
      <c r="P47">
        <f t="shared" si="1"/>
        <v>3</v>
      </c>
      <c r="Q47" s="1">
        <f>IF(OR(O47=0,P47=0),0,MIN(O47,P47)*Mapping!$I$2/O47)</f>
        <v>5.000000000000001E-2</v>
      </c>
      <c r="R47" s="1">
        <f>IF(OR(O47=0,P47=0),0,MIN(O47,P47)*Mapping!$I$2/P47)</f>
        <v>5.000000000000001E-2</v>
      </c>
    </row>
    <row r="48" spans="1:18">
      <c r="A48" s="5">
        <v>40451</v>
      </c>
      <c r="B48" s="5">
        <v>40452</v>
      </c>
      <c r="C48">
        <v>0</v>
      </c>
      <c r="D48">
        <v>1</v>
      </c>
      <c r="E48">
        <v>0</v>
      </c>
      <c r="F48">
        <v>-1</v>
      </c>
      <c r="G48">
        <v>-1</v>
      </c>
      <c r="H48">
        <v>0</v>
      </c>
      <c r="I48">
        <v>-1</v>
      </c>
      <c r="J48">
        <v>0</v>
      </c>
      <c r="K48">
        <v>0</v>
      </c>
      <c r="L48">
        <v>0</v>
      </c>
      <c r="M48">
        <v>1</v>
      </c>
      <c r="N48">
        <v>1</v>
      </c>
      <c r="O48">
        <f t="shared" si="0"/>
        <v>3</v>
      </c>
      <c r="P48">
        <f t="shared" si="1"/>
        <v>3</v>
      </c>
      <c r="Q48" s="1">
        <f>IF(OR(O48=0,P48=0),0,MIN(O48,P48)*Mapping!$I$2/O48)</f>
        <v>5.000000000000001E-2</v>
      </c>
      <c r="R48" s="1">
        <f>IF(OR(O48=0,P48=0),0,MIN(O48,P48)*Mapping!$I$2/P48)</f>
        <v>5.000000000000001E-2</v>
      </c>
    </row>
    <row r="49" spans="1:18">
      <c r="A49" s="5">
        <v>40482</v>
      </c>
      <c r="B49" s="5">
        <v>40483</v>
      </c>
      <c r="C49">
        <v>1</v>
      </c>
      <c r="D49">
        <v>0</v>
      </c>
      <c r="E49">
        <v>-1</v>
      </c>
      <c r="F49">
        <v>-1</v>
      </c>
      <c r="G49">
        <v>0</v>
      </c>
      <c r="H49">
        <v>0</v>
      </c>
      <c r="I49">
        <v>-1</v>
      </c>
      <c r="J49">
        <v>1</v>
      </c>
      <c r="K49">
        <v>0</v>
      </c>
      <c r="L49">
        <v>0</v>
      </c>
      <c r="M49">
        <v>1</v>
      </c>
      <c r="N49">
        <v>0</v>
      </c>
      <c r="O49">
        <f t="shared" si="0"/>
        <v>3</v>
      </c>
      <c r="P49">
        <f t="shared" si="1"/>
        <v>3</v>
      </c>
      <c r="Q49" s="1">
        <f>IF(OR(O49=0,P49=0),0,MIN(O49,P49)*Mapping!$I$2/O49)</f>
        <v>5.000000000000001E-2</v>
      </c>
      <c r="R49" s="1">
        <f>IF(OR(O49=0,P49=0),0,MIN(O49,P49)*Mapping!$I$2/P49)</f>
        <v>5.000000000000001E-2</v>
      </c>
    </row>
    <row r="50" spans="1:18">
      <c r="A50" s="5">
        <v>40512</v>
      </c>
      <c r="B50" s="5">
        <v>40513</v>
      </c>
      <c r="C50">
        <v>0</v>
      </c>
      <c r="D50">
        <v>0</v>
      </c>
      <c r="E50">
        <v>0</v>
      </c>
      <c r="F50">
        <v>-1</v>
      </c>
      <c r="G50">
        <v>-1</v>
      </c>
      <c r="H50">
        <v>-1</v>
      </c>
      <c r="I50">
        <v>0</v>
      </c>
      <c r="J50">
        <v>0</v>
      </c>
      <c r="K50">
        <v>1</v>
      </c>
      <c r="L50">
        <v>0</v>
      </c>
      <c r="M50">
        <v>1</v>
      </c>
      <c r="N50">
        <v>1</v>
      </c>
      <c r="O50">
        <f t="shared" si="0"/>
        <v>3</v>
      </c>
      <c r="P50">
        <f t="shared" si="1"/>
        <v>3</v>
      </c>
      <c r="Q50" s="1">
        <f>IF(OR(O50=0,P50=0),0,MIN(O50,P50)*Mapping!$I$2/O50)</f>
        <v>5.000000000000001E-2</v>
      </c>
      <c r="R50" s="1">
        <f>IF(OR(O50=0,P50=0),0,MIN(O50,P50)*Mapping!$I$2/P50)</f>
        <v>5.000000000000001E-2</v>
      </c>
    </row>
    <row r="51" spans="1:18">
      <c r="A51" s="5">
        <v>40543</v>
      </c>
      <c r="B51" s="5">
        <v>40544</v>
      </c>
      <c r="C51">
        <v>1</v>
      </c>
      <c r="D51">
        <v>0</v>
      </c>
      <c r="E51">
        <v>1</v>
      </c>
      <c r="F51">
        <v>-1</v>
      </c>
      <c r="G51">
        <v>-1</v>
      </c>
      <c r="H51">
        <v>0</v>
      </c>
      <c r="I51">
        <v>0</v>
      </c>
      <c r="J51">
        <v>-1</v>
      </c>
      <c r="K51">
        <v>0</v>
      </c>
      <c r="L51">
        <v>0</v>
      </c>
      <c r="M51">
        <v>1</v>
      </c>
      <c r="N51">
        <v>0</v>
      </c>
      <c r="O51">
        <f t="shared" si="0"/>
        <v>3</v>
      </c>
      <c r="P51">
        <f t="shared" si="1"/>
        <v>3</v>
      </c>
      <c r="Q51" s="1">
        <f>IF(OR(O51=0,P51=0),0,MIN(O51,P51)*Mapping!$I$2/O51)</f>
        <v>5.000000000000001E-2</v>
      </c>
      <c r="R51" s="1">
        <f>IF(OR(O51=0,P51=0),0,MIN(O51,P51)*Mapping!$I$2/P51)</f>
        <v>5.000000000000001E-2</v>
      </c>
    </row>
    <row r="52" spans="1:18">
      <c r="A52" s="5">
        <v>40574</v>
      </c>
      <c r="B52" s="5">
        <v>40575</v>
      </c>
      <c r="C52">
        <v>1</v>
      </c>
      <c r="D52">
        <v>0</v>
      </c>
      <c r="E52">
        <v>0</v>
      </c>
      <c r="F52">
        <v>-1</v>
      </c>
      <c r="G52">
        <v>-1</v>
      </c>
      <c r="H52">
        <v>0</v>
      </c>
      <c r="I52">
        <v>1</v>
      </c>
      <c r="J52">
        <v>-1</v>
      </c>
      <c r="K52">
        <v>0</v>
      </c>
      <c r="L52">
        <v>0</v>
      </c>
      <c r="M52">
        <v>1</v>
      </c>
      <c r="N52">
        <v>0</v>
      </c>
      <c r="O52">
        <f t="shared" si="0"/>
        <v>3</v>
      </c>
      <c r="P52">
        <f t="shared" si="1"/>
        <v>3</v>
      </c>
      <c r="Q52" s="1">
        <f>IF(OR(O52=0,P52=0),0,MIN(O52,P52)*Mapping!$I$2/O52)</f>
        <v>5.000000000000001E-2</v>
      </c>
      <c r="R52" s="1">
        <f>IF(OR(O52=0,P52=0),0,MIN(O52,P52)*Mapping!$I$2/P52)</f>
        <v>5.000000000000001E-2</v>
      </c>
    </row>
    <row r="53" spans="1:18">
      <c r="A53" s="5">
        <v>40602</v>
      </c>
      <c r="B53" s="5">
        <v>40603</v>
      </c>
      <c r="C53">
        <v>1</v>
      </c>
      <c r="D53">
        <v>-1</v>
      </c>
      <c r="E53">
        <v>0</v>
      </c>
      <c r="F53">
        <v>-1</v>
      </c>
      <c r="G53">
        <v>0</v>
      </c>
      <c r="H53">
        <v>0</v>
      </c>
      <c r="I53">
        <v>0</v>
      </c>
      <c r="J53">
        <v>-1</v>
      </c>
      <c r="K53">
        <v>0</v>
      </c>
      <c r="L53">
        <v>0</v>
      </c>
      <c r="M53">
        <v>1</v>
      </c>
      <c r="N53">
        <v>1</v>
      </c>
      <c r="O53">
        <f t="shared" si="0"/>
        <v>3</v>
      </c>
      <c r="P53">
        <f t="shared" si="1"/>
        <v>3</v>
      </c>
      <c r="Q53" s="1">
        <f>IF(OR(O53=0,P53=0),0,MIN(O53,P53)*Mapping!$I$2/O53)</f>
        <v>5.000000000000001E-2</v>
      </c>
      <c r="R53" s="1">
        <f>IF(OR(O53=0,P53=0),0,MIN(O53,P53)*Mapping!$I$2/P53)</f>
        <v>5.000000000000001E-2</v>
      </c>
    </row>
    <row r="54" spans="1:18">
      <c r="A54" s="5">
        <v>40633</v>
      </c>
      <c r="B54" s="5">
        <v>40634</v>
      </c>
      <c r="C54">
        <v>1</v>
      </c>
      <c r="D54">
        <v>-1</v>
      </c>
      <c r="E54">
        <v>0</v>
      </c>
      <c r="F54">
        <v>-1</v>
      </c>
      <c r="G54">
        <v>-1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f t="shared" si="0"/>
        <v>3</v>
      </c>
      <c r="P54">
        <f t="shared" si="1"/>
        <v>3</v>
      </c>
      <c r="Q54" s="1">
        <f>IF(OR(O54=0,P54=0),0,MIN(O54,P54)*Mapping!$I$2/O54)</f>
        <v>5.000000000000001E-2</v>
      </c>
      <c r="R54" s="1">
        <f>IF(OR(O54=0,P54=0),0,MIN(O54,P54)*Mapping!$I$2/P54)</f>
        <v>5.000000000000001E-2</v>
      </c>
    </row>
    <row r="55" spans="1:18">
      <c r="A55" s="5">
        <v>40663</v>
      </c>
      <c r="B55" s="5">
        <v>40664</v>
      </c>
      <c r="C55">
        <v>1</v>
      </c>
      <c r="D55">
        <v>0</v>
      </c>
      <c r="E55">
        <v>0</v>
      </c>
      <c r="F55">
        <v>-1</v>
      </c>
      <c r="G55">
        <v>0</v>
      </c>
      <c r="H55">
        <v>1</v>
      </c>
      <c r="I55">
        <v>1</v>
      </c>
      <c r="J55">
        <v>-1</v>
      </c>
      <c r="K55">
        <v>0</v>
      </c>
      <c r="L55">
        <v>-1</v>
      </c>
      <c r="M55">
        <v>0</v>
      </c>
      <c r="N55">
        <v>0</v>
      </c>
      <c r="O55">
        <f t="shared" si="0"/>
        <v>3</v>
      </c>
      <c r="P55">
        <f t="shared" si="1"/>
        <v>3</v>
      </c>
      <c r="Q55" s="1">
        <f>IF(OR(O55=0,P55=0),0,MIN(O55,P55)*Mapping!$I$2/O55)</f>
        <v>5.000000000000001E-2</v>
      </c>
      <c r="R55" s="1">
        <f>IF(OR(O55=0,P55=0),0,MIN(O55,P55)*Mapping!$I$2/P55)</f>
        <v>5.000000000000001E-2</v>
      </c>
    </row>
    <row r="56" spans="1:18">
      <c r="A56" s="5">
        <v>40694</v>
      </c>
      <c r="B56" s="5">
        <v>40695</v>
      </c>
      <c r="C56">
        <v>1</v>
      </c>
      <c r="D56">
        <v>1</v>
      </c>
      <c r="E56">
        <v>-1</v>
      </c>
      <c r="F56">
        <v>-1</v>
      </c>
      <c r="G56">
        <v>0</v>
      </c>
      <c r="H56">
        <v>0</v>
      </c>
      <c r="I56">
        <v>1</v>
      </c>
      <c r="J56">
        <v>-1</v>
      </c>
      <c r="K56">
        <v>0</v>
      </c>
      <c r="L56">
        <v>0</v>
      </c>
      <c r="M56">
        <v>0</v>
      </c>
      <c r="N56">
        <v>0</v>
      </c>
      <c r="O56">
        <f t="shared" si="0"/>
        <v>3</v>
      </c>
      <c r="P56">
        <f t="shared" si="1"/>
        <v>3</v>
      </c>
      <c r="Q56" s="1">
        <f>IF(OR(O56=0,P56=0),0,MIN(O56,P56)*Mapping!$I$2/O56)</f>
        <v>5.000000000000001E-2</v>
      </c>
      <c r="R56" s="1">
        <f>IF(OR(O56=0,P56=0),0,MIN(O56,P56)*Mapping!$I$2/P56)</f>
        <v>5.000000000000001E-2</v>
      </c>
    </row>
    <row r="57" spans="1:18">
      <c r="A57" s="5">
        <v>40724</v>
      </c>
      <c r="B57" s="5">
        <v>40725</v>
      </c>
      <c r="C57">
        <v>0</v>
      </c>
      <c r="D57">
        <v>0</v>
      </c>
      <c r="E57">
        <v>0</v>
      </c>
      <c r="F57">
        <v>-1</v>
      </c>
      <c r="G57">
        <v>0</v>
      </c>
      <c r="H57">
        <v>1</v>
      </c>
      <c r="I57">
        <v>1</v>
      </c>
      <c r="J57">
        <v>-1</v>
      </c>
      <c r="K57">
        <v>0</v>
      </c>
      <c r="L57">
        <v>-1</v>
      </c>
      <c r="M57">
        <v>0</v>
      </c>
      <c r="N57">
        <v>1</v>
      </c>
      <c r="O57">
        <f t="shared" si="0"/>
        <v>3</v>
      </c>
      <c r="P57">
        <f t="shared" si="1"/>
        <v>3</v>
      </c>
      <c r="Q57" s="1">
        <f>IF(OR(O57=0,P57=0),0,MIN(O57,P57)*Mapping!$I$2/O57)</f>
        <v>5.000000000000001E-2</v>
      </c>
      <c r="R57" s="1">
        <f>IF(OR(O57=0,P57=0),0,MIN(O57,P57)*Mapping!$I$2/P57)</f>
        <v>5.000000000000001E-2</v>
      </c>
    </row>
    <row r="58" spans="1:18">
      <c r="A58" s="5">
        <v>40755</v>
      </c>
      <c r="B58" s="5">
        <v>40756</v>
      </c>
      <c r="C58">
        <v>0</v>
      </c>
      <c r="D58">
        <v>0</v>
      </c>
      <c r="E58">
        <v>0</v>
      </c>
      <c r="F58">
        <v>-1</v>
      </c>
      <c r="G58">
        <v>1</v>
      </c>
      <c r="H58">
        <v>0</v>
      </c>
      <c r="I58">
        <v>0</v>
      </c>
      <c r="J58">
        <v>-1</v>
      </c>
      <c r="K58">
        <v>-1</v>
      </c>
      <c r="L58">
        <v>0</v>
      </c>
      <c r="M58">
        <v>1</v>
      </c>
      <c r="N58">
        <v>1</v>
      </c>
      <c r="O58">
        <f t="shared" si="0"/>
        <v>3</v>
      </c>
      <c r="P58">
        <f t="shared" si="1"/>
        <v>3</v>
      </c>
      <c r="Q58" s="1">
        <f>IF(OR(O58=0,P58=0),0,MIN(O58,P58)*Mapping!$I$2/O58)</f>
        <v>5.000000000000001E-2</v>
      </c>
      <c r="R58" s="1">
        <f>IF(OR(O58=0,P58=0),0,MIN(O58,P58)*Mapping!$I$2/P58)</f>
        <v>5.000000000000001E-2</v>
      </c>
    </row>
    <row r="59" spans="1:18">
      <c r="A59" s="5">
        <v>40786</v>
      </c>
      <c r="B59" s="5">
        <v>40787</v>
      </c>
      <c r="C59">
        <v>0</v>
      </c>
      <c r="D59">
        <v>0</v>
      </c>
      <c r="E59">
        <v>1</v>
      </c>
      <c r="F59">
        <v>-1</v>
      </c>
      <c r="G59">
        <v>1</v>
      </c>
      <c r="H59">
        <v>-1</v>
      </c>
      <c r="I59">
        <v>0</v>
      </c>
      <c r="J59">
        <v>-1</v>
      </c>
      <c r="K59">
        <v>0</v>
      </c>
      <c r="L59">
        <v>0</v>
      </c>
      <c r="M59">
        <v>1</v>
      </c>
      <c r="N59">
        <v>0</v>
      </c>
      <c r="O59">
        <f t="shared" si="0"/>
        <v>3</v>
      </c>
      <c r="P59">
        <f t="shared" si="1"/>
        <v>3</v>
      </c>
      <c r="Q59" s="1">
        <f>IF(OR(O59=0,P59=0),0,MIN(O59,P59)*Mapping!$I$2/O59)</f>
        <v>5.000000000000001E-2</v>
      </c>
      <c r="R59" s="1">
        <f>IF(OR(O59=0,P59=0),0,MIN(O59,P59)*Mapping!$I$2/P59)</f>
        <v>5.000000000000001E-2</v>
      </c>
    </row>
    <row r="60" spans="1:18">
      <c r="A60" s="5">
        <v>40816</v>
      </c>
      <c r="B60" s="5">
        <v>40817</v>
      </c>
      <c r="C60">
        <v>-1</v>
      </c>
      <c r="D60">
        <v>0</v>
      </c>
      <c r="E60">
        <v>1</v>
      </c>
      <c r="F60">
        <v>-1</v>
      </c>
      <c r="G60">
        <v>0</v>
      </c>
      <c r="H60">
        <v>-1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f t="shared" si="0"/>
        <v>3</v>
      </c>
      <c r="P60">
        <f t="shared" si="1"/>
        <v>3</v>
      </c>
      <c r="Q60" s="1">
        <f>IF(OR(O60=0,P60=0),0,MIN(O60,P60)*Mapping!$I$2/O60)</f>
        <v>5.000000000000001E-2</v>
      </c>
      <c r="R60" s="1">
        <f>IF(OR(O60=0,P60=0),0,MIN(O60,P60)*Mapping!$I$2/P60)</f>
        <v>5.000000000000001E-2</v>
      </c>
    </row>
    <row r="61" spans="1:18">
      <c r="A61" s="5">
        <v>40847</v>
      </c>
      <c r="B61" s="5">
        <v>40848</v>
      </c>
      <c r="C61">
        <v>0</v>
      </c>
      <c r="D61">
        <v>0</v>
      </c>
      <c r="E61">
        <v>1</v>
      </c>
      <c r="F61">
        <v>-1</v>
      </c>
      <c r="G61">
        <v>0</v>
      </c>
      <c r="H61">
        <v>0</v>
      </c>
      <c r="I61">
        <v>0</v>
      </c>
      <c r="J61">
        <v>1</v>
      </c>
      <c r="K61">
        <v>-1</v>
      </c>
      <c r="L61">
        <v>-1</v>
      </c>
      <c r="M61">
        <v>0</v>
      </c>
      <c r="N61">
        <v>1</v>
      </c>
      <c r="O61">
        <f t="shared" si="0"/>
        <v>3</v>
      </c>
      <c r="P61">
        <f t="shared" si="1"/>
        <v>3</v>
      </c>
      <c r="Q61" s="1">
        <f>IF(OR(O61=0,P61=0),0,MIN(O61,P61)*Mapping!$I$2/O61)</f>
        <v>5.000000000000001E-2</v>
      </c>
      <c r="R61" s="1">
        <f>IF(OR(O61=0,P61=0),0,MIN(O61,P61)*Mapping!$I$2/P61)</f>
        <v>5.000000000000001E-2</v>
      </c>
    </row>
    <row r="62" spans="1:18">
      <c r="A62" s="5">
        <v>40877</v>
      </c>
      <c r="B62" s="5">
        <v>40878</v>
      </c>
      <c r="C62">
        <v>-1</v>
      </c>
      <c r="D62">
        <v>1</v>
      </c>
      <c r="E62">
        <v>1</v>
      </c>
      <c r="F62">
        <v>-1</v>
      </c>
      <c r="G62">
        <v>0</v>
      </c>
      <c r="H62">
        <v>0</v>
      </c>
      <c r="I62">
        <v>-1</v>
      </c>
      <c r="J62">
        <v>1</v>
      </c>
      <c r="K62">
        <v>0</v>
      </c>
      <c r="L62">
        <v>0</v>
      </c>
      <c r="M62">
        <v>0</v>
      </c>
      <c r="N62">
        <v>0</v>
      </c>
      <c r="O62">
        <f t="shared" si="0"/>
        <v>3</v>
      </c>
      <c r="P62">
        <f t="shared" si="1"/>
        <v>3</v>
      </c>
      <c r="Q62" s="1">
        <f>IF(OR(O62=0,P62=0),0,MIN(O62,P62)*Mapping!$I$2/O62)</f>
        <v>5.000000000000001E-2</v>
      </c>
      <c r="R62" s="1">
        <f>IF(OR(O62=0,P62=0),0,MIN(O62,P62)*Mapping!$I$2/P62)</f>
        <v>5.000000000000001E-2</v>
      </c>
    </row>
    <row r="63" spans="1:18">
      <c r="A63" s="5">
        <v>40908</v>
      </c>
      <c r="B63" s="5">
        <v>40909</v>
      </c>
      <c r="C63">
        <v>-1</v>
      </c>
      <c r="D63">
        <v>0</v>
      </c>
      <c r="E63">
        <v>1</v>
      </c>
      <c r="F63">
        <v>-1</v>
      </c>
      <c r="G63">
        <v>0</v>
      </c>
      <c r="H63">
        <v>0</v>
      </c>
      <c r="I63">
        <v>0</v>
      </c>
      <c r="J63">
        <v>1</v>
      </c>
      <c r="K63">
        <v>-1</v>
      </c>
      <c r="L63">
        <v>1</v>
      </c>
      <c r="M63">
        <v>0</v>
      </c>
      <c r="N63">
        <v>0</v>
      </c>
      <c r="O63">
        <f t="shared" si="0"/>
        <v>3</v>
      </c>
      <c r="P63">
        <f t="shared" si="1"/>
        <v>3</v>
      </c>
      <c r="Q63" s="1">
        <f>IF(OR(O63=0,P63=0),0,MIN(O63,P63)*Mapping!$I$2/O63)</f>
        <v>5.000000000000001E-2</v>
      </c>
      <c r="R63" s="1">
        <f>IF(OR(O63=0,P63=0),0,MIN(O63,P63)*Mapping!$I$2/P63)</f>
        <v>5.000000000000001E-2</v>
      </c>
    </row>
    <row r="64" spans="1:18">
      <c r="A64" s="5">
        <v>40939</v>
      </c>
      <c r="B64" s="5">
        <v>40940</v>
      </c>
      <c r="C64">
        <v>-1</v>
      </c>
      <c r="D64">
        <v>1</v>
      </c>
      <c r="E64">
        <v>1</v>
      </c>
      <c r="F64">
        <v>-1</v>
      </c>
      <c r="G64">
        <v>0</v>
      </c>
      <c r="H64">
        <v>0</v>
      </c>
      <c r="I64">
        <v>-1</v>
      </c>
      <c r="J64">
        <v>1</v>
      </c>
      <c r="K64">
        <v>0</v>
      </c>
      <c r="L64">
        <v>0</v>
      </c>
      <c r="M64">
        <v>0</v>
      </c>
      <c r="N64">
        <v>0</v>
      </c>
      <c r="O64">
        <f t="shared" si="0"/>
        <v>3</v>
      </c>
      <c r="P64">
        <f t="shared" si="1"/>
        <v>3</v>
      </c>
      <c r="Q64" s="1">
        <f>IF(OR(O64=0,P64=0),0,MIN(O64,P64)*Mapping!$I$2/O64)</f>
        <v>5.000000000000001E-2</v>
      </c>
      <c r="R64" s="1">
        <f>IF(OR(O64=0,P64=0),0,MIN(O64,P64)*Mapping!$I$2/P64)</f>
        <v>5.000000000000001E-2</v>
      </c>
    </row>
    <row r="65" spans="1:18">
      <c r="A65" s="5">
        <v>40968</v>
      </c>
      <c r="B65" s="5">
        <v>40969</v>
      </c>
      <c r="C65">
        <v>-1</v>
      </c>
      <c r="D65">
        <v>0</v>
      </c>
      <c r="E65">
        <v>1</v>
      </c>
      <c r="F65">
        <v>-1</v>
      </c>
      <c r="G65">
        <v>0</v>
      </c>
      <c r="H65">
        <v>0</v>
      </c>
      <c r="I65">
        <v>-1</v>
      </c>
      <c r="J65">
        <v>1</v>
      </c>
      <c r="K65">
        <v>0</v>
      </c>
      <c r="L65">
        <v>0</v>
      </c>
      <c r="M65">
        <v>0</v>
      </c>
      <c r="N65">
        <v>1</v>
      </c>
      <c r="O65">
        <f t="shared" si="0"/>
        <v>3</v>
      </c>
      <c r="P65">
        <f t="shared" si="1"/>
        <v>3</v>
      </c>
      <c r="Q65" s="1">
        <f>IF(OR(O65=0,P65=0),0,MIN(O65,P65)*Mapping!$I$2/O65)</f>
        <v>5.000000000000001E-2</v>
      </c>
      <c r="R65" s="1">
        <f>IF(OR(O65=0,P65=0),0,MIN(O65,P65)*Mapping!$I$2/P65)</f>
        <v>5.000000000000001E-2</v>
      </c>
    </row>
    <row r="66" spans="1:18">
      <c r="A66" s="5">
        <v>40999</v>
      </c>
      <c r="B66" s="5">
        <v>41000</v>
      </c>
      <c r="C66">
        <v>-1</v>
      </c>
      <c r="D66">
        <v>0</v>
      </c>
      <c r="E66">
        <v>1</v>
      </c>
      <c r="F66">
        <v>-1</v>
      </c>
      <c r="G66">
        <v>0</v>
      </c>
      <c r="H66">
        <v>0</v>
      </c>
      <c r="I66">
        <v>0</v>
      </c>
      <c r="J66">
        <v>1</v>
      </c>
      <c r="K66">
        <v>0</v>
      </c>
      <c r="L66">
        <v>-1</v>
      </c>
      <c r="M66">
        <v>0</v>
      </c>
      <c r="N66">
        <v>1</v>
      </c>
      <c r="O66">
        <f t="shared" si="0"/>
        <v>3</v>
      </c>
      <c r="P66">
        <f t="shared" si="1"/>
        <v>3</v>
      </c>
      <c r="Q66" s="1">
        <f>IF(OR(O66=0,P66=0),0,MIN(O66,P66)*Mapping!$I$2/O66)</f>
        <v>5.000000000000001E-2</v>
      </c>
      <c r="R66" s="1">
        <f>IF(OR(O66=0,P66=0),0,MIN(O66,P66)*Mapping!$I$2/P66)</f>
        <v>5.000000000000001E-2</v>
      </c>
    </row>
    <row r="67" spans="1:18">
      <c r="A67" s="5">
        <v>41029</v>
      </c>
      <c r="B67" s="5">
        <v>41030</v>
      </c>
      <c r="C67">
        <v>-1</v>
      </c>
      <c r="D67">
        <v>0</v>
      </c>
      <c r="E67">
        <v>1</v>
      </c>
      <c r="F67">
        <v>0</v>
      </c>
      <c r="G67">
        <v>0</v>
      </c>
      <c r="H67">
        <v>0</v>
      </c>
      <c r="I67">
        <v>-1</v>
      </c>
      <c r="J67">
        <v>1</v>
      </c>
      <c r="K67">
        <v>0</v>
      </c>
      <c r="L67">
        <v>-1</v>
      </c>
      <c r="M67">
        <v>0</v>
      </c>
      <c r="N67">
        <v>1</v>
      </c>
      <c r="O67">
        <f t="shared" ref="O67:O130" si="2">COUNTIF(C67:N67,1)</f>
        <v>3</v>
      </c>
      <c r="P67">
        <f t="shared" ref="P67:P130" si="3">COUNTIF(C67:N67,-1)</f>
        <v>3</v>
      </c>
      <c r="Q67" s="1">
        <f>IF(OR(O67=0,P67=0),0,MIN(O67,P67)*Mapping!$I$2/O67)</f>
        <v>5.000000000000001E-2</v>
      </c>
      <c r="R67" s="1">
        <f>IF(OR(O67=0,P67=0),0,MIN(O67,P67)*Mapping!$I$2/P67)</f>
        <v>5.000000000000001E-2</v>
      </c>
    </row>
    <row r="68" spans="1:18">
      <c r="A68" s="5">
        <v>41060</v>
      </c>
      <c r="B68" s="5">
        <v>41061</v>
      </c>
      <c r="C68">
        <v>-1</v>
      </c>
      <c r="D68">
        <v>0</v>
      </c>
      <c r="E68">
        <v>1</v>
      </c>
      <c r="F68">
        <v>-1</v>
      </c>
      <c r="G68">
        <v>0</v>
      </c>
      <c r="H68">
        <v>0</v>
      </c>
      <c r="I68">
        <v>-1</v>
      </c>
      <c r="J68">
        <v>1</v>
      </c>
      <c r="K68">
        <v>0</v>
      </c>
      <c r="L68">
        <v>0</v>
      </c>
      <c r="M68">
        <v>0</v>
      </c>
      <c r="N68">
        <v>1</v>
      </c>
      <c r="O68">
        <f t="shared" si="2"/>
        <v>3</v>
      </c>
      <c r="P68">
        <f t="shared" si="3"/>
        <v>3</v>
      </c>
      <c r="Q68" s="1">
        <f>IF(OR(O68=0,P68=0),0,MIN(O68,P68)*Mapping!$I$2/O68)</f>
        <v>5.000000000000001E-2</v>
      </c>
      <c r="R68" s="1">
        <f>IF(OR(O68=0,P68=0),0,MIN(O68,P68)*Mapping!$I$2/P68)</f>
        <v>5.000000000000001E-2</v>
      </c>
    </row>
    <row r="69" spans="1:18">
      <c r="A69" s="5">
        <v>41090</v>
      </c>
      <c r="B69" s="5">
        <v>41091</v>
      </c>
      <c r="C69">
        <v>-1</v>
      </c>
      <c r="D69">
        <v>0</v>
      </c>
      <c r="E69">
        <v>1</v>
      </c>
      <c r="F69">
        <v>-1</v>
      </c>
      <c r="G69">
        <v>0</v>
      </c>
      <c r="H69">
        <v>0</v>
      </c>
      <c r="I69">
        <v>-1</v>
      </c>
      <c r="J69">
        <v>1</v>
      </c>
      <c r="K69">
        <v>0</v>
      </c>
      <c r="L69">
        <v>0</v>
      </c>
      <c r="M69">
        <v>0</v>
      </c>
      <c r="N69">
        <v>1</v>
      </c>
      <c r="O69">
        <f t="shared" si="2"/>
        <v>3</v>
      </c>
      <c r="P69">
        <f t="shared" si="3"/>
        <v>3</v>
      </c>
      <c r="Q69" s="1">
        <f>IF(OR(O69=0,P69=0),0,MIN(O69,P69)*Mapping!$I$2/O69)</f>
        <v>5.000000000000001E-2</v>
      </c>
      <c r="R69" s="1">
        <f>IF(OR(O69=0,P69=0),0,MIN(O69,P69)*Mapping!$I$2/P69)</f>
        <v>5.000000000000001E-2</v>
      </c>
    </row>
    <row r="70" spans="1:18">
      <c r="A70" s="5">
        <v>41121</v>
      </c>
      <c r="B70" s="5">
        <v>41122</v>
      </c>
      <c r="C70">
        <v>-1</v>
      </c>
      <c r="D70">
        <v>0</v>
      </c>
      <c r="E70">
        <v>1</v>
      </c>
      <c r="F70">
        <v>-1</v>
      </c>
      <c r="G70">
        <v>0</v>
      </c>
      <c r="H70">
        <v>0</v>
      </c>
      <c r="I70">
        <v>-1</v>
      </c>
      <c r="J70">
        <v>1</v>
      </c>
      <c r="K70">
        <v>0</v>
      </c>
      <c r="L70">
        <v>0</v>
      </c>
      <c r="M70">
        <v>0</v>
      </c>
      <c r="N70">
        <v>1</v>
      </c>
      <c r="O70">
        <f t="shared" si="2"/>
        <v>3</v>
      </c>
      <c r="P70">
        <f t="shared" si="3"/>
        <v>3</v>
      </c>
      <c r="Q70" s="1">
        <f>IF(OR(O70=0,P70=0),0,MIN(O70,P70)*Mapping!$I$2/O70)</f>
        <v>5.000000000000001E-2</v>
      </c>
      <c r="R70" s="1">
        <f>IF(OR(O70=0,P70=0),0,MIN(O70,P70)*Mapping!$I$2/P70)</f>
        <v>5.000000000000001E-2</v>
      </c>
    </row>
    <row r="71" spans="1:18">
      <c r="A71" s="5">
        <v>41152</v>
      </c>
      <c r="B71" s="5">
        <v>41153</v>
      </c>
      <c r="C71">
        <v>0</v>
      </c>
      <c r="D71">
        <v>0</v>
      </c>
      <c r="E71">
        <v>1</v>
      </c>
      <c r="F71">
        <v>0</v>
      </c>
      <c r="G71">
        <v>-1</v>
      </c>
      <c r="H71">
        <v>0</v>
      </c>
      <c r="I71">
        <v>-1</v>
      </c>
      <c r="J71">
        <v>1</v>
      </c>
      <c r="K71">
        <v>1</v>
      </c>
      <c r="L71">
        <v>-1</v>
      </c>
      <c r="M71">
        <v>0</v>
      </c>
      <c r="N71">
        <v>0</v>
      </c>
      <c r="O71">
        <f t="shared" si="2"/>
        <v>3</v>
      </c>
      <c r="P71">
        <f t="shared" si="3"/>
        <v>3</v>
      </c>
      <c r="Q71" s="1">
        <f>IF(OR(O71=0,P71=0),0,MIN(O71,P71)*Mapping!$I$2/O71)</f>
        <v>5.000000000000001E-2</v>
      </c>
      <c r="R71" s="1">
        <f>IF(OR(O71=0,P71=0),0,MIN(O71,P71)*Mapping!$I$2/P71)</f>
        <v>5.000000000000001E-2</v>
      </c>
    </row>
    <row r="72" spans="1:18">
      <c r="A72" s="5">
        <v>41182</v>
      </c>
      <c r="B72" s="5">
        <v>41183</v>
      </c>
      <c r="C72">
        <v>-1</v>
      </c>
      <c r="D72">
        <v>0</v>
      </c>
      <c r="E72">
        <v>1</v>
      </c>
      <c r="F72">
        <v>0</v>
      </c>
      <c r="G72">
        <v>-1</v>
      </c>
      <c r="H72">
        <v>0</v>
      </c>
      <c r="I72">
        <v>-1</v>
      </c>
      <c r="J72">
        <v>0</v>
      </c>
      <c r="K72">
        <v>1</v>
      </c>
      <c r="L72">
        <v>0</v>
      </c>
      <c r="M72">
        <v>0</v>
      </c>
      <c r="N72">
        <v>1</v>
      </c>
      <c r="O72">
        <f t="shared" si="2"/>
        <v>3</v>
      </c>
      <c r="P72">
        <f t="shared" si="3"/>
        <v>3</v>
      </c>
      <c r="Q72" s="1">
        <f>IF(OR(O72=0,P72=0),0,MIN(O72,P72)*Mapping!$I$2/O72)</f>
        <v>5.000000000000001E-2</v>
      </c>
      <c r="R72" s="1">
        <f>IF(OR(O72=0,P72=0),0,MIN(O72,P72)*Mapping!$I$2/P72)</f>
        <v>5.000000000000001E-2</v>
      </c>
    </row>
    <row r="73" spans="1:18">
      <c r="A73" s="5">
        <v>41213</v>
      </c>
      <c r="B73" s="5">
        <v>41214</v>
      </c>
      <c r="C73">
        <v>-1</v>
      </c>
      <c r="D73">
        <v>0</v>
      </c>
      <c r="E73">
        <v>1</v>
      </c>
      <c r="F73">
        <v>0</v>
      </c>
      <c r="G73">
        <v>-1</v>
      </c>
      <c r="H73">
        <v>0</v>
      </c>
      <c r="I73">
        <v>0</v>
      </c>
      <c r="J73">
        <v>0</v>
      </c>
      <c r="K73">
        <v>1</v>
      </c>
      <c r="L73">
        <v>-1</v>
      </c>
      <c r="M73">
        <v>0</v>
      </c>
      <c r="N73">
        <v>1</v>
      </c>
      <c r="O73">
        <f t="shared" si="2"/>
        <v>3</v>
      </c>
      <c r="P73">
        <f t="shared" si="3"/>
        <v>3</v>
      </c>
      <c r="Q73" s="1">
        <f>IF(OR(O73=0,P73=0),0,MIN(O73,P73)*Mapping!$I$2/O73)</f>
        <v>5.000000000000001E-2</v>
      </c>
      <c r="R73" s="1">
        <f>IF(OR(O73=0,P73=0),0,MIN(O73,P73)*Mapping!$I$2/P73)</f>
        <v>5.000000000000001E-2</v>
      </c>
    </row>
    <row r="74" spans="1:18">
      <c r="A74" s="5">
        <v>41243</v>
      </c>
      <c r="B74" s="5">
        <v>41244</v>
      </c>
      <c r="C74">
        <v>0</v>
      </c>
      <c r="D74">
        <v>0</v>
      </c>
      <c r="E74">
        <v>1</v>
      </c>
      <c r="F74">
        <v>0</v>
      </c>
      <c r="G74">
        <v>-1</v>
      </c>
      <c r="H74">
        <v>0</v>
      </c>
      <c r="I74">
        <v>-1</v>
      </c>
      <c r="J74">
        <v>1</v>
      </c>
      <c r="K74">
        <v>0</v>
      </c>
      <c r="L74">
        <v>-1</v>
      </c>
      <c r="M74">
        <v>0</v>
      </c>
      <c r="N74">
        <v>1</v>
      </c>
      <c r="O74">
        <f t="shared" si="2"/>
        <v>3</v>
      </c>
      <c r="P74">
        <f t="shared" si="3"/>
        <v>3</v>
      </c>
      <c r="Q74" s="1">
        <f>IF(OR(O74=0,P74=0),0,MIN(O74,P74)*Mapping!$I$2/O74)</f>
        <v>5.000000000000001E-2</v>
      </c>
      <c r="R74" s="1">
        <f>IF(OR(O74=0,P74=0),0,MIN(O74,P74)*Mapping!$I$2/P74)</f>
        <v>5.000000000000001E-2</v>
      </c>
    </row>
    <row r="75" spans="1:18">
      <c r="A75" s="5">
        <v>41274</v>
      </c>
      <c r="B75" s="5">
        <v>41275</v>
      </c>
      <c r="C75">
        <v>0</v>
      </c>
      <c r="D75">
        <v>0</v>
      </c>
      <c r="E75">
        <v>1</v>
      </c>
      <c r="F75">
        <v>0</v>
      </c>
      <c r="G75">
        <v>-1</v>
      </c>
      <c r="H75">
        <v>0</v>
      </c>
      <c r="I75">
        <v>-1</v>
      </c>
      <c r="J75">
        <v>1</v>
      </c>
      <c r="K75">
        <v>0</v>
      </c>
      <c r="L75">
        <v>-1</v>
      </c>
      <c r="M75">
        <v>0</v>
      </c>
      <c r="N75">
        <v>1</v>
      </c>
      <c r="O75">
        <f t="shared" si="2"/>
        <v>3</v>
      </c>
      <c r="P75">
        <f t="shared" si="3"/>
        <v>3</v>
      </c>
      <c r="Q75" s="1">
        <f>IF(OR(O75=0,P75=0),0,MIN(O75,P75)*Mapping!$I$2/O75)</f>
        <v>5.000000000000001E-2</v>
      </c>
      <c r="R75" s="1">
        <f>IF(OR(O75=0,P75=0),0,MIN(O75,P75)*Mapping!$I$2/P75)</f>
        <v>5.000000000000001E-2</v>
      </c>
    </row>
    <row r="76" spans="1:18">
      <c r="A76" s="5">
        <v>41305</v>
      </c>
      <c r="B76" s="5">
        <v>41306</v>
      </c>
      <c r="C76">
        <v>0</v>
      </c>
      <c r="D76">
        <v>0</v>
      </c>
      <c r="E76">
        <v>1</v>
      </c>
      <c r="F76">
        <v>0</v>
      </c>
      <c r="G76">
        <v>-1</v>
      </c>
      <c r="H76">
        <v>0</v>
      </c>
      <c r="I76">
        <v>-1</v>
      </c>
      <c r="J76">
        <v>1</v>
      </c>
      <c r="K76">
        <v>0</v>
      </c>
      <c r="L76">
        <v>-1</v>
      </c>
      <c r="M76">
        <v>0</v>
      </c>
      <c r="N76">
        <v>1</v>
      </c>
      <c r="O76">
        <f t="shared" si="2"/>
        <v>3</v>
      </c>
      <c r="P76">
        <f t="shared" si="3"/>
        <v>3</v>
      </c>
      <c r="Q76" s="1">
        <f>IF(OR(O76=0,P76=0),0,MIN(O76,P76)*Mapping!$I$2/O76)</f>
        <v>5.000000000000001E-2</v>
      </c>
      <c r="R76" s="1">
        <f>IF(OR(O76=0,P76=0),0,MIN(O76,P76)*Mapping!$I$2/P76)</f>
        <v>5.000000000000001E-2</v>
      </c>
    </row>
    <row r="77" spans="1:18">
      <c r="A77" s="5">
        <v>41333</v>
      </c>
      <c r="B77" s="5">
        <v>41334</v>
      </c>
      <c r="C77">
        <v>0</v>
      </c>
      <c r="D77">
        <v>0</v>
      </c>
      <c r="E77">
        <v>1</v>
      </c>
      <c r="F77">
        <v>1</v>
      </c>
      <c r="G77">
        <v>-1</v>
      </c>
      <c r="H77">
        <v>0</v>
      </c>
      <c r="I77">
        <v>-1</v>
      </c>
      <c r="J77">
        <v>0</v>
      </c>
      <c r="K77">
        <v>1</v>
      </c>
      <c r="L77">
        <v>-1</v>
      </c>
      <c r="M77">
        <v>0</v>
      </c>
      <c r="N77">
        <v>0</v>
      </c>
      <c r="O77">
        <f t="shared" si="2"/>
        <v>3</v>
      </c>
      <c r="P77">
        <f t="shared" si="3"/>
        <v>3</v>
      </c>
      <c r="Q77" s="1">
        <f>IF(OR(O77=0,P77=0),0,MIN(O77,P77)*Mapping!$I$2/O77)</f>
        <v>5.000000000000001E-2</v>
      </c>
      <c r="R77" s="1">
        <f>IF(OR(O77=0,P77=0),0,MIN(O77,P77)*Mapping!$I$2/P77)</f>
        <v>5.000000000000001E-2</v>
      </c>
    </row>
    <row r="78" spans="1:18">
      <c r="A78" s="5">
        <v>41364</v>
      </c>
      <c r="B78" s="5">
        <v>41365</v>
      </c>
      <c r="C78">
        <v>0</v>
      </c>
      <c r="D78">
        <v>0</v>
      </c>
      <c r="E78">
        <v>0</v>
      </c>
      <c r="F78">
        <v>0</v>
      </c>
      <c r="G78">
        <v>-1</v>
      </c>
      <c r="H78">
        <v>0</v>
      </c>
      <c r="I78">
        <v>-1</v>
      </c>
      <c r="J78">
        <v>1</v>
      </c>
      <c r="K78">
        <v>1</v>
      </c>
      <c r="L78">
        <v>-1</v>
      </c>
      <c r="M78">
        <v>0</v>
      </c>
      <c r="N78">
        <v>1</v>
      </c>
      <c r="O78">
        <f t="shared" si="2"/>
        <v>3</v>
      </c>
      <c r="P78">
        <f t="shared" si="3"/>
        <v>3</v>
      </c>
      <c r="Q78" s="1">
        <f>IF(OR(O78=0,P78=0),0,MIN(O78,P78)*Mapping!$I$2/O78)</f>
        <v>5.000000000000001E-2</v>
      </c>
      <c r="R78" s="1">
        <f>IF(OR(O78=0,P78=0),0,MIN(O78,P78)*Mapping!$I$2/P78)</f>
        <v>5.000000000000001E-2</v>
      </c>
    </row>
    <row r="79" spans="1:18">
      <c r="A79" s="5">
        <v>41394</v>
      </c>
      <c r="B79" s="5">
        <v>41395</v>
      </c>
      <c r="C79">
        <v>-1</v>
      </c>
      <c r="D79">
        <v>0</v>
      </c>
      <c r="E79">
        <v>1</v>
      </c>
      <c r="F79">
        <v>1</v>
      </c>
      <c r="G79">
        <v>-1</v>
      </c>
      <c r="H79">
        <v>0</v>
      </c>
      <c r="I79">
        <v>0</v>
      </c>
      <c r="J79">
        <v>0</v>
      </c>
      <c r="K79">
        <v>0</v>
      </c>
      <c r="L79">
        <v>-1</v>
      </c>
      <c r="M79">
        <v>0</v>
      </c>
      <c r="N79">
        <v>1</v>
      </c>
      <c r="O79">
        <f t="shared" si="2"/>
        <v>3</v>
      </c>
      <c r="P79">
        <f t="shared" si="3"/>
        <v>3</v>
      </c>
      <c r="Q79" s="1">
        <f>IF(OR(O79=0,P79=0),0,MIN(O79,P79)*Mapping!$I$2/O79)</f>
        <v>5.000000000000001E-2</v>
      </c>
      <c r="R79" s="1">
        <f>IF(OR(O79=0,P79=0),0,MIN(O79,P79)*Mapping!$I$2/P79)</f>
        <v>5.000000000000001E-2</v>
      </c>
    </row>
    <row r="80" spans="1:18">
      <c r="A80" s="5">
        <v>41425</v>
      </c>
      <c r="B80" s="5">
        <v>41426</v>
      </c>
      <c r="C80">
        <v>0</v>
      </c>
      <c r="D80">
        <v>1</v>
      </c>
      <c r="E80">
        <v>0</v>
      </c>
      <c r="F80">
        <v>-1</v>
      </c>
      <c r="G80">
        <v>-1</v>
      </c>
      <c r="H80">
        <v>0</v>
      </c>
      <c r="I80">
        <v>0</v>
      </c>
      <c r="J80">
        <v>1</v>
      </c>
      <c r="K80">
        <v>0</v>
      </c>
      <c r="L80">
        <v>-1</v>
      </c>
      <c r="M80">
        <v>0</v>
      </c>
      <c r="N80">
        <v>1</v>
      </c>
      <c r="O80">
        <f t="shared" si="2"/>
        <v>3</v>
      </c>
      <c r="P80">
        <f t="shared" si="3"/>
        <v>3</v>
      </c>
      <c r="Q80" s="1">
        <f>IF(OR(O80=0,P80=0),0,MIN(O80,P80)*Mapping!$I$2/O80)</f>
        <v>5.000000000000001E-2</v>
      </c>
      <c r="R80" s="1">
        <f>IF(OR(O80=0,P80=0),0,MIN(O80,P80)*Mapping!$I$2/P80)</f>
        <v>5.000000000000001E-2</v>
      </c>
    </row>
    <row r="81" spans="1:18">
      <c r="A81" s="5">
        <v>41455</v>
      </c>
      <c r="B81" s="5">
        <v>41456</v>
      </c>
      <c r="C81">
        <v>0</v>
      </c>
      <c r="D81">
        <v>0</v>
      </c>
      <c r="E81">
        <v>1</v>
      </c>
      <c r="F81">
        <v>-1</v>
      </c>
      <c r="G81">
        <v>-1</v>
      </c>
      <c r="H81">
        <v>0</v>
      </c>
      <c r="I81">
        <v>0</v>
      </c>
      <c r="J81">
        <v>1</v>
      </c>
      <c r="K81">
        <v>0</v>
      </c>
      <c r="L81">
        <v>-1</v>
      </c>
      <c r="M81">
        <v>0</v>
      </c>
      <c r="N81">
        <v>1</v>
      </c>
      <c r="O81">
        <f t="shared" si="2"/>
        <v>3</v>
      </c>
      <c r="P81">
        <f t="shared" si="3"/>
        <v>3</v>
      </c>
      <c r="Q81" s="1">
        <f>IF(OR(O81=0,P81=0),0,MIN(O81,P81)*Mapping!$I$2/O81)</f>
        <v>5.000000000000001E-2</v>
      </c>
      <c r="R81" s="1">
        <f>IF(OR(O81=0,P81=0),0,MIN(O81,P81)*Mapping!$I$2/P81)</f>
        <v>5.000000000000001E-2</v>
      </c>
    </row>
    <row r="82" spans="1:18">
      <c r="A82" s="5">
        <v>41486</v>
      </c>
      <c r="B82" s="5">
        <v>41487</v>
      </c>
      <c r="C82">
        <v>0</v>
      </c>
      <c r="D82">
        <v>0</v>
      </c>
      <c r="E82">
        <v>1</v>
      </c>
      <c r="F82">
        <v>0</v>
      </c>
      <c r="G82">
        <v>-1</v>
      </c>
      <c r="H82">
        <v>0</v>
      </c>
      <c r="I82">
        <v>0</v>
      </c>
      <c r="J82">
        <v>1</v>
      </c>
      <c r="K82">
        <v>-1</v>
      </c>
      <c r="L82">
        <v>-1</v>
      </c>
      <c r="M82">
        <v>0</v>
      </c>
      <c r="N82">
        <v>1</v>
      </c>
      <c r="O82">
        <f t="shared" si="2"/>
        <v>3</v>
      </c>
      <c r="P82">
        <f t="shared" si="3"/>
        <v>3</v>
      </c>
      <c r="Q82" s="1">
        <f>IF(OR(O82=0,P82=0),0,MIN(O82,P82)*Mapping!$I$2/O82)</f>
        <v>5.000000000000001E-2</v>
      </c>
      <c r="R82" s="1">
        <f>IF(OR(O82=0,P82=0),0,MIN(O82,P82)*Mapping!$I$2/P82)</f>
        <v>5.000000000000001E-2</v>
      </c>
    </row>
    <row r="83" spans="1:18">
      <c r="A83" s="5">
        <v>41517</v>
      </c>
      <c r="B83" s="5">
        <v>41518</v>
      </c>
      <c r="C83">
        <v>-1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-1</v>
      </c>
      <c r="L83">
        <v>-1</v>
      </c>
      <c r="M83">
        <v>0</v>
      </c>
      <c r="N83">
        <v>1</v>
      </c>
      <c r="O83">
        <f t="shared" si="2"/>
        <v>3</v>
      </c>
      <c r="P83">
        <f t="shared" si="3"/>
        <v>3</v>
      </c>
      <c r="Q83" s="1">
        <f>IF(OR(O83=0,P83=0),0,MIN(O83,P83)*Mapping!$I$2/O83)</f>
        <v>5.000000000000001E-2</v>
      </c>
      <c r="R83" s="1">
        <f>IF(OR(O83=0,P83=0),0,MIN(O83,P83)*Mapping!$I$2/P83)</f>
        <v>5.000000000000001E-2</v>
      </c>
    </row>
    <row r="84" spans="1:18">
      <c r="A84" s="5">
        <v>41547</v>
      </c>
      <c r="B84" s="5">
        <v>41548</v>
      </c>
      <c r="C84">
        <v>-1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-1</v>
      </c>
      <c r="L84">
        <v>-1</v>
      </c>
      <c r="M84">
        <v>0</v>
      </c>
      <c r="N84">
        <v>1</v>
      </c>
      <c r="O84">
        <f t="shared" si="2"/>
        <v>3</v>
      </c>
      <c r="P84">
        <f t="shared" si="3"/>
        <v>3</v>
      </c>
      <c r="Q84" s="1">
        <f>IF(OR(O84=0,P84=0),0,MIN(O84,P84)*Mapping!$I$2/O84)</f>
        <v>5.000000000000001E-2</v>
      </c>
      <c r="R84" s="1">
        <f>IF(OR(O84=0,P84=0),0,MIN(O84,P84)*Mapping!$I$2/P84)</f>
        <v>5.000000000000001E-2</v>
      </c>
    </row>
    <row r="85" spans="1:18">
      <c r="A85" s="5">
        <v>41578</v>
      </c>
      <c r="B85" s="5">
        <v>41579</v>
      </c>
      <c r="C85">
        <v>0</v>
      </c>
      <c r="D85">
        <v>0</v>
      </c>
      <c r="E85">
        <v>0</v>
      </c>
      <c r="F85">
        <v>-1</v>
      </c>
      <c r="G85">
        <v>0</v>
      </c>
      <c r="H85">
        <v>1</v>
      </c>
      <c r="I85">
        <v>0</v>
      </c>
      <c r="J85">
        <v>1</v>
      </c>
      <c r="K85">
        <v>-1</v>
      </c>
      <c r="L85">
        <v>-1</v>
      </c>
      <c r="M85">
        <v>0</v>
      </c>
      <c r="N85">
        <v>1</v>
      </c>
      <c r="O85">
        <f t="shared" si="2"/>
        <v>3</v>
      </c>
      <c r="P85">
        <f t="shared" si="3"/>
        <v>3</v>
      </c>
      <c r="Q85" s="1">
        <f>IF(OR(O85=0,P85=0),0,MIN(O85,P85)*Mapping!$I$2/O85)</f>
        <v>5.000000000000001E-2</v>
      </c>
      <c r="R85" s="1">
        <f>IF(OR(O85=0,P85=0),0,MIN(O85,P85)*Mapping!$I$2/P85)</f>
        <v>5.000000000000001E-2</v>
      </c>
    </row>
    <row r="86" spans="1:18">
      <c r="A86" s="5">
        <v>41608</v>
      </c>
      <c r="B86" s="5">
        <v>41609</v>
      </c>
      <c r="C86">
        <v>-1</v>
      </c>
      <c r="D86">
        <v>0</v>
      </c>
      <c r="E86">
        <v>0</v>
      </c>
      <c r="F86">
        <v>-1</v>
      </c>
      <c r="G86">
        <v>1</v>
      </c>
      <c r="H86">
        <v>1</v>
      </c>
      <c r="I86">
        <v>0</v>
      </c>
      <c r="J86">
        <v>0</v>
      </c>
      <c r="K86">
        <v>-1</v>
      </c>
      <c r="L86">
        <v>0</v>
      </c>
      <c r="M86">
        <v>0</v>
      </c>
      <c r="N86">
        <v>1</v>
      </c>
      <c r="O86">
        <f t="shared" si="2"/>
        <v>3</v>
      </c>
      <c r="P86">
        <f t="shared" si="3"/>
        <v>3</v>
      </c>
      <c r="Q86" s="1">
        <f>IF(OR(O86=0,P86=0),0,MIN(O86,P86)*Mapping!$I$2/O86)</f>
        <v>5.000000000000001E-2</v>
      </c>
      <c r="R86" s="1">
        <f>IF(OR(O86=0,P86=0),0,MIN(O86,P86)*Mapping!$I$2/P86)</f>
        <v>5.000000000000001E-2</v>
      </c>
    </row>
    <row r="87" spans="1:18">
      <c r="A87" s="5">
        <v>41639</v>
      </c>
      <c r="B87" s="5">
        <v>41640</v>
      </c>
      <c r="C87">
        <v>0</v>
      </c>
      <c r="D87">
        <v>0</v>
      </c>
      <c r="E87">
        <v>0</v>
      </c>
      <c r="F87">
        <v>-1</v>
      </c>
      <c r="G87">
        <v>-1</v>
      </c>
      <c r="H87">
        <v>1</v>
      </c>
      <c r="I87">
        <v>1</v>
      </c>
      <c r="J87">
        <v>1</v>
      </c>
      <c r="K87">
        <v>0</v>
      </c>
      <c r="L87">
        <v>-1</v>
      </c>
      <c r="M87">
        <v>0</v>
      </c>
      <c r="N87">
        <v>0</v>
      </c>
      <c r="O87">
        <f t="shared" si="2"/>
        <v>3</v>
      </c>
      <c r="P87">
        <f t="shared" si="3"/>
        <v>3</v>
      </c>
      <c r="Q87" s="1">
        <f>IF(OR(O87=0,P87=0),0,MIN(O87,P87)*Mapping!$I$2/O87)</f>
        <v>5.000000000000001E-2</v>
      </c>
      <c r="R87" s="1">
        <f>IF(OR(O87=0,P87=0),0,MIN(O87,P87)*Mapping!$I$2/P87)</f>
        <v>5.000000000000001E-2</v>
      </c>
    </row>
    <row r="88" spans="1:18">
      <c r="A88" s="5">
        <v>41670</v>
      </c>
      <c r="B88" s="5">
        <v>41671</v>
      </c>
      <c r="C88">
        <v>1</v>
      </c>
      <c r="D88">
        <v>-1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-1</v>
      </c>
      <c r="L88">
        <v>-1</v>
      </c>
      <c r="M88">
        <v>0</v>
      </c>
      <c r="N88">
        <v>0</v>
      </c>
      <c r="O88">
        <f t="shared" si="2"/>
        <v>3</v>
      </c>
      <c r="P88">
        <f t="shared" si="3"/>
        <v>3</v>
      </c>
      <c r="Q88" s="1">
        <f>IF(OR(O88=0,P88=0),0,MIN(O88,P88)*Mapping!$I$2/O88)</f>
        <v>5.000000000000001E-2</v>
      </c>
      <c r="R88" s="1">
        <f>IF(OR(O88=0,P88=0),0,MIN(O88,P88)*Mapping!$I$2/P88)</f>
        <v>5.000000000000001E-2</v>
      </c>
    </row>
    <row r="89" spans="1:18">
      <c r="A89" s="5">
        <v>41698</v>
      </c>
      <c r="B89" s="5">
        <v>41699</v>
      </c>
      <c r="C89">
        <v>-1</v>
      </c>
      <c r="D89">
        <v>-1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-1</v>
      </c>
      <c r="M89">
        <v>0</v>
      </c>
      <c r="N89">
        <v>0</v>
      </c>
      <c r="O89">
        <f t="shared" si="2"/>
        <v>3</v>
      </c>
      <c r="P89">
        <f t="shared" si="3"/>
        <v>3</v>
      </c>
      <c r="Q89" s="1">
        <f>IF(OR(O89=0,P89=0),0,MIN(O89,P89)*Mapping!$I$2/O89)</f>
        <v>5.000000000000001E-2</v>
      </c>
      <c r="R89" s="1">
        <f>IF(OR(O89=0,P89=0),0,MIN(O89,P89)*Mapping!$I$2/P89)</f>
        <v>5.000000000000001E-2</v>
      </c>
    </row>
    <row r="90" spans="1:18">
      <c r="A90" s="5">
        <v>41729</v>
      </c>
      <c r="B90" s="5">
        <v>41730</v>
      </c>
      <c r="C90">
        <v>0</v>
      </c>
      <c r="D90">
        <v>-1</v>
      </c>
      <c r="E90">
        <v>-1</v>
      </c>
      <c r="F90">
        <v>0</v>
      </c>
      <c r="G90">
        <v>1</v>
      </c>
      <c r="H90">
        <v>1</v>
      </c>
      <c r="I90">
        <v>0</v>
      </c>
      <c r="J90">
        <v>1</v>
      </c>
      <c r="K90">
        <v>0</v>
      </c>
      <c r="L90">
        <v>-1</v>
      </c>
      <c r="M90">
        <v>0</v>
      </c>
      <c r="N90">
        <v>0</v>
      </c>
      <c r="O90">
        <f t="shared" si="2"/>
        <v>3</v>
      </c>
      <c r="P90">
        <f t="shared" si="3"/>
        <v>3</v>
      </c>
      <c r="Q90" s="1">
        <f>IF(OR(O90=0,P90=0),0,MIN(O90,P90)*Mapping!$I$2/O90)</f>
        <v>5.000000000000001E-2</v>
      </c>
      <c r="R90" s="1">
        <f>IF(OR(O90=0,P90=0),0,MIN(O90,P90)*Mapping!$I$2/P90)</f>
        <v>5.000000000000001E-2</v>
      </c>
    </row>
    <row r="91" spans="1:18">
      <c r="A91" s="5">
        <v>41759</v>
      </c>
      <c r="B91" s="5">
        <v>41760</v>
      </c>
      <c r="C91">
        <v>-1</v>
      </c>
      <c r="D91">
        <v>-1</v>
      </c>
      <c r="E91">
        <v>0</v>
      </c>
      <c r="F91">
        <v>0</v>
      </c>
      <c r="G91">
        <v>1</v>
      </c>
      <c r="H91">
        <v>1</v>
      </c>
      <c r="I91">
        <v>0</v>
      </c>
      <c r="J91">
        <v>1</v>
      </c>
      <c r="K91">
        <v>0</v>
      </c>
      <c r="L91">
        <v>-1</v>
      </c>
      <c r="M91">
        <v>0</v>
      </c>
      <c r="N91">
        <v>0</v>
      </c>
      <c r="O91">
        <f t="shared" si="2"/>
        <v>3</v>
      </c>
      <c r="P91">
        <f t="shared" si="3"/>
        <v>3</v>
      </c>
      <c r="Q91" s="1">
        <f>IF(OR(O91=0,P91=0),0,MIN(O91,P91)*Mapping!$I$2/O91)</f>
        <v>5.000000000000001E-2</v>
      </c>
      <c r="R91" s="1">
        <f>IF(OR(O91=0,P91=0),0,MIN(O91,P91)*Mapping!$I$2/P91)</f>
        <v>5.000000000000001E-2</v>
      </c>
    </row>
    <row r="92" spans="1:18">
      <c r="A92" s="5">
        <v>41790</v>
      </c>
      <c r="B92" s="5">
        <v>41791</v>
      </c>
      <c r="C92">
        <v>-1</v>
      </c>
      <c r="D92">
        <v>-1</v>
      </c>
      <c r="E92">
        <v>1</v>
      </c>
      <c r="F92">
        <v>0</v>
      </c>
      <c r="G92">
        <v>0</v>
      </c>
      <c r="H92">
        <v>1</v>
      </c>
      <c r="I92">
        <v>0</v>
      </c>
      <c r="J92">
        <v>1</v>
      </c>
      <c r="K92">
        <v>-1</v>
      </c>
      <c r="L92">
        <v>0</v>
      </c>
      <c r="M92">
        <v>0</v>
      </c>
      <c r="N92">
        <v>0</v>
      </c>
      <c r="O92">
        <f t="shared" si="2"/>
        <v>3</v>
      </c>
      <c r="P92">
        <f t="shared" si="3"/>
        <v>3</v>
      </c>
      <c r="Q92" s="1">
        <f>IF(OR(O92=0,P92=0),0,MIN(O92,P92)*Mapping!$I$2/O92)</f>
        <v>5.000000000000001E-2</v>
      </c>
      <c r="R92" s="1">
        <f>IF(OR(O92=0,P92=0),0,MIN(O92,P92)*Mapping!$I$2/P92)</f>
        <v>5.000000000000001E-2</v>
      </c>
    </row>
    <row r="93" spans="1:18">
      <c r="A93" s="5">
        <v>41820</v>
      </c>
      <c r="B93" s="5">
        <v>41821</v>
      </c>
      <c r="C93">
        <v>-1</v>
      </c>
      <c r="D93">
        <v>-1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-1</v>
      </c>
      <c r="L93">
        <v>1</v>
      </c>
      <c r="M93">
        <v>0</v>
      </c>
      <c r="N93">
        <v>0</v>
      </c>
      <c r="O93">
        <f t="shared" si="2"/>
        <v>3</v>
      </c>
      <c r="P93">
        <f t="shared" si="3"/>
        <v>3</v>
      </c>
      <c r="Q93" s="1">
        <f>IF(OR(O93=0,P93=0),0,MIN(O93,P93)*Mapping!$I$2/O93)</f>
        <v>5.000000000000001E-2</v>
      </c>
      <c r="R93" s="1">
        <f>IF(OR(O93=0,P93=0),0,MIN(O93,P93)*Mapping!$I$2/P93)</f>
        <v>5.000000000000001E-2</v>
      </c>
    </row>
    <row r="94" spans="1:18">
      <c r="A94" s="5">
        <v>41851</v>
      </c>
      <c r="B94" s="5">
        <v>41852</v>
      </c>
      <c r="C94">
        <v>0</v>
      </c>
      <c r="D94">
        <v>-1</v>
      </c>
      <c r="E94">
        <v>0</v>
      </c>
      <c r="F94">
        <v>0</v>
      </c>
      <c r="G94">
        <v>1</v>
      </c>
      <c r="H94">
        <v>1</v>
      </c>
      <c r="I94">
        <v>1</v>
      </c>
      <c r="J94">
        <v>0</v>
      </c>
      <c r="K94">
        <v>-1</v>
      </c>
      <c r="L94">
        <v>0</v>
      </c>
      <c r="M94">
        <v>0</v>
      </c>
      <c r="N94">
        <v>-1</v>
      </c>
      <c r="O94">
        <f t="shared" si="2"/>
        <v>3</v>
      </c>
      <c r="P94">
        <f t="shared" si="3"/>
        <v>3</v>
      </c>
      <c r="Q94" s="1">
        <f>IF(OR(O94=0,P94=0),0,MIN(O94,P94)*Mapping!$I$2/O94)</f>
        <v>5.000000000000001E-2</v>
      </c>
      <c r="R94" s="1">
        <f>IF(OR(O94=0,P94=0),0,MIN(O94,P94)*Mapping!$I$2/P94)</f>
        <v>5.000000000000001E-2</v>
      </c>
    </row>
    <row r="95" spans="1:18">
      <c r="A95" s="5">
        <v>41882</v>
      </c>
      <c r="B95" s="5">
        <v>41883</v>
      </c>
      <c r="C95">
        <v>-1</v>
      </c>
      <c r="D95">
        <v>-1</v>
      </c>
      <c r="E95">
        <v>-1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f t="shared" si="2"/>
        <v>3</v>
      </c>
      <c r="P95">
        <f t="shared" si="3"/>
        <v>3</v>
      </c>
      <c r="Q95" s="1">
        <f>IF(OR(O95=0,P95=0),0,MIN(O95,P95)*Mapping!$I$2/O95)</f>
        <v>5.000000000000001E-2</v>
      </c>
      <c r="R95" s="1">
        <f>IF(OR(O95=0,P95=0),0,MIN(O95,P95)*Mapping!$I$2/P95)</f>
        <v>5.000000000000001E-2</v>
      </c>
    </row>
    <row r="96" spans="1:18">
      <c r="A96" s="5">
        <v>41912</v>
      </c>
      <c r="B96" s="5">
        <v>41913</v>
      </c>
      <c r="C96">
        <v>0</v>
      </c>
      <c r="D96">
        <v>-1</v>
      </c>
      <c r="E96">
        <v>0</v>
      </c>
      <c r="F96">
        <v>0</v>
      </c>
      <c r="G96">
        <v>1</v>
      </c>
      <c r="H96">
        <v>1</v>
      </c>
      <c r="I96">
        <v>0</v>
      </c>
      <c r="J96">
        <v>-1</v>
      </c>
      <c r="K96">
        <v>-1</v>
      </c>
      <c r="L96">
        <v>1</v>
      </c>
      <c r="M96">
        <v>0</v>
      </c>
      <c r="N96">
        <v>0</v>
      </c>
      <c r="O96">
        <f t="shared" si="2"/>
        <v>3</v>
      </c>
      <c r="P96">
        <f t="shared" si="3"/>
        <v>3</v>
      </c>
      <c r="Q96" s="1">
        <f>IF(OR(O96=0,P96=0),0,MIN(O96,P96)*Mapping!$I$2/O96)</f>
        <v>5.000000000000001E-2</v>
      </c>
      <c r="R96" s="1">
        <f>IF(OR(O96=0,P96=0),0,MIN(O96,P96)*Mapping!$I$2/P96)</f>
        <v>5.000000000000001E-2</v>
      </c>
    </row>
    <row r="97" spans="1:18">
      <c r="A97" s="5">
        <v>41943</v>
      </c>
      <c r="B97" s="5">
        <v>41944</v>
      </c>
      <c r="C97">
        <v>1</v>
      </c>
      <c r="D97">
        <v>-1</v>
      </c>
      <c r="E97">
        <v>0</v>
      </c>
      <c r="F97">
        <v>1</v>
      </c>
      <c r="G97">
        <v>1</v>
      </c>
      <c r="H97">
        <v>0</v>
      </c>
      <c r="I97">
        <v>-1</v>
      </c>
      <c r="J97">
        <v>0</v>
      </c>
      <c r="K97">
        <v>-1</v>
      </c>
      <c r="L97">
        <v>0</v>
      </c>
      <c r="M97">
        <v>0</v>
      </c>
      <c r="N97">
        <v>0</v>
      </c>
      <c r="O97">
        <f t="shared" si="2"/>
        <v>3</v>
      </c>
      <c r="P97">
        <f t="shared" si="3"/>
        <v>3</v>
      </c>
      <c r="Q97" s="1">
        <f>IF(OR(O97=0,P97=0),0,MIN(O97,P97)*Mapping!$I$2/O97)</f>
        <v>5.000000000000001E-2</v>
      </c>
      <c r="R97" s="1">
        <f>IF(OR(O97=0,P97=0),0,MIN(O97,P97)*Mapping!$I$2/P97)</f>
        <v>5.000000000000001E-2</v>
      </c>
    </row>
    <row r="98" spans="1:18">
      <c r="A98" s="5">
        <v>41973</v>
      </c>
      <c r="B98" s="5">
        <v>41974</v>
      </c>
      <c r="C98">
        <v>0</v>
      </c>
      <c r="D98">
        <v>-1</v>
      </c>
      <c r="E98">
        <v>1</v>
      </c>
      <c r="F98">
        <v>1</v>
      </c>
      <c r="G98">
        <v>1</v>
      </c>
      <c r="H98">
        <v>0</v>
      </c>
      <c r="I98">
        <v>-1</v>
      </c>
      <c r="J98">
        <v>0</v>
      </c>
      <c r="K98">
        <v>-1</v>
      </c>
      <c r="L98">
        <v>0</v>
      </c>
      <c r="M98">
        <v>0</v>
      </c>
      <c r="N98">
        <v>0</v>
      </c>
      <c r="O98">
        <f t="shared" si="2"/>
        <v>3</v>
      </c>
      <c r="P98">
        <f t="shared" si="3"/>
        <v>3</v>
      </c>
      <c r="Q98" s="1">
        <f>IF(OR(O98=0,P98=0),0,MIN(O98,P98)*Mapping!$I$2/O98)</f>
        <v>5.000000000000001E-2</v>
      </c>
      <c r="R98" s="1">
        <f>IF(OR(O98=0,P98=0),0,MIN(O98,P98)*Mapping!$I$2/P98)</f>
        <v>5.000000000000001E-2</v>
      </c>
    </row>
    <row r="99" spans="1:18">
      <c r="A99" s="5">
        <v>42004</v>
      </c>
      <c r="B99" s="5">
        <v>42005</v>
      </c>
      <c r="C99">
        <v>0</v>
      </c>
      <c r="D99">
        <v>-1</v>
      </c>
      <c r="E99">
        <v>0</v>
      </c>
      <c r="F99">
        <v>1</v>
      </c>
      <c r="G99">
        <v>1</v>
      </c>
      <c r="H99">
        <v>0</v>
      </c>
      <c r="I99">
        <v>-1</v>
      </c>
      <c r="J99">
        <v>1</v>
      </c>
      <c r="K99">
        <v>0</v>
      </c>
      <c r="L99">
        <v>-1</v>
      </c>
      <c r="M99">
        <v>0</v>
      </c>
      <c r="N99">
        <v>0</v>
      </c>
      <c r="O99">
        <f t="shared" si="2"/>
        <v>3</v>
      </c>
      <c r="P99">
        <f t="shared" si="3"/>
        <v>3</v>
      </c>
      <c r="Q99" s="1">
        <f>IF(OR(O99=0,P99=0),0,MIN(O99,P99)*Mapping!$I$2/O99)</f>
        <v>5.000000000000001E-2</v>
      </c>
      <c r="R99" s="1">
        <f>IF(OR(O99=0,P99=0),0,MIN(O99,P99)*Mapping!$I$2/P99)</f>
        <v>5.000000000000001E-2</v>
      </c>
    </row>
    <row r="100" spans="1:18">
      <c r="A100" s="5">
        <v>42035</v>
      </c>
      <c r="B100" s="5">
        <v>42036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-1</v>
      </c>
      <c r="J100">
        <v>1</v>
      </c>
      <c r="K100">
        <v>1</v>
      </c>
      <c r="L100">
        <v>-1</v>
      </c>
      <c r="M100">
        <v>0</v>
      </c>
      <c r="N100">
        <v>-1</v>
      </c>
      <c r="O100">
        <f t="shared" si="2"/>
        <v>3</v>
      </c>
      <c r="P100">
        <f t="shared" si="3"/>
        <v>3</v>
      </c>
      <c r="Q100" s="1">
        <f>IF(OR(O100=0,P100=0),0,MIN(O100,P100)*Mapping!$I$2/O100)</f>
        <v>5.000000000000001E-2</v>
      </c>
      <c r="R100" s="1">
        <f>IF(OR(O100=0,P100=0),0,MIN(O100,P100)*Mapping!$I$2/P100)</f>
        <v>5.000000000000001E-2</v>
      </c>
    </row>
    <row r="101" spans="1:18">
      <c r="A101" s="5">
        <v>42063</v>
      </c>
      <c r="B101" s="5">
        <v>42064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-1</v>
      </c>
      <c r="J101">
        <v>0</v>
      </c>
      <c r="K101">
        <v>-1</v>
      </c>
      <c r="L101">
        <v>1</v>
      </c>
      <c r="M101">
        <v>0</v>
      </c>
      <c r="N101">
        <v>-1</v>
      </c>
      <c r="O101">
        <f t="shared" si="2"/>
        <v>3</v>
      </c>
      <c r="P101">
        <f t="shared" si="3"/>
        <v>3</v>
      </c>
      <c r="Q101" s="1">
        <f>IF(OR(O101=0,P101=0),0,MIN(O101,P101)*Mapping!$I$2/O101)</f>
        <v>5.000000000000001E-2</v>
      </c>
      <c r="R101" s="1">
        <f>IF(OR(O101=0,P101=0),0,MIN(O101,P101)*Mapping!$I$2/P101)</f>
        <v>5.000000000000001E-2</v>
      </c>
    </row>
    <row r="102" spans="1:18">
      <c r="A102" s="5">
        <v>42094</v>
      </c>
      <c r="B102" s="5">
        <v>42095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-1</v>
      </c>
      <c r="J102">
        <v>1</v>
      </c>
      <c r="K102">
        <v>-1</v>
      </c>
      <c r="L102">
        <v>-1</v>
      </c>
      <c r="M102">
        <v>0</v>
      </c>
      <c r="N102">
        <v>0</v>
      </c>
      <c r="O102">
        <f t="shared" si="2"/>
        <v>3</v>
      </c>
      <c r="P102">
        <f t="shared" si="3"/>
        <v>3</v>
      </c>
      <c r="Q102" s="1">
        <f>IF(OR(O102=0,P102=0),0,MIN(O102,P102)*Mapping!$I$2/O102)</f>
        <v>5.000000000000001E-2</v>
      </c>
      <c r="R102" s="1">
        <f>IF(OR(O102=0,P102=0),0,MIN(O102,P102)*Mapping!$I$2/P102)</f>
        <v>5.000000000000001E-2</v>
      </c>
    </row>
    <row r="103" spans="1:18">
      <c r="A103" s="5">
        <v>42124</v>
      </c>
      <c r="B103" s="5">
        <v>42125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-1</v>
      </c>
      <c r="J103">
        <v>0</v>
      </c>
      <c r="K103">
        <v>-1</v>
      </c>
      <c r="L103">
        <v>1</v>
      </c>
      <c r="M103">
        <v>0</v>
      </c>
      <c r="N103">
        <v>-1</v>
      </c>
      <c r="O103">
        <f t="shared" si="2"/>
        <v>3</v>
      </c>
      <c r="P103">
        <f t="shared" si="3"/>
        <v>3</v>
      </c>
      <c r="Q103" s="1">
        <f>IF(OR(O103=0,P103=0),0,MIN(O103,P103)*Mapping!$I$2/O103)</f>
        <v>5.000000000000001E-2</v>
      </c>
      <c r="R103" s="1">
        <f>IF(OR(O103=0,P103=0),0,MIN(O103,P103)*Mapping!$I$2/P103)</f>
        <v>5.000000000000001E-2</v>
      </c>
    </row>
    <row r="104" spans="1:18">
      <c r="A104" s="5">
        <v>42155</v>
      </c>
      <c r="B104" s="5">
        <v>42156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1</v>
      </c>
      <c r="I104">
        <v>-1</v>
      </c>
      <c r="J104">
        <v>0</v>
      </c>
      <c r="K104">
        <v>-1</v>
      </c>
      <c r="L104">
        <v>-1</v>
      </c>
      <c r="M104">
        <v>0</v>
      </c>
      <c r="N104">
        <v>0</v>
      </c>
      <c r="O104">
        <f t="shared" si="2"/>
        <v>3</v>
      </c>
      <c r="P104">
        <f t="shared" si="3"/>
        <v>3</v>
      </c>
      <c r="Q104" s="1">
        <f>IF(OR(O104=0,P104=0),0,MIN(O104,P104)*Mapping!$I$2/O104)</f>
        <v>5.000000000000001E-2</v>
      </c>
      <c r="R104" s="1">
        <f>IF(OR(O104=0,P104=0),0,MIN(O104,P104)*Mapping!$I$2/P104)</f>
        <v>5.000000000000001E-2</v>
      </c>
    </row>
    <row r="105" spans="1:18">
      <c r="A105" s="5">
        <v>42185</v>
      </c>
      <c r="B105" s="5">
        <v>42186</v>
      </c>
      <c r="C105">
        <v>-1</v>
      </c>
      <c r="D105">
        <v>0</v>
      </c>
      <c r="E105">
        <v>1</v>
      </c>
      <c r="F105">
        <v>0</v>
      </c>
      <c r="G105">
        <v>1</v>
      </c>
      <c r="H105">
        <v>1</v>
      </c>
      <c r="I105">
        <v>-1</v>
      </c>
      <c r="J105">
        <v>0</v>
      </c>
      <c r="K105">
        <v>-1</v>
      </c>
      <c r="L105">
        <v>0</v>
      </c>
      <c r="M105">
        <v>0</v>
      </c>
      <c r="N105">
        <v>0</v>
      </c>
      <c r="O105">
        <f t="shared" si="2"/>
        <v>3</v>
      </c>
      <c r="P105">
        <f t="shared" si="3"/>
        <v>3</v>
      </c>
      <c r="Q105" s="1">
        <f>IF(OR(O105=0,P105=0),0,MIN(O105,P105)*Mapping!$I$2/O105)</f>
        <v>5.000000000000001E-2</v>
      </c>
      <c r="R105" s="1">
        <f>IF(OR(O105=0,P105=0),0,MIN(O105,P105)*Mapping!$I$2/P105)</f>
        <v>5.000000000000001E-2</v>
      </c>
    </row>
    <row r="106" spans="1:18">
      <c r="A106" s="5">
        <v>42216</v>
      </c>
      <c r="B106" s="5">
        <v>42217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1</v>
      </c>
      <c r="I106">
        <v>-1</v>
      </c>
      <c r="J106">
        <v>0</v>
      </c>
      <c r="K106">
        <v>-1</v>
      </c>
      <c r="L106">
        <v>0</v>
      </c>
      <c r="M106">
        <v>0</v>
      </c>
      <c r="N106">
        <v>-1</v>
      </c>
      <c r="O106">
        <f t="shared" si="2"/>
        <v>3</v>
      </c>
      <c r="P106">
        <f t="shared" si="3"/>
        <v>3</v>
      </c>
      <c r="Q106" s="1">
        <f>IF(OR(O106=0,P106=0),0,MIN(O106,P106)*Mapping!$I$2/O106)</f>
        <v>5.000000000000001E-2</v>
      </c>
      <c r="R106" s="1">
        <f>IF(OR(O106=0,P106=0),0,MIN(O106,P106)*Mapping!$I$2/P106)</f>
        <v>5.000000000000001E-2</v>
      </c>
    </row>
    <row r="107" spans="1:18">
      <c r="A107" s="5">
        <v>42247</v>
      </c>
      <c r="B107" s="5">
        <v>42248</v>
      </c>
      <c r="C107">
        <v>-1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-1</v>
      </c>
      <c r="J107">
        <v>0</v>
      </c>
      <c r="K107">
        <v>0</v>
      </c>
      <c r="L107">
        <v>0</v>
      </c>
      <c r="M107">
        <v>0</v>
      </c>
      <c r="N107">
        <v>-1</v>
      </c>
      <c r="O107">
        <f t="shared" si="2"/>
        <v>3</v>
      </c>
      <c r="P107">
        <f t="shared" si="3"/>
        <v>3</v>
      </c>
      <c r="Q107" s="1">
        <f>IF(OR(O107=0,P107=0),0,MIN(O107,P107)*Mapping!$I$2/O107)</f>
        <v>5.000000000000001E-2</v>
      </c>
      <c r="R107" s="1">
        <f>IF(OR(O107=0,P107=0),0,MIN(O107,P107)*Mapping!$I$2/P107)</f>
        <v>5.000000000000001E-2</v>
      </c>
    </row>
    <row r="108" spans="1:18">
      <c r="A108" s="5">
        <v>42277</v>
      </c>
      <c r="B108" s="5">
        <v>42278</v>
      </c>
      <c r="C108">
        <v>-1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-1</v>
      </c>
      <c r="J108">
        <v>0</v>
      </c>
      <c r="K108">
        <v>1</v>
      </c>
      <c r="L108">
        <v>0</v>
      </c>
      <c r="M108">
        <v>0</v>
      </c>
      <c r="N108">
        <v>-1</v>
      </c>
      <c r="O108">
        <f t="shared" si="2"/>
        <v>3</v>
      </c>
      <c r="P108">
        <f t="shared" si="3"/>
        <v>3</v>
      </c>
      <c r="Q108" s="1">
        <f>IF(OR(O108=0,P108=0),0,MIN(O108,P108)*Mapping!$I$2/O108)</f>
        <v>5.000000000000001E-2</v>
      </c>
      <c r="R108" s="1">
        <f>IF(OR(O108=0,P108=0),0,MIN(O108,P108)*Mapping!$I$2/P108)</f>
        <v>5.000000000000001E-2</v>
      </c>
    </row>
    <row r="109" spans="1:18">
      <c r="A109" s="5">
        <v>42308</v>
      </c>
      <c r="B109" s="5">
        <v>42309</v>
      </c>
      <c r="C109">
        <v>-1</v>
      </c>
      <c r="D109">
        <v>0</v>
      </c>
      <c r="E109">
        <v>1</v>
      </c>
      <c r="F109">
        <v>1</v>
      </c>
      <c r="G109">
        <v>-1</v>
      </c>
      <c r="H109">
        <v>0</v>
      </c>
      <c r="I109">
        <v>-1</v>
      </c>
      <c r="J109">
        <v>0</v>
      </c>
      <c r="K109">
        <v>1</v>
      </c>
      <c r="L109">
        <v>0</v>
      </c>
      <c r="M109">
        <v>0</v>
      </c>
      <c r="N109">
        <v>0</v>
      </c>
      <c r="O109">
        <f t="shared" si="2"/>
        <v>3</v>
      </c>
      <c r="P109">
        <f t="shared" si="3"/>
        <v>3</v>
      </c>
      <c r="Q109" s="1">
        <f>IF(OR(O109=0,P109=0),0,MIN(O109,P109)*Mapping!$I$2/O109)</f>
        <v>5.000000000000001E-2</v>
      </c>
      <c r="R109" s="1">
        <f>IF(OR(O109=0,P109=0),0,MIN(O109,P109)*Mapping!$I$2/P109)</f>
        <v>5.000000000000001E-2</v>
      </c>
    </row>
    <row r="110" spans="1:18">
      <c r="A110" s="5">
        <v>42338</v>
      </c>
      <c r="B110" s="5">
        <v>42339</v>
      </c>
      <c r="C110">
        <v>-1</v>
      </c>
      <c r="D110">
        <v>0</v>
      </c>
      <c r="E110">
        <v>0</v>
      </c>
      <c r="F110">
        <v>1</v>
      </c>
      <c r="G110">
        <v>-1</v>
      </c>
      <c r="H110">
        <v>1</v>
      </c>
      <c r="I110">
        <v>-1</v>
      </c>
      <c r="J110">
        <v>0</v>
      </c>
      <c r="K110">
        <v>1</v>
      </c>
      <c r="L110">
        <v>0</v>
      </c>
      <c r="M110">
        <v>0</v>
      </c>
      <c r="N110">
        <v>0</v>
      </c>
      <c r="O110">
        <f t="shared" si="2"/>
        <v>3</v>
      </c>
      <c r="P110">
        <f t="shared" si="3"/>
        <v>3</v>
      </c>
      <c r="Q110" s="1">
        <f>IF(OR(O110=0,P110=0),0,MIN(O110,P110)*Mapping!$I$2/O110)</f>
        <v>5.000000000000001E-2</v>
      </c>
      <c r="R110" s="1">
        <f>IF(OR(O110=0,P110=0),0,MIN(O110,P110)*Mapping!$I$2/P110)</f>
        <v>5.000000000000001E-2</v>
      </c>
    </row>
    <row r="111" spans="1:18">
      <c r="A111" s="5">
        <v>42369</v>
      </c>
      <c r="B111" s="5">
        <v>42370</v>
      </c>
      <c r="C111">
        <v>0</v>
      </c>
      <c r="D111">
        <v>0</v>
      </c>
      <c r="E111">
        <v>0</v>
      </c>
      <c r="F111">
        <v>1</v>
      </c>
      <c r="G111">
        <v>-1</v>
      </c>
      <c r="H111">
        <v>1</v>
      </c>
      <c r="I111">
        <v>-1</v>
      </c>
      <c r="J111">
        <v>0</v>
      </c>
      <c r="K111">
        <v>1</v>
      </c>
      <c r="L111">
        <v>0</v>
      </c>
      <c r="M111">
        <v>0</v>
      </c>
      <c r="N111">
        <v>-1</v>
      </c>
      <c r="O111">
        <f t="shared" si="2"/>
        <v>3</v>
      </c>
      <c r="P111">
        <f t="shared" si="3"/>
        <v>3</v>
      </c>
      <c r="Q111" s="1">
        <f>IF(OR(O111=0,P111=0),0,MIN(O111,P111)*Mapping!$I$2/O111)</f>
        <v>5.000000000000001E-2</v>
      </c>
      <c r="R111" s="1">
        <f>IF(OR(O111=0,P111=0),0,MIN(O111,P111)*Mapping!$I$2/P111)</f>
        <v>5.000000000000001E-2</v>
      </c>
    </row>
    <row r="112" spans="1:18">
      <c r="A112" s="5">
        <v>42400</v>
      </c>
      <c r="B112" s="5">
        <v>42401</v>
      </c>
      <c r="C112">
        <v>0</v>
      </c>
      <c r="D112">
        <v>1</v>
      </c>
      <c r="E112">
        <v>1</v>
      </c>
      <c r="F112">
        <v>0</v>
      </c>
      <c r="G112">
        <v>-1</v>
      </c>
      <c r="H112">
        <v>1</v>
      </c>
      <c r="I112">
        <v>-1</v>
      </c>
      <c r="J112">
        <v>0</v>
      </c>
      <c r="K112">
        <v>0</v>
      </c>
      <c r="L112">
        <v>0</v>
      </c>
      <c r="M112">
        <v>0</v>
      </c>
      <c r="N112">
        <v>-1</v>
      </c>
      <c r="O112">
        <f t="shared" si="2"/>
        <v>3</v>
      </c>
      <c r="P112">
        <f t="shared" si="3"/>
        <v>3</v>
      </c>
      <c r="Q112" s="1">
        <f>IF(OR(O112=0,P112=0),0,MIN(O112,P112)*Mapping!$I$2/O112)</f>
        <v>5.000000000000001E-2</v>
      </c>
      <c r="R112" s="1">
        <f>IF(OR(O112=0,P112=0),0,MIN(O112,P112)*Mapping!$I$2/P112)</f>
        <v>5.000000000000001E-2</v>
      </c>
    </row>
    <row r="113" spans="1:18">
      <c r="A113" s="5">
        <v>42429</v>
      </c>
      <c r="B113" s="5">
        <v>42430</v>
      </c>
      <c r="C113">
        <v>-1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-1</v>
      </c>
      <c r="J113">
        <v>1</v>
      </c>
      <c r="K113">
        <v>1</v>
      </c>
      <c r="L113">
        <v>0</v>
      </c>
      <c r="M113">
        <v>0</v>
      </c>
      <c r="N113">
        <v>-1</v>
      </c>
      <c r="O113">
        <f t="shared" si="2"/>
        <v>3</v>
      </c>
      <c r="P113">
        <f t="shared" si="3"/>
        <v>3</v>
      </c>
      <c r="Q113" s="1">
        <f>IF(OR(O113=0,P113=0),0,MIN(O113,P113)*Mapping!$I$2/O113)</f>
        <v>5.000000000000001E-2</v>
      </c>
      <c r="R113" s="1">
        <f>IF(OR(O113=0,P113=0),0,MIN(O113,P113)*Mapping!$I$2/P113)</f>
        <v>5.000000000000001E-2</v>
      </c>
    </row>
    <row r="114" spans="1:18">
      <c r="A114" s="5">
        <v>42460</v>
      </c>
      <c r="B114" s="5">
        <v>42461</v>
      </c>
      <c r="C114">
        <v>-1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-1</v>
      </c>
      <c r="J114">
        <v>0</v>
      </c>
      <c r="K114">
        <v>1</v>
      </c>
      <c r="L114">
        <v>1</v>
      </c>
      <c r="M114">
        <v>0</v>
      </c>
      <c r="N114">
        <v>-1</v>
      </c>
      <c r="O114">
        <f t="shared" si="2"/>
        <v>3</v>
      </c>
      <c r="P114">
        <f t="shared" si="3"/>
        <v>3</v>
      </c>
      <c r="Q114" s="1">
        <f>IF(OR(O114=0,P114=0),0,MIN(O114,P114)*Mapping!$I$2/O114)</f>
        <v>5.000000000000001E-2</v>
      </c>
      <c r="R114" s="1">
        <f>IF(OR(O114=0,P114=0),0,MIN(O114,P114)*Mapping!$I$2/P114)</f>
        <v>5.000000000000001E-2</v>
      </c>
    </row>
    <row r="115" spans="1:18">
      <c r="A115" s="5">
        <v>42490</v>
      </c>
      <c r="B115" s="5">
        <v>42491</v>
      </c>
      <c r="C115">
        <v>-1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-1</v>
      </c>
      <c r="J115">
        <v>-1</v>
      </c>
      <c r="K115">
        <v>1</v>
      </c>
      <c r="L115">
        <v>1</v>
      </c>
      <c r="M115">
        <v>0</v>
      </c>
      <c r="N115">
        <v>0</v>
      </c>
      <c r="O115">
        <f t="shared" si="2"/>
        <v>3</v>
      </c>
      <c r="P115">
        <f t="shared" si="3"/>
        <v>3</v>
      </c>
      <c r="Q115" s="1">
        <f>IF(OR(O115=0,P115=0),0,MIN(O115,P115)*Mapping!$I$2/O115)</f>
        <v>5.000000000000001E-2</v>
      </c>
      <c r="R115" s="1">
        <f>IF(OR(O115=0,P115=0),0,MIN(O115,P115)*Mapping!$I$2/P115)</f>
        <v>5.000000000000001E-2</v>
      </c>
    </row>
    <row r="116" spans="1:18">
      <c r="A116" s="5">
        <v>42521</v>
      </c>
      <c r="B116" s="5">
        <v>42522</v>
      </c>
      <c r="C116">
        <v>0</v>
      </c>
      <c r="D116">
        <v>1</v>
      </c>
      <c r="E116">
        <v>0</v>
      </c>
      <c r="F116">
        <v>-1</v>
      </c>
      <c r="G116">
        <v>-1</v>
      </c>
      <c r="H116">
        <v>0</v>
      </c>
      <c r="I116">
        <v>-1</v>
      </c>
      <c r="J116">
        <v>0</v>
      </c>
      <c r="K116">
        <v>1</v>
      </c>
      <c r="L116">
        <v>1</v>
      </c>
      <c r="M116">
        <v>0</v>
      </c>
      <c r="N116">
        <v>0</v>
      </c>
      <c r="O116">
        <f t="shared" si="2"/>
        <v>3</v>
      </c>
      <c r="P116">
        <f t="shared" si="3"/>
        <v>3</v>
      </c>
      <c r="Q116" s="1">
        <f>IF(OR(O116=0,P116=0),0,MIN(O116,P116)*Mapping!$I$2/O116)</f>
        <v>5.000000000000001E-2</v>
      </c>
      <c r="R116" s="1">
        <f>IF(OR(O116=0,P116=0),0,MIN(O116,P116)*Mapping!$I$2/P116)</f>
        <v>5.000000000000001E-2</v>
      </c>
    </row>
    <row r="117" spans="1:18">
      <c r="A117" s="5">
        <v>42551</v>
      </c>
      <c r="B117" s="5">
        <v>42552</v>
      </c>
      <c r="C117">
        <v>-1</v>
      </c>
      <c r="D117">
        <v>0</v>
      </c>
      <c r="E117">
        <v>0</v>
      </c>
      <c r="F117">
        <v>-1</v>
      </c>
      <c r="G117">
        <v>0</v>
      </c>
      <c r="H117">
        <v>1</v>
      </c>
      <c r="I117">
        <v>0</v>
      </c>
      <c r="J117">
        <v>-1</v>
      </c>
      <c r="K117">
        <v>1</v>
      </c>
      <c r="L117">
        <v>1</v>
      </c>
      <c r="M117">
        <v>0</v>
      </c>
      <c r="N117">
        <v>0</v>
      </c>
      <c r="O117">
        <f t="shared" si="2"/>
        <v>3</v>
      </c>
      <c r="P117">
        <f t="shared" si="3"/>
        <v>3</v>
      </c>
      <c r="Q117" s="1">
        <f>IF(OR(O117=0,P117=0),0,MIN(O117,P117)*Mapping!$I$2/O117)</f>
        <v>5.000000000000001E-2</v>
      </c>
      <c r="R117" s="1">
        <f>IF(OR(O117=0,P117=0),0,MIN(O117,P117)*Mapping!$I$2/P117)</f>
        <v>5.000000000000001E-2</v>
      </c>
    </row>
    <row r="118" spans="1:18">
      <c r="A118" s="5">
        <v>42582</v>
      </c>
      <c r="B118" s="5">
        <v>42583</v>
      </c>
      <c r="C118">
        <v>-1</v>
      </c>
      <c r="D118">
        <v>0</v>
      </c>
      <c r="E118">
        <v>0</v>
      </c>
      <c r="F118">
        <v>-1</v>
      </c>
      <c r="G118">
        <v>0</v>
      </c>
      <c r="H118">
        <v>0</v>
      </c>
      <c r="I118">
        <v>1</v>
      </c>
      <c r="J118">
        <v>-1</v>
      </c>
      <c r="K118">
        <v>1</v>
      </c>
      <c r="L118">
        <v>1</v>
      </c>
      <c r="M118">
        <v>0</v>
      </c>
      <c r="N118">
        <v>0</v>
      </c>
      <c r="O118">
        <f t="shared" si="2"/>
        <v>3</v>
      </c>
      <c r="P118">
        <f t="shared" si="3"/>
        <v>3</v>
      </c>
      <c r="Q118" s="1">
        <f>IF(OR(O118=0,P118=0),0,MIN(O118,P118)*Mapping!$I$2/O118)</f>
        <v>5.000000000000001E-2</v>
      </c>
      <c r="R118" s="1">
        <f>IF(OR(O118=0,P118=0),0,MIN(O118,P118)*Mapping!$I$2/P118)</f>
        <v>5.000000000000001E-2</v>
      </c>
    </row>
    <row r="119" spans="1:18">
      <c r="A119" s="5">
        <v>42613</v>
      </c>
      <c r="B119" s="5">
        <v>42614</v>
      </c>
      <c r="C119">
        <v>-1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-1</v>
      </c>
      <c r="J119">
        <v>0</v>
      </c>
      <c r="K119">
        <v>0</v>
      </c>
      <c r="L119">
        <v>-1</v>
      </c>
      <c r="M119">
        <v>0</v>
      </c>
      <c r="N119">
        <v>1</v>
      </c>
      <c r="O119">
        <f t="shared" si="2"/>
        <v>3</v>
      </c>
      <c r="P119">
        <f t="shared" si="3"/>
        <v>3</v>
      </c>
      <c r="Q119" s="1">
        <f>IF(OR(O119=0,P119=0),0,MIN(O119,P119)*Mapping!$I$2/O119)</f>
        <v>5.000000000000001E-2</v>
      </c>
      <c r="R119" s="1">
        <f>IF(OR(O119=0,P119=0),0,MIN(O119,P119)*Mapping!$I$2/P119)</f>
        <v>5.000000000000001E-2</v>
      </c>
    </row>
    <row r="120" spans="1:18">
      <c r="A120" s="5">
        <v>42643</v>
      </c>
      <c r="B120" s="5">
        <v>42644</v>
      </c>
      <c r="C120">
        <v>0</v>
      </c>
      <c r="D120">
        <v>-1</v>
      </c>
      <c r="E120">
        <v>0</v>
      </c>
      <c r="F120">
        <v>1</v>
      </c>
      <c r="G120">
        <v>0</v>
      </c>
      <c r="H120">
        <v>1</v>
      </c>
      <c r="I120">
        <v>-1</v>
      </c>
      <c r="J120">
        <v>0</v>
      </c>
      <c r="K120">
        <v>1</v>
      </c>
      <c r="L120">
        <v>-1</v>
      </c>
      <c r="M120">
        <v>0</v>
      </c>
      <c r="N120">
        <v>0</v>
      </c>
      <c r="O120">
        <f t="shared" si="2"/>
        <v>3</v>
      </c>
      <c r="P120">
        <f t="shared" si="3"/>
        <v>3</v>
      </c>
      <c r="Q120" s="1">
        <f>IF(OR(O120=0,P120=0),0,MIN(O120,P120)*Mapping!$I$2/O120)</f>
        <v>5.000000000000001E-2</v>
      </c>
      <c r="R120" s="1">
        <f>IF(OR(O120=0,P120=0),0,MIN(O120,P120)*Mapping!$I$2/P120)</f>
        <v>5.000000000000001E-2</v>
      </c>
    </row>
    <row r="121" spans="1:18">
      <c r="A121" s="5">
        <v>42674</v>
      </c>
      <c r="B121" s="5">
        <v>42675</v>
      </c>
      <c r="C121">
        <v>0</v>
      </c>
      <c r="D121">
        <v>-1</v>
      </c>
      <c r="E121">
        <v>0</v>
      </c>
      <c r="F121">
        <v>1</v>
      </c>
      <c r="G121">
        <v>0</v>
      </c>
      <c r="H121">
        <v>1</v>
      </c>
      <c r="I121">
        <v>0</v>
      </c>
      <c r="J121">
        <v>-1</v>
      </c>
      <c r="K121">
        <v>0</v>
      </c>
      <c r="L121">
        <v>-1</v>
      </c>
      <c r="M121">
        <v>0</v>
      </c>
      <c r="N121">
        <v>1</v>
      </c>
      <c r="O121">
        <f t="shared" si="2"/>
        <v>3</v>
      </c>
      <c r="P121">
        <f t="shared" si="3"/>
        <v>3</v>
      </c>
      <c r="Q121" s="1">
        <f>IF(OR(O121=0,P121=0),0,MIN(O121,P121)*Mapping!$I$2/O121)</f>
        <v>5.000000000000001E-2</v>
      </c>
      <c r="R121" s="1">
        <f>IF(OR(O121=0,P121=0),0,MIN(O121,P121)*Mapping!$I$2/P121)</f>
        <v>5.000000000000001E-2</v>
      </c>
    </row>
    <row r="122" spans="1:18">
      <c r="A122" s="5">
        <v>42704</v>
      </c>
      <c r="B122" s="5">
        <v>42705</v>
      </c>
      <c r="C122">
        <v>-1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-1</v>
      </c>
      <c r="J122">
        <v>1</v>
      </c>
      <c r="K122">
        <v>-1</v>
      </c>
      <c r="L122">
        <v>0</v>
      </c>
      <c r="M122">
        <v>0</v>
      </c>
      <c r="N122">
        <v>0</v>
      </c>
      <c r="O122">
        <f t="shared" si="2"/>
        <v>3</v>
      </c>
      <c r="P122">
        <f t="shared" si="3"/>
        <v>3</v>
      </c>
      <c r="Q122" s="1">
        <f>IF(OR(O122=0,P122=0),0,MIN(O122,P122)*Mapping!$I$2/O122)</f>
        <v>5.000000000000001E-2</v>
      </c>
      <c r="R122" s="1">
        <f>IF(OR(O122=0,P122=0),0,MIN(O122,P122)*Mapping!$I$2/P122)</f>
        <v>5.000000000000001E-2</v>
      </c>
    </row>
    <row r="123" spans="1:18">
      <c r="A123" s="5">
        <v>42735</v>
      </c>
      <c r="B123" s="5">
        <v>42736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-1</v>
      </c>
      <c r="J123">
        <v>1</v>
      </c>
      <c r="K123">
        <v>-1</v>
      </c>
      <c r="L123">
        <v>-1</v>
      </c>
      <c r="M123">
        <v>0</v>
      </c>
      <c r="N123">
        <v>0</v>
      </c>
      <c r="O123">
        <f t="shared" si="2"/>
        <v>3</v>
      </c>
      <c r="P123">
        <f t="shared" si="3"/>
        <v>3</v>
      </c>
      <c r="Q123" s="1">
        <f>IF(OR(O123=0,P123=0),0,MIN(O123,P123)*Mapping!$I$2/O123)</f>
        <v>5.000000000000001E-2</v>
      </c>
      <c r="R123" s="1">
        <f>IF(OR(O123=0,P123=0),0,MIN(O123,P123)*Mapping!$I$2/P123)</f>
        <v>5.000000000000001E-2</v>
      </c>
    </row>
    <row r="124" spans="1:18">
      <c r="A124" s="5">
        <v>42766</v>
      </c>
      <c r="B124" s="5">
        <v>42767</v>
      </c>
      <c r="C124">
        <v>0</v>
      </c>
      <c r="D124">
        <v>-1</v>
      </c>
      <c r="E124">
        <v>-1</v>
      </c>
      <c r="F124">
        <v>1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-1</v>
      </c>
      <c r="O124">
        <f t="shared" si="2"/>
        <v>3</v>
      </c>
      <c r="P124">
        <f t="shared" si="3"/>
        <v>3</v>
      </c>
      <c r="Q124" s="1">
        <f>IF(OR(O124=0,P124=0),0,MIN(O124,P124)*Mapping!$I$2/O124)</f>
        <v>5.000000000000001E-2</v>
      </c>
      <c r="R124" s="1">
        <f>IF(OR(O124=0,P124=0),0,MIN(O124,P124)*Mapping!$I$2/P124)</f>
        <v>5.000000000000001E-2</v>
      </c>
    </row>
    <row r="125" spans="1:18">
      <c r="A125" s="5">
        <v>42794</v>
      </c>
      <c r="B125" s="5">
        <v>42795</v>
      </c>
      <c r="C125">
        <v>1</v>
      </c>
      <c r="D125">
        <v>-1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-1</v>
      </c>
      <c r="L125">
        <v>-1</v>
      </c>
      <c r="M125">
        <v>0</v>
      </c>
      <c r="N125">
        <v>0</v>
      </c>
      <c r="O125">
        <f t="shared" si="2"/>
        <v>3</v>
      </c>
      <c r="P125">
        <f t="shared" si="3"/>
        <v>3</v>
      </c>
      <c r="Q125" s="1">
        <f>IF(OR(O125=0,P125=0),0,MIN(O125,P125)*Mapping!$I$2/O125)</f>
        <v>5.000000000000001E-2</v>
      </c>
      <c r="R125" s="1">
        <f>IF(OR(O125=0,P125=0),0,MIN(O125,P125)*Mapping!$I$2/P125)</f>
        <v>5.000000000000001E-2</v>
      </c>
    </row>
    <row r="126" spans="1:18">
      <c r="A126" s="5">
        <v>42825</v>
      </c>
      <c r="B126" s="5">
        <v>42826</v>
      </c>
      <c r="C126">
        <v>1</v>
      </c>
      <c r="D126">
        <v>-1</v>
      </c>
      <c r="E126">
        <v>0</v>
      </c>
      <c r="F126">
        <v>0</v>
      </c>
      <c r="G126">
        <v>0</v>
      </c>
      <c r="H126">
        <v>0</v>
      </c>
      <c r="I126">
        <v>-1</v>
      </c>
      <c r="J126">
        <v>1</v>
      </c>
      <c r="K126">
        <v>-1</v>
      </c>
      <c r="L126">
        <v>0</v>
      </c>
      <c r="M126">
        <v>0</v>
      </c>
      <c r="N126">
        <v>1</v>
      </c>
      <c r="O126">
        <f t="shared" si="2"/>
        <v>3</v>
      </c>
      <c r="P126">
        <f t="shared" si="3"/>
        <v>3</v>
      </c>
      <c r="Q126" s="1">
        <f>IF(OR(O126=0,P126=0),0,MIN(O126,P126)*Mapping!$I$2/O126)</f>
        <v>5.000000000000001E-2</v>
      </c>
      <c r="R126" s="1">
        <f>IF(OR(O126=0,P126=0),0,MIN(O126,P126)*Mapping!$I$2/P126)</f>
        <v>5.000000000000001E-2</v>
      </c>
    </row>
    <row r="127" spans="1:18">
      <c r="A127" s="5">
        <v>42855</v>
      </c>
      <c r="B127" s="5">
        <v>42856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-1</v>
      </c>
      <c r="I127">
        <v>0</v>
      </c>
      <c r="J127">
        <v>1</v>
      </c>
      <c r="K127">
        <v>-1</v>
      </c>
      <c r="L127">
        <v>-1</v>
      </c>
      <c r="M127">
        <v>0</v>
      </c>
      <c r="N127">
        <v>1</v>
      </c>
      <c r="O127">
        <f t="shared" si="2"/>
        <v>3</v>
      </c>
      <c r="P127">
        <f t="shared" si="3"/>
        <v>3</v>
      </c>
      <c r="Q127" s="1">
        <f>IF(OR(O127=0,P127=0),0,MIN(O127,P127)*Mapping!$I$2/O127)</f>
        <v>5.000000000000001E-2</v>
      </c>
      <c r="R127" s="1">
        <f>IF(OR(O127=0,P127=0),0,MIN(O127,P127)*Mapping!$I$2/P127)</f>
        <v>5.000000000000001E-2</v>
      </c>
    </row>
    <row r="128" spans="1:18">
      <c r="A128" s="5">
        <v>42886</v>
      </c>
      <c r="B128" s="5">
        <v>42887</v>
      </c>
      <c r="C128">
        <v>1</v>
      </c>
      <c r="D128">
        <v>-1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-1</v>
      </c>
      <c r="L128">
        <v>-1</v>
      </c>
      <c r="M128">
        <v>0</v>
      </c>
      <c r="N128">
        <v>1</v>
      </c>
      <c r="O128">
        <f t="shared" si="2"/>
        <v>3</v>
      </c>
      <c r="P128">
        <f t="shared" si="3"/>
        <v>3</v>
      </c>
      <c r="Q128" s="1">
        <f>IF(OR(O128=0,P128=0),0,MIN(O128,P128)*Mapping!$I$2/O128)</f>
        <v>5.000000000000001E-2</v>
      </c>
      <c r="R128" s="1">
        <f>IF(OR(O128=0,P128=0),0,MIN(O128,P128)*Mapping!$I$2/P128)</f>
        <v>5.000000000000001E-2</v>
      </c>
    </row>
    <row r="129" spans="1:18">
      <c r="A129" s="5">
        <v>42916</v>
      </c>
      <c r="B129" s="5">
        <v>42917</v>
      </c>
      <c r="C129">
        <v>1</v>
      </c>
      <c r="D129">
        <v>-1</v>
      </c>
      <c r="E129">
        <v>0</v>
      </c>
      <c r="F129">
        <v>0</v>
      </c>
      <c r="G129">
        <v>-1</v>
      </c>
      <c r="H129">
        <v>1</v>
      </c>
      <c r="I129">
        <v>1</v>
      </c>
      <c r="J129">
        <v>0</v>
      </c>
      <c r="K129">
        <v>-1</v>
      </c>
      <c r="L129">
        <v>0</v>
      </c>
      <c r="M129">
        <v>0</v>
      </c>
      <c r="N129">
        <v>0</v>
      </c>
      <c r="O129">
        <f t="shared" si="2"/>
        <v>3</v>
      </c>
      <c r="P129">
        <f t="shared" si="3"/>
        <v>3</v>
      </c>
      <c r="Q129" s="1">
        <f>IF(OR(O129=0,P129=0),0,MIN(O129,P129)*Mapping!$I$2/O129)</f>
        <v>5.000000000000001E-2</v>
      </c>
      <c r="R129" s="1">
        <f>IF(OR(O129=0,P129=0),0,MIN(O129,P129)*Mapping!$I$2/P129)</f>
        <v>5.000000000000001E-2</v>
      </c>
    </row>
    <row r="130" spans="1:18">
      <c r="A130" s="5">
        <v>42947</v>
      </c>
      <c r="B130" s="5">
        <v>42948</v>
      </c>
      <c r="C130">
        <v>1</v>
      </c>
      <c r="D130">
        <v>-1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-1</v>
      </c>
      <c r="L130">
        <v>-1</v>
      </c>
      <c r="M130">
        <v>0</v>
      </c>
      <c r="N130">
        <v>0</v>
      </c>
      <c r="O130">
        <f t="shared" si="2"/>
        <v>3</v>
      </c>
      <c r="P130">
        <f t="shared" si="3"/>
        <v>3</v>
      </c>
      <c r="Q130" s="1">
        <f>IF(OR(O130=0,P130=0),0,MIN(O130,P130)*Mapping!$I$2/O130)</f>
        <v>5.000000000000001E-2</v>
      </c>
      <c r="R130" s="1">
        <f>IF(OR(O130=0,P130=0),0,MIN(O130,P130)*Mapping!$I$2/P130)</f>
        <v>5.000000000000001E-2</v>
      </c>
    </row>
    <row r="131" spans="1:18">
      <c r="A131" s="5">
        <v>42978</v>
      </c>
      <c r="B131" s="5">
        <v>42979</v>
      </c>
      <c r="C131">
        <v>1</v>
      </c>
      <c r="D131">
        <v>-1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-1</v>
      </c>
      <c r="L131">
        <v>-1</v>
      </c>
      <c r="M131">
        <v>0</v>
      </c>
      <c r="N131">
        <v>0</v>
      </c>
      <c r="O131">
        <f t="shared" ref="O131:O194" si="4">COUNTIF(C131:N131,1)</f>
        <v>3</v>
      </c>
      <c r="P131">
        <f t="shared" ref="P131:P194" si="5">COUNTIF(C131:N131,-1)</f>
        <v>3</v>
      </c>
      <c r="Q131" s="1">
        <f>IF(OR(O131=0,P131=0),0,MIN(O131,P131)*Mapping!$I$2/O131)</f>
        <v>5.000000000000001E-2</v>
      </c>
      <c r="R131" s="1">
        <f>IF(OR(O131=0,P131=0),0,MIN(O131,P131)*Mapping!$I$2/P131)</f>
        <v>5.000000000000001E-2</v>
      </c>
    </row>
    <row r="132" spans="1:18">
      <c r="A132" s="5">
        <v>43008</v>
      </c>
      <c r="B132" s="5">
        <v>43009</v>
      </c>
      <c r="C132">
        <v>1</v>
      </c>
      <c r="D132">
        <v>-1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0</v>
      </c>
      <c r="K132">
        <v>-1</v>
      </c>
      <c r="L132">
        <v>-1</v>
      </c>
      <c r="M132">
        <v>0</v>
      </c>
      <c r="N132">
        <v>0</v>
      </c>
      <c r="O132">
        <f t="shared" si="4"/>
        <v>3</v>
      </c>
      <c r="P132">
        <f t="shared" si="5"/>
        <v>3</v>
      </c>
      <c r="Q132" s="1">
        <f>IF(OR(O132=0,P132=0),0,MIN(O132,P132)*Mapping!$I$2/O132)</f>
        <v>5.000000000000001E-2</v>
      </c>
      <c r="R132" s="1">
        <f>IF(OR(O132=0,P132=0),0,MIN(O132,P132)*Mapping!$I$2/P132)</f>
        <v>5.000000000000001E-2</v>
      </c>
    </row>
    <row r="133" spans="1:18">
      <c r="A133" s="5">
        <v>43039</v>
      </c>
      <c r="B133" s="5">
        <v>43040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-1</v>
      </c>
      <c r="L133">
        <v>-1</v>
      </c>
      <c r="M133">
        <v>0</v>
      </c>
      <c r="N133">
        <v>-1</v>
      </c>
      <c r="O133">
        <f t="shared" si="4"/>
        <v>3</v>
      </c>
      <c r="P133">
        <f t="shared" si="5"/>
        <v>3</v>
      </c>
      <c r="Q133" s="1">
        <f>IF(OR(O133=0,P133=0),0,MIN(O133,P133)*Mapping!$I$2/O133)</f>
        <v>5.000000000000001E-2</v>
      </c>
      <c r="R133" s="1">
        <f>IF(OR(O133=0,P133=0),0,MIN(O133,P133)*Mapping!$I$2/P133)</f>
        <v>5.000000000000001E-2</v>
      </c>
    </row>
    <row r="134" spans="1:18">
      <c r="A134" s="5">
        <v>43069</v>
      </c>
      <c r="B134" s="5">
        <v>43070</v>
      </c>
      <c r="C134">
        <v>1</v>
      </c>
      <c r="D134">
        <v>-1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-1</v>
      </c>
      <c r="L134">
        <v>0</v>
      </c>
      <c r="M134">
        <v>0</v>
      </c>
      <c r="N134">
        <v>-1</v>
      </c>
      <c r="O134">
        <f t="shared" si="4"/>
        <v>3</v>
      </c>
      <c r="P134">
        <f t="shared" si="5"/>
        <v>3</v>
      </c>
      <c r="Q134" s="1">
        <f>IF(OR(O134=0,P134=0),0,MIN(O134,P134)*Mapping!$I$2/O134)</f>
        <v>5.000000000000001E-2</v>
      </c>
      <c r="R134" s="1">
        <f>IF(OR(O134=0,P134=0),0,MIN(O134,P134)*Mapping!$I$2/P134)</f>
        <v>5.000000000000001E-2</v>
      </c>
    </row>
    <row r="135" spans="1:18">
      <c r="A135" s="5">
        <v>43100</v>
      </c>
      <c r="B135" s="5">
        <v>43101</v>
      </c>
      <c r="C135">
        <v>1</v>
      </c>
      <c r="D135">
        <v>-1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-1</v>
      </c>
      <c r="L135">
        <v>0</v>
      </c>
      <c r="M135">
        <v>0</v>
      </c>
      <c r="N135">
        <v>-1</v>
      </c>
      <c r="O135">
        <f t="shared" si="4"/>
        <v>3</v>
      </c>
      <c r="P135">
        <f t="shared" si="5"/>
        <v>3</v>
      </c>
      <c r="Q135" s="1">
        <f>IF(OR(O135=0,P135=0),0,MIN(O135,P135)*Mapping!$I$2/O135)</f>
        <v>5.000000000000001E-2</v>
      </c>
      <c r="R135" s="1">
        <f>IF(OR(O135=0,P135=0),0,MIN(O135,P135)*Mapping!$I$2/P135)</f>
        <v>5.000000000000001E-2</v>
      </c>
    </row>
    <row r="136" spans="1:18">
      <c r="A136" s="5">
        <v>43131</v>
      </c>
      <c r="B136" s="5">
        <v>43132</v>
      </c>
      <c r="C136">
        <v>1</v>
      </c>
      <c r="D136">
        <v>-1</v>
      </c>
      <c r="E136">
        <v>0</v>
      </c>
      <c r="F136">
        <v>1</v>
      </c>
      <c r="G136">
        <v>0</v>
      </c>
      <c r="H136">
        <v>-1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-1</v>
      </c>
      <c r="O136">
        <f t="shared" si="4"/>
        <v>3</v>
      </c>
      <c r="P136">
        <f t="shared" si="5"/>
        <v>3</v>
      </c>
      <c r="Q136" s="1">
        <f>IF(OR(O136=0,P136=0),0,MIN(O136,P136)*Mapping!$I$2/O136)</f>
        <v>5.000000000000001E-2</v>
      </c>
      <c r="R136" s="1">
        <f>IF(OR(O136=0,P136=0),0,MIN(O136,P136)*Mapping!$I$2/P136)</f>
        <v>5.000000000000001E-2</v>
      </c>
    </row>
    <row r="137" spans="1:18">
      <c r="A137" s="5">
        <v>43159</v>
      </c>
      <c r="B137" s="5">
        <v>43160</v>
      </c>
      <c r="C137">
        <v>1</v>
      </c>
      <c r="D137">
        <v>-1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-1</v>
      </c>
      <c r="M137">
        <v>0</v>
      </c>
      <c r="N137">
        <v>0</v>
      </c>
      <c r="O137">
        <f t="shared" si="4"/>
        <v>3</v>
      </c>
      <c r="P137">
        <f t="shared" si="5"/>
        <v>2</v>
      </c>
      <c r="Q137" s="1">
        <f>IF(OR(O137=0,P137=0),0,MIN(O137,P137)*Mapping!$I$2/O137)</f>
        <v>3.3333333333333333E-2</v>
      </c>
      <c r="R137" s="1">
        <f>IF(OR(O137=0,P137=0),0,MIN(O137,P137)*Mapping!$I$2/P137)</f>
        <v>0.05</v>
      </c>
    </row>
    <row r="138" spans="1:18">
      <c r="A138" s="5">
        <v>43190</v>
      </c>
      <c r="B138" s="5">
        <v>43191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-1</v>
      </c>
      <c r="L138">
        <v>-1</v>
      </c>
      <c r="M138">
        <v>0</v>
      </c>
      <c r="N138">
        <v>-1</v>
      </c>
      <c r="O138">
        <f t="shared" si="4"/>
        <v>3</v>
      </c>
      <c r="P138">
        <f t="shared" si="5"/>
        <v>3</v>
      </c>
      <c r="Q138" s="1">
        <f>IF(OR(O138=0,P138=0),0,MIN(O138,P138)*Mapping!$I$2/O138)</f>
        <v>5.000000000000001E-2</v>
      </c>
      <c r="R138" s="1">
        <f>IF(OR(O138=0,P138=0),0,MIN(O138,P138)*Mapping!$I$2/P138)</f>
        <v>5.000000000000001E-2</v>
      </c>
    </row>
    <row r="139" spans="1:18">
      <c r="A139" s="5">
        <v>43220</v>
      </c>
      <c r="B139" s="5">
        <v>43221</v>
      </c>
      <c r="C139">
        <v>0</v>
      </c>
      <c r="D139">
        <v>-1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-1</v>
      </c>
      <c r="M139">
        <v>0</v>
      </c>
      <c r="N139">
        <v>0</v>
      </c>
      <c r="O139">
        <f t="shared" si="4"/>
        <v>3</v>
      </c>
      <c r="P139">
        <f t="shared" si="5"/>
        <v>2</v>
      </c>
      <c r="Q139" s="1">
        <f>IF(OR(O139=0,P139=0),0,MIN(O139,P139)*Mapping!$I$2/O139)</f>
        <v>3.3333333333333333E-2</v>
      </c>
      <c r="R139" s="1">
        <f>IF(OR(O139=0,P139=0),0,MIN(O139,P139)*Mapping!$I$2/P139)</f>
        <v>0.05</v>
      </c>
    </row>
    <row r="140" spans="1:18">
      <c r="A140" s="5">
        <v>43251</v>
      </c>
      <c r="B140" s="5">
        <v>43252</v>
      </c>
      <c r="C140">
        <v>0</v>
      </c>
      <c r="D140">
        <v>-1</v>
      </c>
      <c r="E140">
        <v>0</v>
      </c>
      <c r="F140">
        <v>1</v>
      </c>
      <c r="G140">
        <v>0</v>
      </c>
      <c r="H140">
        <v>1</v>
      </c>
      <c r="I140">
        <v>0</v>
      </c>
      <c r="J140">
        <v>1</v>
      </c>
      <c r="K140">
        <v>-1</v>
      </c>
      <c r="L140">
        <v>0</v>
      </c>
      <c r="M140">
        <v>0</v>
      </c>
      <c r="N140">
        <v>-1</v>
      </c>
      <c r="O140">
        <f t="shared" si="4"/>
        <v>3</v>
      </c>
      <c r="P140">
        <f t="shared" si="5"/>
        <v>3</v>
      </c>
      <c r="Q140" s="1">
        <f>IF(OR(O140=0,P140=0),0,MIN(O140,P140)*Mapping!$I$2/O140)</f>
        <v>5.000000000000001E-2</v>
      </c>
      <c r="R140" s="1">
        <f>IF(OR(O140=0,P140=0),0,MIN(O140,P140)*Mapping!$I$2/P140)</f>
        <v>5.000000000000001E-2</v>
      </c>
    </row>
    <row r="141" spans="1:18">
      <c r="A141" s="5">
        <v>43281</v>
      </c>
      <c r="B141" s="5">
        <v>43282</v>
      </c>
      <c r="C141">
        <v>0</v>
      </c>
      <c r="D141">
        <v>-1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-1</v>
      </c>
      <c r="L141">
        <v>0</v>
      </c>
      <c r="M141">
        <v>0</v>
      </c>
      <c r="N141">
        <v>-1</v>
      </c>
      <c r="O141">
        <f t="shared" si="4"/>
        <v>3</v>
      </c>
      <c r="P141">
        <f t="shared" si="5"/>
        <v>3</v>
      </c>
      <c r="Q141" s="1">
        <f>IF(OR(O141=0,P141=0),0,MIN(O141,P141)*Mapping!$I$2/O141)</f>
        <v>5.000000000000001E-2</v>
      </c>
      <c r="R141" s="1">
        <f>IF(OR(O141=0,P141=0),0,MIN(O141,P141)*Mapping!$I$2/P141)</f>
        <v>5.000000000000001E-2</v>
      </c>
    </row>
    <row r="142" spans="1:18">
      <c r="A142" s="5">
        <v>43312</v>
      </c>
      <c r="B142" s="5">
        <v>43313</v>
      </c>
      <c r="C142">
        <v>0</v>
      </c>
      <c r="D142">
        <v>-1</v>
      </c>
      <c r="E142">
        <v>1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-1</v>
      </c>
      <c r="M142">
        <v>0</v>
      </c>
      <c r="N142">
        <v>-1</v>
      </c>
      <c r="O142">
        <f t="shared" si="4"/>
        <v>3</v>
      </c>
      <c r="P142">
        <f t="shared" si="5"/>
        <v>3</v>
      </c>
      <c r="Q142" s="1">
        <f>IF(OR(O142=0,P142=0),0,MIN(O142,P142)*Mapping!$I$2/O142)</f>
        <v>5.000000000000001E-2</v>
      </c>
      <c r="R142" s="1">
        <f>IF(OR(O142=0,P142=0),0,MIN(O142,P142)*Mapping!$I$2/P142)</f>
        <v>5.000000000000001E-2</v>
      </c>
    </row>
    <row r="143" spans="1:18">
      <c r="A143" s="5">
        <v>43343</v>
      </c>
      <c r="B143" s="5">
        <v>43344</v>
      </c>
      <c r="C143">
        <v>0</v>
      </c>
      <c r="D143">
        <v>-1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-1</v>
      </c>
      <c r="M143">
        <v>0</v>
      </c>
      <c r="N143">
        <v>-1</v>
      </c>
      <c r="O143">
        <f t="shared" si="4"/>
        <v>3</v>
      </c>
      <c r="P143">
        <f t="shared" si="5"/>
        <v>3</v>
      </c>
      <c r="Q143" s="1">
        <f>IF(OR(O143=0,P143=0),0,MIN(O143,P143)*Mapping!$I$2/O143)</f>
        <v>5.000000000000001E-2</v>
      </c>
      <c r="R143" s="1">
        <f>IF(OR(O143=0,P143=0),0,MIN(O143,P143)*Mapping!$I$2/P143)</f>
        <v>5.000000000000001E-2</v>
      </c>
    </row>
    <row r="144" spans="1:18">
      <c r="A144" s="5">
        <v>43373</v>
      </c>
      <c r="B144" s="5">
        <v>43374</v>
      </c>
      <c r="C144">
        <v>1</v>
      </c>
      <c r="D144">
        <v>-1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-1</v>
      </c>
      <c r="M144">
        <v>0</v>
      </c>
      <c r="N144">
        <v>-1</v>
      </c>
      <c r="O144">
        <f t="shared" si="4"/>
        <v>3</v>
      </c>
      <c r="P144">
        <f t="shared" si="5"/>
        <v>3</v>
      </c>
      <c r="Q144" s="1">
        <f>IF(OR(O144=0,P144=0),0,MIN(O144,P144)*Mapping!$I$2/O144)</f>
        <v>5.000000000000001E-2</v>
      </c>
      <c r="R144" s="1">
        <f>IF(OR(O144=0,P144=0),0,MIN(O144,P144)*Mapping!$I$2/P144)</f>
        <v>5.000000000000001E-2</v>
      </c>
    </row>
    <row r="145" spans="1:18">
      <c r="A145" s="5">
        <v>43404</v>
      </c>
      <c r="B145" s="5">
        <v>43405</v>
      </c>
      <c r="C145">
        <v>-1</v>
      </c>
      <c r="D145">
        <v>-1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-1</v>
      </c>
      <c r="M145">
        <v>0</v>
      </c>
      <c r="N145">
        <v>0</v>
      </c>
      <c r="O145">
        <f t="shared" si="4"/>
        <v>3</v>
      </c>
      <c r="P145">
        <f t="shared" si="5"/>
        <v>3</v>
      </c>
      <c r="Q145" s="1">
        <f>IF(OR(O145=0,P145=0),0,MIN(O145,P145)*Mapping!$I$2/O145)</f>
        <v>5.000000000000001E-2</v>
      </c>
      <c r="R145" s="1">
        <f>IF(OR(O145=0,P145=0),0,MIN(O145,P145)*Mapping!$I$2/P145)</f>
        <v>5.000000000000001E-2</v>
      </c>
    </row>
    <row r="146" spans="1:18">
      <c r="A146" s="5">
        <v>43434</v>
      </c>
      <c r="B146" s="5">
        <v>43435</v>
      </c>
      <c r="C146">
        <v>-1</v>
      </c>
      <c r="D146">
        <v>-1</v>
      </c>
      <c r="E146">
        <v>0</v>
      </c>
      <c r="F146">
        <v>0</v>
      </c>
      <c r="G146">
        <v>0</v>
      </c>
      <c r="H146">
        <v>-1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1</v>
      </c>
      <c r="O146">
        <f t="shared" si="4"/>
        <v>3</v>
      </c>
      <c r="P146">
        <f t="shared" si="5"/>
        <v>3</v>
      </c>
      <c r="Q146" s="1">
        <f>IF(OR(O146=0,P146=0),0,MIN(O146,P146)*Mapping!$I$2/O146)</f>
        <v>5.000000000000001E-2</v>
      </c>
      <c r="R146" s="1">
        <f>IF(OR(O146=0,P146=0),0,MIN(O146,P146)*Mapping!$I$2/P146)</f>
        <v>5.000000000000001E-2</v>
      </c>
    </row>
    <row r="147" spans="1:18">
      <c r="A147" s="5">
        <v>43465</v>
      </c>
      <c r="B147" s="5">
        <v>43466</v>
      </c>
      <c r="C147">
        <v>0</v>
      </c>
      <c r="D147">
        <v>0</v>
      </c>
      <c r="E147">
        <v>0</v>
      </c>
      <c r="F147">
        <v>-1</v>
      </c>
      <c r="G147">
        <v>1</v>
      </c>
      <c r="H147">
        <v>-1</v>
      </c>
      <c r="I147">
        <v>-1</v>
      </c>
      <c r="J147">
        <v>0</v>
      </c>
      <c r="K147">
        <v>0</v>
      </c>
      <c r="L147">
        <v>1</v>
      </c>
      <c r="M147">
        <v>0</v>
      </c>
      <c r="N147">
        <v>1</v>
      </c>
      <c r="O147">
        <f t="shared" si="4"/>
        <v>3</v>
      </c>
      <c r="P147">
        <f t="shared" si="5"/>
        <v>3</v>
      </c>
      <c r="Q147" s="1">
        <f>IF(OR(O147=0,P147=0),0,MIN(O147,P147)*Mapping!$I$2/O147)</f>
        <v>5.000000000000001E-2</v>
      </c>
      <c r="R147" s="1">
        <f>IF(OR(O147=0,P147=0),0,MIN(O147,P147)*Mapping!$I$2/P147)</f>
        <v>5.000000000000001E-2</v>
      </c>
    </row>
    <row r="148" spans="1:18">
      <c r="A148" s="5">
        <v>43496</v>
      </c>
      <c r="B148" s="5">
        <v>43497</v>
      </c>
      <c r="C148">
        <v>0</v>
      </c>
      <c r="D148">
        <v>0</v>
      </c>
      <c r="E148">
        <v>0</v>
      </c>
      <c r="F148">
        <v>-1</v>
      </c>
      <c r="G148">
        <v>1</v>
      </c>
      <c r="H148">
        <v>-1</v>
      </c>
      <c r="I148">
        <v>-1</v>
      </c>
      <c r="J148">
        <v>0</v>
      </c>
      <c r="K148">
        <v>0</v>
      </c>
      <c r="L148">
        <v>1</v>
      </c>
      <c r="M148">
        <v>0</v>
      </c>
      <c r="N148">
        <v>1</v>
      </c>
      <c r="O148">
        <f t="shared" si="4"/>
        <v>3</v>
      </c>
      <c r="P148">
        <f t="shared" si="5"/>
        <v>3</v>
      </c>
      <c r="Q148" s="1">
        <f>IF(OR(O148=0,P148=0),0,MIN(O148,P148)*Mapping!$I$2/O148)</f>
        <v>5.000000000000001E-2</v>
      </c>
      <c r="R148" s="1">
        <f>IF(OR(O148=0,P148=0),0,MIN(O148,P148)*Mapping!$I$2/P148)</f>
        <v>5.000000000000001E-2</v>
      </c>
    </row>
    <row r="149" spans="1:18">
      <c r="A149" s="5">
        <v>43524</v>
      </c>
      <c r="B149" s="5">
        <v>43525</v>
      </c>
      <c r="C149">
        <v>0</v>
      </c>
      <c r="D149">
        <v>-1</v>
      </c>
      <c r="E149">
        <v>0</v>
      </c>
      <c r="F149">
        <v>0</v>
      </c>
      <c r="G149">
        <v>1</v>
      </c>
      <c r="H149">
        <v>0</v>
      </c>
      <c r="I149">
        <v>-1</v>
      </c>
      <c r="J149">
        <v>-1</v>
      </c>
      <c r="K149">
        <v>1</v>
      </c>
      <c r="L149">
        <v>1</v>
      </c>
      <c r="M149">
        <v>0</v>
      </c>
      <c r="N149">
        <v>0</v>
      </c>
      <c r="O149">
        <f t="shared" si="4"/>
        <v>3</v>
      </c>
      <c r="P149">
        <f t="shared" si="5"/>
        <v>3</v>
      </c>
      <c r="Q149" s="1">
        <f>IF(OR(O149=0,P149=0),0,MIN(O149,P149)*Mapping!$I$2/O149)</f>
        <v>5.000000000000001E-2</v>
      </c>
      <c r="R149" s="1">
        <f>IF(OR(O149=0,P149=0),0,MIN(O149,P149)*Mapping!$I$2/P149)</f>
        <v>5.000000000000001E-2</v>
      </c>
    </row>
    <row r="150" spans="1:18">
      <c r="A150" s="5">
        <v>43555</v>
      </c>
      <c r="B150" s="5">
        <v>43556</v>
      </c>
      <c r="C150">
        <v>0</v>
      </c>
      <c r="D150">
        <v>-1</v>
      </c>
      <c r="E150">
        <v>0</v>
      </c>
      <c r="F150">
        <v>0</v>
      </c>
      <c r="G150">
        <v>1</v>
      </c>
      <c r="H150">
        <v>0</v>
      </c>
      <c r="I150">
        <v>-1</v>
      </c>
      <c r="J150">
        <v>-1</v>
      </c>
      <c r="K150">
        <v>0</v>
      </c>
      <c r="L150">
        <v>1</v>
      </c>
      <c r="M150">
        <v>0</v>
      </c>
      <c r="N150">
        <v>1</v>
      </c>
      <c r="O150">
        <f t="shared" si="4"/>
        <v>3</v>
      </c>
      <c r="P150">
        <f t="shared" si="5"/>
        <v>3</v>
      </c>
      <c r="Q150" s="1">
        <f>IF(OR(O150=0,P150=0),0,MIN(O150,P150)*Mapping!$I$2/O150)</f>
        <v>5.000000000000001E-2</v>
      </c>
      <c r="R150" s="1">
        <f>IF(OR(O150=0,P150=0),0,MIN(O150,P150)*Mapping!$I$2/P150)</f>
        <v>5.000000000000001E-2</v>
      </c>
    </row>
    <row r="151" spans="1:18">
      <c r="A151" s="5">
        <v>43585</v>
      </c>
      <c r="B151" s="5">
        <v>43586</v>
      </c>
      <c r="C151">
        <v>0</v>
      </c>
      <c r="D151">
        <v>-1</v>
      </c>
      <c r="E151">
        <v>1</v>
      </c>
      <c r="F151">
        <v>0</v>
      </c>
      <c r="G151">
        <v>1</v>
      </c>
      <c r="H151">
        <v>0</v>
      </c>
      <c r="I151">
        <v>-1</v>
      </c>
      <c r="J151">
        <v>0</v>
      </c>
      <c r="K151">
        <v>1</v>
      </c>
      <c r="L151">
        <v>0</v>
      </c>
      <c r="M151">
        <v>0</v>
      </c>
      <c r="N151">
        <v>-1</v>
      </c>
      <c r="O151">
        <f t="shared" si="4"/>
        <v>3</v>
      </c>
      <c r="P151">
        <f t="shared" si="5"/>
        <v>3</v>
      </c>
      <c r="Q151" s="1">
        <f>IF(OR(O151=0,P151=0),0,MIN(O151,P151)*Mapping!$I$2/O151)</f>
        <v>5.000000000000001E-2</v>
      </c>
      <c r="R151" s="1">
        <f>IF(OR(O151=0,P151=0),0,MIN(O151,P151)*Mapping!$I$2/P151)</f>
        <v>5.000000000000001E-2</v>
      </c>
    </row>
    <row r="152" spans="1:18">
      <c r="A152" s="5">
        <v>43616</v>
      </c>
      <c r="B152" s="5">
        <v>43617</v>
      </c>
      <c r="C152">
        <v>0</v>
      </c>
      <c r="D152">
        <v>-1</v>
      </c>
      <c r="E152">
        <v>1</v>
      </c>
      <c r="F152">
        <v>0</v>
      </c>
      <c r="G152">
        <v>1</v>
      </c>
      <c r="H152">
        <v>0</v>
      </c>
      <c r="I152">
        <v>-1</v>
      </c>
      <c r="J152">
        <v>-1</v>
      </c>
      <c r="K152">
        <v>0</v>
      </c>
      <c r="L152">
        <v>1</v>
      </c>
      <c r="M152">
        <v>0</v>
      </c>
      <c r="N152">
        <v>0</v>
      </c>
      <c r="O152">
        <f t="shared" si="4"/>
        <v>3</v>
      </c>
      <c r="P152">
        <f t="shared" si="5"/>
        <v>3</v>
      </c>
      <c r="Q152" s="1">
        <f>IF(OR(O152=0,P152=0),0,MIN(O152,P152)*Mapping!$I$2/O152)</f>
        <v>5.000000000000001E-2</v>
      </c>
      <c r="R152" s="1">
        <f>IF(OR(O152=0,P152=0),0,MIN(O152,P152)*Mapping!$I$2/P152)</f>
        <v>5.000000000000001E-2</v>
      </c>
    </row>
    <row r="153" spans="1:18">
      <c r="A153" s="5">
        <v>43646</v>
      </c>
      <c r="B153" s="5">
        <v>43647</v>
      </c>
      <c r="C153">
        <v>-1</v>
      </c>
      <c r="D153">
        <v>-1</v>
      </c>
      <c r="E153">
        <v>1</v>
      </c>
      <c r="F153">
        <v>0</v>
      </c>
      <c r="G153">
        <v>1</v>
      </c>
      <c r="H153">
        <v>0</v>
      </c>
      <c r="I153">
        <v>-1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f t="shared" si="4"/>
        <v>3</v>
      </c>
      <c r="P153">
        <f t="shared" si="5"/>
        <v>3</v>
      </c>
      <c r="Q153" s="1">
        <f>IF(OR(O153=0,P153=0),0,MIN(O153,P153)*Mapping!$I$2/O153)</f>
        <v>5.000000000000001E-2</v>
      </c>
      <c r="R153" s="1">
        <f>IF(OR(O153=0,P153=0),0,MIN(O153,P153)*Mapping!$I$2/P153)</f>
        <v>5.000000000000001E-2</v>
      </c>
    </row>
    <row r="154" spans="1:18">
      <c r="A154" s="5">
        <v>43677</v>
      </c>
      <c r="B154" s="5">
        <v>43678</v>
      </c>
      <c r="C154">
        <v>-1</v>
      </c>
      <c r="D154">
        <v>-1</v>
      </c>
      <c r="E154">
        <v>1</v>
      </c>
      <c r="F154">
        <v>0</v>
      </c>
      <c r="G154">
        <v>1</v>
      </c>
      <c r="H154">
        <v>0</v>
      </c>
      <c r="I154">
        <v>-1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f t="shared" si="4"/>
        <v>3</v>
      </c>
      <c r="P154">
        <f t="shared" si="5"/>
        <v>3</v>
      </c>
      <c r="Q154" s="1">
        <f>IF(OR(O154=0,P154=0),0,MIN(O154,P154)*Mapping!$I$2/O154)</f>
        <v>5.000000000000001E-2</v>
      </c>
      <c r="R154" s="1">
        <f>IF(OR(O154=0,P154=0),0,MIN(O154,P154)*Mapping!$I$2/P154)</f>
        <v>5.000000000000001E-2</v>
      </c>
    </row>
    <row r="155" spans="1:18">
      <c r="A155" s="5">
        <v>43708</v>
      </c>
      <c r="B155" s="5">
        <v>43709</v>
      </c>
      <c r="C155">
        <v>-1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-1</v>
      </c>
      <c r="J155">
        <v>-1</v>
      </c>
      <c r="K155">
        <v>0</v>
      </c>
      <c r="L155">
        <v>1</v>
      </c>
      <c r="M155">
        <v>0</v>
      </c>
      <c r="N155">
        <v>1</v>
      </c>
      <c r="O155">
        <f t="shared" si="4"/>
        <v>3</v>
      </c>
      <c r="P155">
        <f t="shared" si="5"/>
        <v>3</v>
      </c>
      <c r="Q155" s="1">
        <f>IF(OR(O155=0,P155=0),0,MIN(O155,P155)*Mapping!$I$2/O155)</f>
        <v>5.000000000000001E-2</v>
      </c>
      <c r="R155" s="1">
        <f>IF(OR(O155=0,P155=0),0,MIN(O155,P155)*Mapping!$I$2/P155)</f>
        <v>5.000000000000001E-2</v>
      </c>
    </row>
    <row r="156" spans="1:18">
      <c r="A156" s="5">
        <v>43738</v>
      </c>
      <c r="B156" s="5">
        <v>43739</v>
      </c>
      <c r="C156">
        <v>-1</v>
      </c>
      <c r="D156">
        <v>0</v>
      </c>
      <c r="E156">
        <v>0</v>
      </c>
      <c r="F156">
        <v>-1</v>
      </c>
      <c r="G156">
        <v>1</v>
      </c>
      <c r="H156">
        <v>0</v>
      </c>
      <c r="I156">
        <v>-1</v>
      </c>
      <c r="J156">
        <v>0</v>
      </c>
      <c r="K156">
        <v>1</v>
      </c>
      <c r="L156">
        <v>1</v>
      </c>
      <c r="M156">
        <v>0</v>
      </c>
      <c r="N156">
        <v>0</v>
      </c>
      <c r="O156">
        <f t="shared" si="4"/>
        <v>3</v>
      </c>
      <c r="P156">
        <f t="shared" si="5"/>
        <v>3</v>
      </c>
      <c r="Q156" s="1">
        <f>IF(OR(O156=0,P156=0),0,MIN(O156,P156)*Mapping!$I$2/O156)</f>
        <v>5.000000000000001E-2</v>
      </c>
      <c r="R156" s="1">
        <f>IF(OR(O156=0,P156=0),0,MIN(O156,P156)*Mapping!$I$2/P156)</f>
        <v>5.000000000000001E-2</v>
      </c>
    </row>
    <row r="157" spans="1:18">
      <c r="A157" s="5">
        <v>43769</v>
      </c>
      <c r="B157" s="5">
        <v>43770</v>
      </c>
      <c r="C157">
        <v>0</v>
      </c>
      <c r="D157">
        <v>0</v>
      </c>
      <c r="E157">
        <v>0</v>
      </c>
      <c r="F157">
        <v>-1</v>
      </c>
      <c r="G157">
        <v>1</v>
      </c>
      <c r="H157">
        <v>0</v>
      </c>
      <c r="I157">
        <v>1</v>
      </c>
      <c r="J157">
        <v>-1</v>
      </c>
      <c r="K157">
        <v>1</v>
      </c>
      <c r="L157">
        <v>0</v>
      </c>
      <c r="M157">
        <v>0</v>
      </c>
      <c r="N157">
        <v>-1</v>
      </c>
      <c r="O157">
        <f t="shared" si="4"/>
        <v>3</v>
      </c>
      <c r="P157">
        <f t="shared" si="5"/>
        <v>3</v>
      </c>
      <c r="Q157" s="1">
        <f>IF(OR(O157=0,P157=0),0,MIN(O157,P157)*Mapping!$I$2/O157)</f>
        <v>5.000000000000001E-2</v>
      </c>
      <c r="R157" s="1">
        <f>IF(OR(O157=0,P157=0),0,MIN(O157,P157)*Mapping!$I$2/P157)</f>
        <v>5.000000000000001E-2</v>
      </c>
    </row>
    <row r="158" spans="1:18">
      <c r="A158" s="5">
        <v>43799</v>
      </c>
      <c r="B158" s="5">
        <v>43800</v>
      </c>
      <c r="C158">
        <v>0</v>
      </c>
      <c r="D158">
        <v>1</v>
      </c>
      <c r="E158">
        <v>0</v>
      </c>
      <c r="F158">
        <v>-1</v>
      </c>
      <c r="G158">
        <v>0</v>
      </c>
      <c r="H158">
        <v>0</v>
      </c>
      <c r="I158">
        <v>-1</v>
      </c>
      <c r="J158">
        <v>0</v>
      </c>
      <c r="K158">
        <v>1</v>
      </c>
      <c r="L158">
        <v>1</v>
      </c>
      <c r="M158">
        <v>0</v>
      </c>
      <c r="N158">
        <v>-1</v>
      </c>
      <c r="O158">
        <f t="shared" si="4"/>
        <v>3</v>
      </c>
      <c r="P158">
        <f t="shared" si="5"/>
        <v>3</v>
      </c>
      <c r="Q158" s="1">
        <f>IF(OR(O158=0,P158=0),0,MIN(O158,P158)*Mapping!$I$2/O158)</f>
        <v>5.000000000000001E-2</v>
      </c>
      <c r="R158" s="1">
        <f>IF(OR(O158=0,P158=0),0,MIN(O158,P158)*Mapping!$I$2/P158)</f>
        <v>5.000000000000001E-2</v>
      </c>
    </row>
    <row r="159" spans="1:18">
      <c r="A159" s="5">
        <v>43830</v>
      </c>
      <c r="B159" s="5">
        <v>43831</v>
      </c>
      <c r="C159">
        <v>0</v>
      </c>
      <c r="D159">
        <v>1</v>
      </c>
      <c r="E159">
        <v>0</v>
      </c>
      <c r="F159">
        <v>-1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-1</v>
      </c>
      <c r="M159">
        <v>0</v>
      </c>
      <c r="N159">
        <v>-1</v>
      </c>
      <c r="O159">
        <f t="shared" si="4"/>
        <v>3</v>
      </c>
      <c r="P159">
        <f t="shared" si="5"/>
        <v>3</v>
      </c>
      <c r="Q159" s="1">
        <f>IF(OR(O159=0,P159=0),0,MIN(O159,P159)*Mapping!$I$2/O159)</f>
        <v>5.000000000000001E-2</v>
      </c>
      <c r="R159" s="1">
        <f>IF(OR(O159=0,P159=0),0,MIN(O159,P159)*Mapping!$I$2/P159)</f>
        <v>5.000000000000001E-2</v>
      </c>
    </row>
    <row r="160" spans="1:18">
      <c r="A160" s="5">
        <v>43861</v>
      </c>
      <c r="B160" s="5">
        <v>43862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-1</v>
      </c>
      <c r="I160">
        <v>-1</v>
      </c>
      <c r="J160">
        <v>0</v>
      </c>
      <c r="K160">
        <v>1</v>
      </c>
      <c r="L160">
        <v>-1</v>
      </c>
      <c r="M160">
        <v>0</v>
      </c>
      <c r="N160">
        <v>0</v>
      </c>
      <c r="O160">
        <f t="shared" si="4"/>
        <v>3</v>
      </c>
      <c r="P160">
        <f t="shared" si="5"/>
        <v>3</v>
      </c>
      <c r="Q160" s="1">
        <f>IF(OR(O160=0,P160=0),0,MIN(O160,P160)*Mapping!$I$2/O160)</f>
        <v>5.000000000000001E-2</v>
      </c>
      <c r="R160" s="1">
        <f>IF(OR(O160=0,P160=0),0,MIN(O160,P160)*Mapping!$I$2/P160)</f>
        <v>5.000000000000001E-2</v>
      </c>
    </row>
    <row r="161" spans="1:18">
      <c r="A161" s="5">
        <v>43890</v>
      </c>
      <c r="B161" s="5">
        <v>43891</v>
      </c>
      <c r="C161">
        <v>0</v>
      </c>
      <c r="D161">
        <v>0</v>
      </c>
      <c r="E161">
        <v>1</v>
      </c>
      <c r="F161">
        <v>-1</v>
      </c>
      <c r="G161">
        <v>1</v>
      </c>
      <c r="H161">
        <v>0</v>
      </c>
      <c r="I161">
        <v>-1</v>
      </c>
      <c r="J161">
        <v>1</v>
      </c>
      <c r="K161">
        <v>0</v>
      </c>
      <c r="L161">
        <v>0</v>
      </c>
      <c r="M161">
        <v>0</v>
      </c>
      <c r="N161">
        <v>-1</v>
      </c>
      <c r="O161">
        <f t="shared" si="4"/>
        <v>3</v>
      </c>
      <c r="P161">
        <f t="shared" si="5"/>
        <v>3</v>
      </c>
      <c r="Q161" s="1">
        <f>IF(OR(O161=0,P161=0),0,MIN(O161,P161)*Mapping!$I$2/O161)</f>
        <v>5.000000000000001E-2</v>
      </c>
      <c r="R161" s="1">
        <f>IF(OR(O161=0,P161=0),0,MIN(O161,P161)*Mapping!$I$2/P161)</f>
        <v>5.000000000000001E-2</v>
      </c>
    </row>
    <row r="162" spans="1:18">
      <c r="A162" s="5">
        <v>43921</v>
      </c>
      <c r="B162" s="5">
        <v>43922</v>
      </c>
      <c r="C162">
        <v>0</v>
      </c>
      <c r="D162">
        <v>0</v>
      </c>
      <c r="E162">
        <v>1</v>
      </c>
      <c r="F162">
        <v>-1</v>
      </c>
      <c r="G162">
        <v>1</v>
      </c>
      <c r="H162">
        <v>0</v>
      </c>
      <c r="I162">
        <v>-1</v>
      </c>
      <c r="J162">
        <v>1</v>
      </c>
      <c r="K162">
        <v>0</v>
      </c>
      <c r="L162">
        <v>-1</v>
      </c>
      <c r="M162">
        <v>0</v>
      </c>
      <c r="N162">
        <v>0</v>
      </c>
      <c r="O162">
        <f t="shared" si="4"/>
        <v>3</v>
      </c>
      <c r="P162">
        <f t="shared" si="5"/>
        <v>3</v>
      </c>
      <c r="Q162" s="1">
        <f>IF(OR(O162=0,P162=0),0,MIN(O162,P162)*Mapping!$I$2/O162)</f>
        <v>5.000000000000001E-2</v>
      </c>
      <c r="R162" s="1">
        <f>IF(OR(O162=0,P162=0),0,MIN(O162,P162)*Mapping!$I$2/P162)</f>
        <v>5.000000000000001E-2</v>
      </c>
    </row>
    <row r="163" spans="1:18">
      <c r="A163" s="5">
        <v>43951</v>
      </c>
      <c r="B163" s="5">
        <v>43952</v>
      </c>
      <c r="C163">
        <v>0</v>
      </c>
      <c r="D163">
        <v>0</v>
      </c>
      <c r="E163">
        <v>0</v>
      </c>
      <c r="F163">
        <v>-1</v>
      </c>
      <c r="G163">
        <v>1</v>
      </c>
      <c r="H163">
        <v>0</v>
      </c>
      <c r="I163">
        <v>-1</v>
      </c>
      <c r="J163">
        <v>1</v>
      </c>
      <c r="K163">
        <v>1</v>
      </c>
      <c r="L163">
        <v>0</v>
      </c>
      <c r="M163">
        <v>0</v>
      </c>
      <c r="N163">
        <v>-1</v>
      </c>
      <c r="O163">
        <f t="shared" si="4"/>
        <v>3</v>
      </c>
      <c r="P163">
        <f t="shared" si="5"/>
        <v>3</v>
      </c>
      <c r="Q163" s="1">
        <f>IF(OR(O163=0,P163=0),0,MIN(O163,P163)*Mapping!$I$2/O163)</f>
        <v>5.000000000000001E-2</v>
      </c>
      <c r="R163" s="1">
        <f>IF(OR(O163=0,P163=0),0,MIN(O163,P163)*Mapping!$I$2/P163)</f>
        <v>5.000000000000001E-2</v>
      </c>
    </row>
    <row r="164" spans="1:18">
      <c r="A164" s="5">
        <v>43982</v>
      </c>
      <c r="B164" s="5">
        <v>43983</v>
      </c>
      <c r="C164">
        <v>0</v>
      </c>
      <c r="D164">
        <v>0</v>
      </c>
      <c r="E164">
        <v>0</v>
      </c>
      <c r="F164">
        <v>-1</v>
      </c>
      <c r="G164">
        <v>1</v>
      </c>
      <c r="H164">
        <v>-1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-1</v>
      </c>
      <c r="O164">
        <f t="shared" si="4"/>
        <v>3</v>
      </c>
      <c r="P164">
        <f t="shared" si="5"/>
        <v>3</v>
      </c>
      <c r="Q164" s="1">
        <f>IF(OR(O164=0,P164=0),0,MIN(O164,P164)*Mapping!$I$2/O164)</f>
        <v>5.000000000000001E-2</v>
      </c>
      <c r="R164" s="1">
        <f>IF(OR(O164=0,P164=0),0,MIN(O164,P164)*Mapping!$I$2/P164)</f>
        <v>5.000000000000001E-2</v>
      </c>
    </row>
    <row r="165" spans="1:18">
      <c r="A165" s="5">
        <v>44012</v>
      </c>
      <c r="B165" s="5">
        <v>44013</v>
      </c>
      <c r="C165">
        <v>0</v>
      </c>
      <c r="D165">
        <v>0</v>
      </c>
      <c r="E165">
        <v>1</v>
      </c>
      <c r="F165">
        <v>0</v>
      </c>
      <c r="G165">
        <v>1</v>
      </c>
      <c r="H165">
        <v>-1</v>
      </c>
      <c r="I165">
        <v>-1</v>
      </c>
      <c r="J165">
        <v>1</v>
      </c>
      <c r="K165">
        <v>0</v>
      </c>
      <c r="L165">
        <v>0</v>
      </c>
      <c r="M165">
        <v>0</v>
      </c>
      <c r="N165">
        <v>-1</v>
      </c>
      <c r="O165">
        <f t="shared" si="4"/>
        <v>3</v>
      </c>
      <c r="P165">
        <f t="shared" si="5"/>
        <v>3</v>
      </c>
      <c r="Q165" s="1">
        <f>IF(OR(O165=0,P165=0),0,MIN(O165,P165)*Mapping!$I$2/O165)</f>
        <v>5.000000000000001E-2</v>
      </c>
      <c r="R165" s="1">
        <f>IF(OR(O165=0,P165=0),0,MIN(O165,P165)*Mapping!$I$2/P165)</f>
        <v>5.000000000000001E-2</v>
      </c>
    </row>
    <row r="166" spans="1:18">
      <c r="A166" s="5">
        <v>44043</v>
      </c>
      <c r="B166" s="5">
        <v>44044</v>
      </c>
      <c r="C166">
        <v>0</v>
      </c>
      <c r="D166">
        <v>0</v>
      </c>
      <c r="E166">
        <v>1</v>
      </c>
      <c r="F166">
        <v>0</v>
      </c>
      <c r="G166">
        <v>1</v>
      </c>
      <c r="H166">
        <v>-1</v>
      </c>
      <c r="I166">
        <v>0</v>
      </c>
      <c r="J166">
        <v>1</v>
      </c>
      <c r="K166">
        <v>0</v>
      </c>
      <c r="L166">
        <v>-1</v>
      </c>
      <c r="M166">
        <v>0</v>
      </c>
      <c r="N166">
        <v>-1</v>
      </c>
      <c r="O166">
        <f t="shared" si="4"/>
        <v>3</v>
      </c>
      <c r="P166">
        <f t="shared" si="5"/>
        <v>3</v>
      </c>
      <c r="Q166" s="1">
        <f>IF(OR(O166=0,P166=0),0,MIN(O166,P166)*Mapping!$I$2/O166)</f>
        <v>5.000000000000001E-2</v>
      </c>
      <c r="R166" s="1">
        <f>IF(OR(O166=0,P166=0),0,MIN(O166,P166)*Mapping!$I$2/P166)</f>
        <v>5.000000000000001E-2</v>
      </c>
    </row>
    <row r="167" spans="1:18">
      <c r="A167" s="5">
        <v>44074</v>
      </c>
      <c r="B167" s="5">
        <v>44075</v>
      </c>
      <c r="C167">
        <v>0</v>
      </c>
      <c r="D167">
        <v>-1</v>
      </c>
      <c r="E167">
        <v>0</v>
      </c>
      <c r="F167">
        <v>-1</v>
      </c>
      <c r="G167">
        <v>1</v>
      </c>
      <c r="H167">
        <v>0</v>
      </c>
      <c r="I167">
        <v>-1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f t="shared" si="4"/>
        <v>3</v>
      </c>
      <c r="P167">
        <f t="shared" si="5"/>
        <v>3</v>
      </c>
      <c r="Q167" s="1">
        <f>IF(OR(O167=0,P167=0),0,MIN(O167,P167)*Mapping!$I$2/O167)</f>
        <v>5.000000000000001E-2</v>
      </c>
      <c r="R167" s="1">
        <f>IF(OR(O167=0,P167=0),0,MIN(O167,P167)*Mapping!$I$2/P167)</f>
        <v>5.000000000000001E-2</v>
      </c>
    </row>
    <row r="168" spans="1:18">
      <c r="A168" s="5">
        <v>44104</v>
      </c>
      <c r="B168" s="5">
        <v>44105</v>
      </c>
      <c r="C168">
        <v>1</v>
      </c>
      <c r="D168">
        <v>0</v>
      </c>
      <c r="E168">
        <v>0</v>
      </c>
      <c r="F168">
        <v>-1</v>
      </c>
      <c r="G168">
        <v>1</v>
      </c>
      <c r="H168">
        <v>0</v>
      </c>
      <c r="I168">
        <v>-1</v>
      </c>
      <c r="J168">
        <v>0</v>
      </c>
      <c r="K168">
        <v>1</v>
      </c>
      <c r="L168">
        <v>-1</v>
      </c>
      <c r="M168">
        <v>0</v>
      </c>
      <c r="N168">
        <v>0</v>
      </c>
      <c r="O168">
        <f t="shared" si="4"/>
        <v>3</v>
      </c>
      <c r="P168">
        <f t="shared" si="5"/>
        <v>3</v>
      </c>
      <c r="Q168" s="1">
        <f>IF(OR(O168=0,P168=0),0,MIN(O168,P168)*Mapping!$I$2/O168)</f>
        <v>5.000000000000001E-2</v>
      </c>
      <c r="R168" s="1">
        <f>IF(OR(O168=0,P168=0),0,MIN(O168,P168)*Mapping!$I$2/P168)</f>
        <v>5.000000000000001E-2</v>
      </c>
    </row>
    <row r="169" spans="1:18">
      <c r="A169" s="5">
        <v>44135</v>
      </c>
      <c r="B169" s="5">
        <v>44136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-1</v>
      </c>
      <c r="J169">
        <v>1</v>
      </c>
      <c r="K169">
        <v>1</v>
      </c>
      <c r="L169">
        <v>-1</v>
      </c>
      <c r="M169">
        <v>0</v>
      </c>
      <c r="N169">
        <v>-1</v>
      </c>
      <c r="O169">
        <f t="shared" si="4"/>
        <v>3</v>
      </c>
      <c r="P169">
        <f t="shared" si="5"/>
        <v>3</v>
      </c>
      <c r="Q169" s="1">
        <f>IF(OR(O169=0,P169=0),0,MIN(O169,P169)*Mapping!$I$2/O169)</f>
        <v>5.000000000000001E-2</v>
      </c>
      <c r="R169" s="1">
        <f>IF(OR(O169=0,P169=0),0,MIN(O169,P169)*Mapping!$I$2/P169)</f>
        <v>5.000000000000001E-2</v>
      </c>
    </row>
    <row r="170" spans="1:18">
      <c r="A170" s="5">
        <v>44165</v>
      </c>
      <c r="B170" s="5">
        <v>44166</v>
      </c>
      <c r="C170">
        <v>1</v>
      </c>
      <c r="D170">
        <v>0</v>
      </c>
      <c r="E170">
        <v>1</v>
      </c>
      <c r="F170">
        <v>-1</v>
      </c>
      <c r="G170">
        <v>1</v>
      </c>
      <c r="H170">
        <v>0</v>
      </c>
      <c r="I170">
        <v>-1</v>
      </c>
      <c r="J170">
        <v>0</v>
      </c>
      <c r="K170">
        <v>0</v>
      </c>
      <c r="L170">
        <v>0</v>
      </c>
      <c r="M170">
        <v>0</v>
      </c>
      <c r="N170">
        <v>-1</v>
      </c>
      <c r="O170">
        <f t="shared" si="4"/>
        <v>3</v>
      </c>
      <c r="P170">
        <f t="shared" si="5"/>
        <v>3</v>
      </c>
      <c r="Q170" s="1">
        <f>IF(OR(O170=0,P170=0),0,MIN(O170,P170)*Mapping!$I$2/O170)</f>
        <v>5.000000000000001E-2</v>
      </c>
      <c r="R170" s="1">
        <f>IF(OR(O170=0,P170=0),0,MIN(O170,P170)*Mapping!$I$2/P170)</f>
        <v>5.000000000000001E-2</v>
      </c>
    </row>
    <row r="171" spans="1:18">
      <c r="A171" s="5">
        <v>44196</v>
      </c>
      <c r="B171" s="5">
        <v>44197</v>
      </c>
      <c r="C171">
        <v>1</v>
      </c>
      <c r="D171">
        <v>0</v>
      </c>
      <c r="E171">
        <v>1</v>
      </c>
      <c r="F171">
        <v>-1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-1</v>
      </c>
      <c r="M171">
        <v>0</v>
      </c>
      <c r="N171">
        <v>-1</v>
      </c>
      <c r="O171">
        <f t="shared" si="4"/>
        <v>3</v>
      </c>
      <c r="P171">
        <f t="shared" si="5"/>
        <v>3</v>
      </c>
      <c r="Q171" s="1">
        <f>IF(OR(O171=0,P171=0),0,MIN(O171,P171)*Mapping!$I$2/O171)</f>
        <v>5.000000000000001E-2</v>
      </c>
      <c r="R171" s="1">
        <f>IF(OR(O171=0,P171=0),0,MIN(O171,P171)*Mapping!$I$2/P171)</f>
        <v>5.000000000000001E-2</v>
      </c>
    </row>
    <row r="172" spans="1:18">
      <c r="A172" s="5">
        <v>44227</v>
      </c>
      <c r="B172" s="5">
        <v>44228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-1</v>
      </c>
      <c r="J172">
        <v>1</v>
      </c>
      <c r="K172">
        <v>0</v>
      </c>
      <c r="L172">
        <v>-1</v>
      </c>
      <c r="M172">
        <v>0</v>
      </c>
      <c r="N172">
        <v>-1</v>
      </c>
      <c r="O172">
        <f t="shared" si="4"/>
        <v>3</v>
      </c>
      <c r="P172">
        <f t="shared" si="5"/>
        <v>3</v>
      </c>
      <c r="Q172" s="1">
        <f>IF(OR(O172=0,P172=0),0,MIN(O172,P172)*Mapping!$I$2/O172)</f>
        <v>5.000000000000001E-2</v>
      </c>
      <c r="R172" s="1">
        <f>IF(OR(O172=0,P172=0),0,MIN(O172,P172)*Mapping!$I$2/P172)</f>
        <v>5.000000000000001E-2</v>
      </c>
    </row>
    <row r="173" spans="1:18">
      <c r="A173" s="5">
        <v>44255</v>
      </c>
      <c r="B173" s="5">
        <v>44256</v>
      </c>
      <c r="C173">
        <v>1</v>
      </c>
      <c r="D173">
        <v>0</v>
      </c>
      <c r="E173">
        <v>0</v>
      </c>
      <c r="F173">
        <v>-1</v>
      </c>
      <c r="G173">
        <v>1</v>
      </c>
      <c r="H173">
        <v>0</v>
      </c>
      <c r="I173">
        <v>-1</v>
      </c>
      <c r="J173">
        <v>1</v>
      </c>
      <c r="K173">
        <v>0</v>
      </c>
      <c r="L173">
        <v>0</v>
      </c>
      <c r="M173">
        <v>0</v>
      </c>
      <c r="N173">
        <v>-1</v>
      </c>
      <c r="O173">
        <f t="shared" si="4"/>
        <v>3</v>
      </c>
      <c r="P173">
        <f t="shared" si="5"/>
        <v>3</v>
      </c>
      <c r="Q173" s="1">
        <f>IF(OR(O173=0,P173=0),0,MIN(O173,P173)*Mapping!$I$2/O173)</f>
        <v>5.000000000000001E-2</v>
      </c>
      <c r="R173" s="1">
        <f>IF(OR(O173=0,P173=0),0,MIN(O173,P173)*Mapping!$I$2/P173)</f>
        <v>5.000000000000001E-2</v>
      </c>
    </row>
    <row r="174" spans="1:18">
      <c r="A174" s="5">
        <v>44286</v>
      </c>
      <c r="B174" s="5">
        <v>44287</v>
      </c>
      <c r="C174">
        <v>1</v>
      </c>
      <c r="D174">
        <v>0</v>
      </c>
      <c r="E174">
        <v>1</v>
      </c>
      <c r="F174">
        <v>-1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-1</v>
      </c>
      <c r="M174">
        <v>0</v>
      </c>
      <c r="N174">
        <v>-1</v>
      </c>
      <c r="O174">
        <f t="shared" si="4"/>
        <v>3</v>
      </c>
      <c r="P174">
        <f t="shared" si="5"/>
        <v>3</v>
      </c>
      <c r="Q174" s="1">
        <f>IF(OR(O174=0,P174=0),0,MIN(O174,P174)*Mapping!$I$2/O174)</f>
        <v>5.000000000000001E-2</v>
      </c>
      <c r="R174" s="1">
        <f>IF(OR(O174=0,P174=0),0,MIN(O174,P174)*Mapping!$I$2/P174)</f>
        <v>5.000000000000001E-2</v>
      </c>
    </row>
    <row r="175" spans="1:18">
      <c r="A175" s="5">
        <v>44316</v>
      </c>
      <c r="B175" s="5">
        <v>44317</v>
      </c>
      <c r="C175">
        <v>1</v>
      </c>
      <c r="D175">
        <v>0</v>
      </c>
      <c r="E175">
        <v>1</v>
      </c>
      <c r="F175">
        <v>0</v>
      </c>
      <c r="G175">
        <v>0</v>
      </c>
      <c r="H175">
        <v>-1</v>
      </c>
      <c r="I175">
        <v>0</v>
      </c>
      <c r="J175">
        <v>1</v>
      </c>
      <c r="K175">
        <v>0</v>
      </c>
      <c r="L175">
        <v>-1</v>
      </c>
      <c r="M175">
        <v>0</v>
      </c>
      <c r="N175">
        <v>-1</v>
      </c>
      <c r="O175">
        <f t="shared" si="4"/>
        <v>3</v>
      </c>
      <c r="P175">
        <f t="shared" si="5"/>
        <v>3</v>
      </c>
      <c r="Q175" s="1">
        <f>IF(OR(O175=0,P175=0),0,MIN(O175,P175)*Mapping!$I$2/O175)</f>
        <v>5.000000000000001E-2</v>
      </c>
      <c r="R175" s="1">
        <f>IF(OR(O175=0,P175=0),0,MIN(O175,P175)*Mapping!$I$2/P175)</f>
        <v>5.000000000000001E-2</v>
      </c>
    </row>
    <row r="176" spans="1:18">
      <c r="A176" s="5">
        <v>44347</v>
      </c>
      <c r="B176" s="5">
        <v>44348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-1</v>
      </c>
      <c r="I176">
        <v>0</v>
      </c>
      <c r="J176">
        <v>1</v>
      </c>
      <c r="K176">
        <v>0</v>
      </c>
      <c r="L176">
        <v>-1</v>
      </c>
      <c r="M176">
        <v>0</v>
      </c>
      <c r="N176">
        <v>-1</v>
      </c>
      <c r="O176">
        <f t="shared" si="4"/>
        <v>3</v>
      </c>
      <c r="P176">
        <f t="shared" si="5"/>
        <v>3</v>
      </c>
      <c r="Q176" s="1">
        <f>IF(OR(O176=0,P176=0),0,MIN(O176,P176)*Mapping!$I$2/O176)</f>
        <v>5.000000000000001E-2</v>
      </c>
      <c r="R176" s="1">
        <f>IF(OR(O176=0,P176=0),0,MIN(O176,P176)*Mapping!$I$2/P176)</f>
        <v>5.000000000000001E-2</v>
      </c>
    </row>
    <row r="177" spans="1:18">
      <c r="A177" s="5">
        <v>44377</v>
      </c>
      <c r="B177" s="5">
        <v>44378</v>
      </c>
      <c r="C177">
        <v>1</v>
      </c>
      <c r="D177">
        <v>0</v>
      </c>
      <c r="E177">
        <v>1</v>
      </c>
      <c r="F177">
        <v>-1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-1</v>
      </c>
      <c r="M177">
        <v>0</v>
      </c>
      <c r="N177">
        <v>-1</v>
      </c>
      <c r="O177">
        <f t="shared" si="4"/>
        <v>3</v>
      </c>
      <c r="P177">
        <f t="shared" si="5"/>
        <v>3</v>
      </c>
      <c r="Q177" s="1">
        <f>IF(OR(O177=0,P177=0),0,MIN(O177,P177)*Mapping!$I$2/O177)</f>
        <v>5.000000000000001E-2</v>
      </c>
      <c r="R177" s="1">
        <f>IF(OR(O177=0,P177=0),0,MIN(O177,P177)*Mapping!$I$2/P177)</f>
        <v>5.000000000000001E-2</v>
      </c>
    </row>
    <row r="178" spans="1:18">
      <c r="A178" s="5">
        <v>44408</v>
      </c>
      <c r="B178" s="5">
        <v>44409</v>
      </c>
      <c r="C178">
        <v>1</v>
      </c>
      <c r="D178">
        <v>-1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-1</v>
      </c>
      <c r="M178">
        <v>0</v>
      </c>
      <c r="N178">
        <v>-1</v>
      </c>
      <c r="O178">
        <f t="shared" si="4"/>
        <v>3</v>
      </c>
      <c r="P178">
        <f t="shared" si="5"/>
        <v>3</v>
      </c>
      <c r="Q178" s="1">
        <f>IF(OR(O178=0,P178=0),0,MIN(O178,P178)*Mapping!$I$2/O178)</f>
        <v>5.000000000000001E-2</v>
      </c>
      <c r="R178" s="1">
        <f>IF(OR(O178=0,P178=0),0,MIN(O178,P178)*Mapping!$I$2/P178)</f>
        <v>5.000000000000001E-2</v>
      </c>
    </row>
    <row r="179" spans="1:18">
      <c r="A179" s="5">
        <v>44439</v>
      </c>
      <c r="B179" s="5">
        <v>44440</v>
      </c>
      <c r="C179">
        <v>1</v>
      </c>
      <c r="D179">
        <v>-1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1</v>
      </c>
      <c r="K179">
        <v>-1</v>
      </c>
      <c r="L179">
        <v>-1</v>
      </c>
      <c r="M179">
        <v>0</v>
      </c>
      <c r="N179">
        <v>0</v>
      </c>
      <c r="O179">
        <f t="shared" si="4"/>
        <v>3</v>
      </c>
      <c r="P179">
        <f t="shared" si="5"/>
        <v>3</v>
      </c>
      <c r="Q179" s="1">
        <f>IF(OR(O179=0,P179=0),0,MIN(O179,P179)*Mapping!$I$2/O179)</f>
        <v>5.000000000000001E-2</v>
      </c>
      <c r="R179" s="1">
        <f>IF(OR(O179=0,P179=0),0,MIN(O179,P179)*Mapping!$I$2/P179)</f>
        <v>5.000000000000001E-2</v>
      </c>
    </row>
    <row r="180" spans="1:18">
      <c r="A180" s="5">
        <v>44469</v>
      </c>
      <c r="B180" s="5">
        <v>44470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-1</v>
      </c>
      <c r="I180">
        <v>0</v>
      </c>
      <c r="J180">
        <v>1</v>
      </c>
      <c r="K180">
        <v>0</v>
      </c>
      <c r="L180">
        <v>-1</v>
      </c>
      <c r="M180">
        <v>0</v>
      </c>
      <c r="N180">
        <v>-1</v>
      </c>
      <c r="O180">
        <f t="shared" si="4"/>
        <v>3</v>
      </c>
      <c r="P180">
        <f t="shared" si="5"/>
        <v>3</v>
      </c>
      <c r="Q180" s="1">
        <f>IF(OR(O180=0,P180=0),0,MIN(O180,P180)*Mapping!$I$2/O180)</f>
        <v>5.000000000000001E-2</v>
      </c>
      <c r="R180" s="1">
        <f>IF(OR(O180=0,P180=0),0,MIN(O180,P180)*Mapping!$I$2/P180)</f>
        <v>5.000000000000001E-2</v>
      </c>
    </row>
    <row r="181" spans="1:18">
      <c r="A181" s="5">
        <v>44500</v>
      </c>
      <c r="B181" s="5">
        <v>44501</v>
      </c>
      <c r="C181">
        <v>0</v>
      </c>
      <c r="D181">
        <v>0</v>
      </c>
      <c r="E181">
        <v>-1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-1</v>
      </c>
      <c r="L181">
        <v>-1</v>
      </c>
      <c r="M181">
        <v>0</v>
      </c>
      <c r="N181">
        <v>1</v>
      </c>
      <c r="O181">
        <f t="shared" si="4"/>
        <v>3</v>
      </c>
      <c r="P181">
        <f t="shared" si="5"/>
        <v>3</v>
      </c>
      <c r="Q181" s="1">
        <f>IF(OR(O181=0,P181=0),0,MIN(O181,P181)*Mapping!$I$2/O181)</f>
        <v>5.000000000000001E-2</v>
      </c>
      <c r="R181" s="1">
        <f>IF(OR(O181=0,P181=0),0,MIN(O181,P181)*Mapping!$I$2/P181)</f>
        <v>5.000000000000001E-2</v>
      </c>
    </row>
    <row r="182" spans="1:18">
      <c r="A182" s="5">
        <v>44530</v>
      </c>
      <c r="B182" s="5">
        <v>44531</v>
      </c>
      <c r="C182">
        <v>0</v>
      </c>
      <c r="D182">
        <v>-1</v>
      </c>
      <c r="E182">
        <v>0</v>
      </c>
      <c r="F182">
        <v>0</v>
      </c>
      <c r="G182">
        <v>1</v>
      </c>
      <c r="H182">
        <v>1</v>
      </c>
      <c r="I182">
        <v>1</v>
      </c>
      <c r="J182">
        <v>0</v>
      </c>
      <c r="K182">
        <v>-1</v>
      </c>
      <c r="L182">
        <v>0</v>
      </c>
      <c r="M182">
        <v>0</v>
      </c>
      <c r="N182">
        <v>-1</v>
      </c>
      <c r="O182">
        <f t="shared" si="4"/>
        <v>3</v>
      </c>
      <c r="P182">
        <f t="shared" si="5"/>
        <v>3</v>
      </c>
      <c r="Q182" s="1">
        <f>IF(OR(O182=0,P182=0),0,MIN(O182,P182)*Mapping!$I$2/O182)</f>
        <v>5.000000000000001E-2</v>
      </c>
      <c r="R182" s="1">
        <f>IF(OR(O182=0,P182=0),0,MIN(O182,P182)*Mapping!$I$2/P182)</f>
        <v>5.000000000000001E-2</v>
      </c>
    </row>
    <row r="183" spans="1:18">
      <c r="A183" s="5">
        <v>44561</v>
      </c>
      <c r="B183" s="5">
        <v>44562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-1</v>
      </c>
      <c r="L183">
        <v>-1</v>
      </c>
      <c r="M183">
        <v>0</v>
      </c>
      <c r="N183">
        <v>-1</v>
      </c>
      <c r="O183">
        <f t="shared" si="4"/>
        <v>3</v>
      </c>
      <c r="P183">
        <f t="shared" si="5"/>
        <v>3</v>
      </c>
      <c r="Q183" s="1">
        <f>IF(OR(O183=0,P183=0),0,MIN(O183,P183)*Mapping!$I$2/O183)</f>
        <v>5.000000000000001E-2</v>
      </c>
      <c r="R183" s="1">
        <f>IF(OR(O183=0,P183=0),0,MIN(O183,P183)*Mapping!$I$2/P183)</f>
        <v>5.000000000000001E-2</v>
      </c>
    </row>
    <row r="184" spans="1:18">
      <c r="A184" s="5">
        <v>44592</v>
      </c>
      <c r="B184" s="5">
        <v>44593</v>
      </c>
      <c r="C184">
        <v>1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-1</v>
      </c>
      <c r="L184">
        <v>-1</v>
      </c>
      <c r="M184">
        <v>0</v>
      </c>
      <c r="N184">
        <v>-1</v>
      </c>
      <c r="O184">
        <f t="shared" si="4"/>
        <v>3</v>
      </c>
      <c r="P184">
        <f t="shared" si="5"/>
        <v>3</v>
      </c>
      <c r="Q184" s="1">
        <f>IF(OR(O184=0,P184=0),0,MIN(O184,P184)*Mapping!$I$2/O184)</f>
        <v>5.000000000000001E-2</v>
      </c>
      <c r="R184" s="1">
        <f>IF(OR(O184=0,P184=0),0,MIN(O184,P184)*Mapping!$I$2/P184)</f>
        <v>5.000000000000001E-2</v>
      </c>
    </row>
    <row r="185" spans="1:18">
      <c r="A185" s="5">
        <v>44620</v>
      </c>
      <c r="B185" s="5">
        <v>44621</v>
      </c>
      <c r="C185">
        <v>0</v>
      </c>
      <c r="D185">
        <v>1</v>
      </c>
      <c r="E185">
        <v>0</v>
      </c>
      <c r="F185">
        <v>1</v>
      </c>
      <c r="G185">
        <v>-1</v>
      </c>
      <c r="H185">
        <v>0</v>
      </c>
      <c r="I185">
        <v>1</v>
      </c>
      <c r="J185">
        <v>-1</v>
      </c>
      <c r="K185">
        <v>0</v>
      </c>
      <c r="L185">
        <v>0</v>
      </c>
      <c r="M185">
        <v>0</v>
      </c>
      <c r="N185">
        <v>-1</v>
      </c>
      <c r="O185">
        <f t="shared" si="4"/>
        <v>3</v>
      </c>
      <c r="P185">
        <f t="shared" si="5"/>
        <v>3</v>
      </c>
      <c r="Q185" s="1">
        <f>IF(OR(O185=0,P185=0),0,MIN(O185,P185)*Mapping!$I$2/O185)</f>
        <v>5.000000000000001E-2</v>
      </c>
      <c r="R185" s="1">
        <f>IF(OR(O185=0,P185=0),0,MIN(O185,P185)*Mapping!$I$2/P185)</f>
        <v>5.000000000000001E-2</v>
      </c>
    </row>
    <row r="186" spans="1:18">
      <c r="A186" s="5">
        <v>44651</v>
      </c>
      <c r="B186" s="5">
        <v>44652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-1</v>
      </c>
      <c r="L186">
        <v>-1</v>
      </c>
      <c r="M186">
        <v>0</v>
      </c>
      <c r="N186">
        <v>-1</v>
      </c>
      <c r="O186">
        <f t="shared" si="4"/>
        <v>3</v>
      </c>
      <c r="P186">
        <f t="shared" si="5"/>
        <v>3</v>
      </c>
      <c r="Q186" s="1">
        <f>IF(OR(O186=0,P186=0),0,MIN(O186,P186)*Mapping!$I$2/O186)</f>
        <v>5.000000000000001E-2</v>
      </c>
      <c r="R186" s="1">
        <f>IF(OR(O186=0,P186=0),0,MIN(O186,P186)*Mapping!$I$2/P186)</f>
        <v>5.000000000000001E-2</v>
      </c>
    </row>
    <row r="187" spans="1:18">
      <c r="A187" s="5">
        <v>44681</v>
      </c>
      <c r="B187" s="5">
        <v>44682</v>
      </c>
      <c r="C187">
        <v>1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-1</v>
      </c>
      <c r="L187">
        <v>-1</v>
      </c>
      <c r="M187">
        <v>0</v>
      </c>
      <c r="N187">
        <v>-1</v>
      </c>
      <c r="O187">
        <f t="shared" si="4"/>
        <v>3</v>
      </c>
      <c r="P187">
        <f t="shared" si="5"/>
        <v>3</v>
      </c>
      <c r="Q187" s="1">
        <f>IF(OR(O187=0,P187=0),0,MIN(O187,P187)*Mapping!$I$2/O187)</f>
        <v>5.000000000000001E-2</v>
      </c>
      <c r="R187" s="1">
        <f>IF(OR(O187=0,P187=0),0,MIN(O187,P187)*Mapping!$I$2/P187)</f>
        <v>5.000000000000001E-2</v>
      </c>
    </row>
    <row r="188" spans="1:18">
      <c r="A188" s="5">
        <v>44712</v>
      </c>
      <c r="B188" s="5">
        <v>44713</v>
      </c>
      <c r="C188">
        <v>1</v>
      </c>
      <c r="D188">
        <v>0</v>
      </c>
      <c r="E188">
        <v>0</v>
      </c>
      <c r="F188">
        <v>0</v>
      </c>
      <c r="G188">
        <v>-1</v>
      </c>
      <c r="H188">
        <v>0</v>
      </c>
      <c r="I188">
        <v>1</v>
      </c>
      <c r="J188">
        <v>1</v>
      </c>
      <c r="K188">
        <v>-1</v>
      </c>
      <c r="L188">
        <v>-1</v>
      </c>
      <c r="M188">
        <v>0</v>
      </c>
      <c r="N188">
        <v>0</v>
      </c>
      <c r="O188">
        <f t="shared" si="4"/>
        <v>3</v>
      </c>
      <c r="P188">
        <f t="shared" si="5"/>
        <v>3</v>
      </c>
      <c r="Q188" s="1">
        <f>IF(OR(O188=0,P188=0),0,MIN(O188,P188)*Mapping!$I$2/O188)</f>
        <v>5.000000000000001E-2</v>
      </c>
      <c r="R188" s="1">
        <f>IF(OR(O188=0,P188=0),0,MIN(O188,P188)*Mapping!$I$2/P188)</f>
        <v>5.000000000000001E-2</v>
      </c>
    </row>
    <row r="189" spans="1:18">
      <c r="A189" s="5">
        <v>44742</v>
      </c>
      <c r="B189" s="5">
        <v>44743</v>
      </c>
      <c r="C189">
        <v>0</v>
      </c>
      <c r="D189">
        <v>0</v>
      </c>
      <c r="E189">
        <v>1</v>
      </c>
      <c r="F189">
        <v>0</v>
      </c>
      <c r="G189">
        <v>-1</v>
      </c>
      <c r="H189">
        <v>0</v>
      </c>
      <c r="I189">
        <v>1</v>
      </c>
      <c r="J189">
        <v>1</v>
      </c>
      <c r="K189">
        <v>-1</v>
      </c>
      <c r="L189">
        <v>-1</v>
      </c>
      <c r="M189">
        <v>0</v>
      </c>
      <c r="N189">
        <v>0</v>
      </c>
      <c r="O189">
        <f t="shared" si="4"/>
        <v>3</v>
      </c>
      <c r="P189">
        <f t="shared" si="5"/>
        <v>3</v>
      </c>
      <c r="Q189" s="1">
        <f>IF(OR(O189=0,P189=0),0,MIN(O189,P189)*Mapping!$I$2/O189)</f>
        <v>5.000000000000001E-2</v>
      </c>
      <c r="R189" s="1">
        <f>IF(OR(O189=0,P189=0),0,MIN(O189,P189)*Mapping!$I$2/P189)</f>
        <v>5.000000000000001E-2</v>
      </c>
    </row>
    <row r="190" spans="1:18">
      <c r="A190" s="5">
        <v>44773</v>
      </c>
      <c r="B190" s="5">
        <v>44774</v>
      </c>
      <c r="C190">
        <v>1</v>
      </c>
      <c r="D190">
        <v>1</v>
      </c>
      <c r="E190">
        <v>-1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-1</v>
      </c>
      <c r="L190">
        <v>0</v>
      </c>
      <c r="M190">
        <v>0</v>
      </c>
      <c r="N190">
        <v>-1</v>
      </c>
      <c r="O190">
        <f t="shared" si="4"/>
        <v>3</v>
      </c>
      <c r="P190">
        <f t="shared" si="5"/>
        <v>3</v>
      </c>
      <c r="Q190" s="1">
        <f>IF(OR(O190=0,P190=0),0,MIN(O190,P190)*Mapping!$I$2/O190)</f>
        <v>5.000000000000001E-2</v>
      </c>
      <c r="R190" s="1">
        <f>IF(OR(O190=0,P190=0),0,MIN(O190,P190)*Mapping!$I$2/P190)</f>
        <v>5.000000000000001E-2</v>
      </c>
    </row>
    <row r="191" spans="1:18">
      <c r="A191" s="5">
        <v>44804</v>
      </c>
      <c r="B191" s="5">
        <v>44805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1</v>
      </c>
      <c r="J191">
        <v>-1</v>
      </c>
      <c r="K191">
        <v>-1</v>
      </c>
      <c r="L191">
        <v>0</v>
      </c>
      <c r="M191">
        <v>0</v>
      </c>
      <c r="N191">
        <v>-1</v>
      </c>
      <c r="O191">
        <f t="shared" si="4"/>
        <v>3</v>
      </c>
      <c r="P191">
        <f t="shared" si="5"/>
        <v>3</v>
      </c>
      <c r="Q191" s="1">
        <f>IF(OR(O191=0,P191=0),0,MIN(O191,P191)*Mapping!$I$2/O191)</f>
        <v>5.000000000000001E-2</v>
      </c>
      <c r="R191" s="1">
        <f>IF(OR(O191=0,P191=0),0,MIN(O191,P191)*Mapping!$I$2/P191)</f>
        <v>5.000000000000001E-2</v>
      </c>
    </row>
    <row r="192" spans="1:18">
      <c r="A192" s="5">
        <v>44834</v>
      </c>
      <c r="B192" s="5">
        <v>44835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-1</v>
      </c>
      <c r="L192">
        <v>-1</v>
      </c>
      <c r="M192">
        <v>0</v>
      </c>
      <c r="N192">
        <v>-1</v>
      </c>
      <c r="O192">
        <f t="shared" si="4"/>
        <v>3</v>
      </c>
      <c r="P192">
        <f t="shared" si="5"/>
        <v>3</v>
      </c>
      <c r="Q192" s="1">
        <f>IF(OR(O192=0,P192=0),0,MIN(O192,P192)*Mapping!$I$2/O192)</f>
        <v>5.000000000000001E-2</v>
      </c>
      <c r="R192" s="1">
        <f>IF(OR(O192=0,P192=0),0,MIN(O192,P192)*Mapping!$I$2/P192)</f>
        <v>5.000000000000001E-2</v>
      </c>
    </row>
    <row r="193" spans="1:18">
      <c r="A193" s="5">
        <v>44865</v>
      </c>
      <c r="B193" s="5">
        <v>44866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-1</v>
      </c>
      <c r="I193">
        <v>1</v>
      </c>
      <c r="J193">
        <v>0</v>
      </c>
      <c r="K193">
        <v>-1</v>
      </c>
      <c r="L193">
        <v>0</v>
      </c>
      <c r="M193">
        <v>0</v>
      </c>
      <c r="N193">
        <v>-1</v>
      </c>
      <c r="O193">
        <f t="shared" si="4"/>
        <v>3</v>
      </c>
      <c r="P193">
        <f t="shared" si="5"/>
        <v>3</v>
      </c>
      <c r="Q193" s="1">
        <f>IF(OR(O193=0,P193=0),0,MIN(O193,P193)*Mapping!$I$2/O193)</f>
        <v>5.000000000000001E-2</v>
      </c>
      <c r="R193" s="1">
        <f>IF(OR(O193=0,P193=0),0,MIN(O193,P193)*Mapping!$I$2/P193)</f>
        <v>5.000000000000001E-2</v>
      </c>
    </row>
    <row r="194" spans="1:18">
      <c r="A194" s="5">
        <v>44895</v>
      </c>
      <c r="B194" s="5">
        <v>44896</v>
      </c>
      <c r="C194">
        <v>-1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-1</v>
      </c>
      <c r="L194">
        <v>0</v>
      </c>
      <c r="M194">
        <v>0</v>
      </c>
      <c r="N194">
        <v>-1</v>
      </c>
      <c r="O194">
        <f t="shared" si="4"/>
        <v>3</v>
      </c>
      <c r="P194">
        <f t="shared" si="5"/>
        <v>3</v>
      </c>
      <c r="Q194" s="1">
        <f>IF(OR(O194=0,P194=0),0,MIN(O194,P194)*Mapping!$I$2/O194)</f>
        <v>5.000000000000001E-2</v>
      </c>
      <c r="R194" s="1">
        <f>IF(OR(O194=0,P194=0),0,MIN(O194,P194)*Mapping!$I$2/P194)</f>
        <v>5.000000000000001E-2</v>
      </c>
    </row>
    <row r="195" spans="1:18">
      <c r="A195" s="5">
        <v>44926</v>
      </c>
      <c r="B195" s="5">
        <v>44927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-1</v>
      </c>
      <c r="L195">
        <v>-1</v>
      </c>
      <c r="M195">
        <v>0</v>
      </c>
      <c r="N195">
        <v>-1</v>
      </c>
      <c r="O195">
        <f t="shared" ref="O195:O240" si="6">COUNTIF(C195:N195,1)</f>
        <v>3</v>
      </c>
      <c r="P195">
        <f t="shared" ref="P195:P240" si="7">COUNTIF(C195:N195,-1)</f>
        <v>3</v>
      </c>
      <c r="Q195" s="1">
        <f>IF(OR(O195=0,P195=0),0,MIN(O195,P195)*Mapping!$I$2/O195)</f>
        <v>5.000000000000001E-2</v>
      </c>
      <c r="R195" s="1">
        <f>IF(OR(O195=0,P195=0),0,MIN(O195,P195)*Mapping!$I$2/P195)</f>
        <v>5.000000000000001E-2</v>
      </c>
    </row>
    <row r="196" spans="1:18">
      <c r="A196" s="5">
        <v>44957</v>
      </c>
      <c r="B196" s="5">
        <v>44958</v>
      </c>
      <c r="C196">
        <v>-1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-1</v>
      </c>
      <c r="L196">
        <v>1</v>
      </c>
      <c r="M196">
        <v>0</v>
      </c>
      <c r="N196">
        <v>-1</v>
      </c>
      <c r="O196">
        <f t="shared" si="6"/>
        <v>3</v>
      </c>
      <c r="P196">
        <f t="shared" si="7"/>
        <v>3</v>
      </c>
      <c r="Q196" s="1">
        <f>IF(OR(O196=0,P196=0),0,MIN(O196,P196)*Mapping!$I$2/O196)</f>
        <v>5.000000000000001E-2</v>
      </c>
      <c r="R196" s="1">
        <f>IF(OR(O196=0,P196=0),0,MIN(O196,P196)*Mapping!$I$2/P196)</f>
        <v>5.000000000000001E-2</v>
      </c>
    </row>
    <row r="197" spans="1:18">
      <c r="A197" s="5">
        <v>44985</v>
      </c>
      <c r="B197" s="5">
        <v>44986</v>
      </c>
      <c r="C197">
        <v>0</v>
      </c>
      <c r="D197">
        <v>1</v>
      </c>
      <c r="E197">
        <v>1</v>
      </c>
      <c r="F197">
        <v>0</v>
      </c>
      <c r="G197">
        <v>-1</v>
      </c>
      <c r="H197">
        <v>0</v>
      </c>
      <c r="I197">
        <v>1</v>
      </c>
      <c r="J197">
        <v>0</v>
      </c>
      <c r="K197">
        <v>-1</v>
      </c>
      <c r="L197">
        <v>0</v>
      </c>
      <c r="M197">
        <v>0</v>
      </c>
      <c r="N197">
        <v>-1</v>
      </c>
      <c r="O197">
        <f t="shared" si="6"/>
        <v>3</v>
      </c>
      <c r="P197">
        <f t="shared" si="7"/>
        <v>3</v>
      </c>
      <c r="Q197" s="1">
        <f>IF(OR(O197=0,P197=0),0,MIN(O197,P197)*Mapping!$I$2/O197)</f>
        <v>5.000000000000001E-2</v>
      </c>
      <c r="R197" s="1">
        <f>IF(OR(O197=0,P197=0),0,MIN(O197,P197)*Mapping!$I$2/P197)</f>
        <v>5.000000000000001E-2</v>
      </c>
    </row>
    <row r="198" spans="1:18">
      <c r="A198" s="5">
        <v>45016</v>
      </c>
      <c r="B198" s="5">
        <v>45017</v>
      </c>
      <c r="C198">
        <v>1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-1</v>
      </c>
      <c r="K198">
        <v>-1</v>
      </c>
      <c r="L198">
        <v>0</v>
      </c>
      <c r="M198">
        <v>0</v>
      </c>
      <c r="N198">
        <v>-1</v>
      </c>
      <c r="O198">
        <f t="shared" si="6"/>
        <v>3</v>
      </c>
      <c r="P198">
        <f t="shared" si="7"/>
        <v>3</v>
      </c>
      <c r="Q198" s="1">
        <f>IF(OR(O198=0,P198=0),0,MIN(O198,P198)*Mapping!$I$2/O198)</f>
        <v>5.000000000000001E-2</v>
      </c>
      <c r="R198" s="1">
        <f>IF(OR(O198=0,P198=0),0,MIN(O198,P198)*Mapping!$I$2/P198)</f>
        <v>5.000000000000001E-2</v>
      </c>
    </row>
    <row r="199" spans="1:18">
      <c r="A199" s="5">
        <v>45046</v>
      </c>
      <c r="B199" s="5">
        <v>45047</v>
      </c>
      <c r="C199">
        <v>0</v>
      </c>
      <c r="D199">
        <v>1</v>
      </c>
      <c r="E199">
        <v>1</v>
      </c>
      <c r="F199">
        <v>-1</v>
      </c>
      <c r="G199">
        <v>0</v>
      </c>
      <c r="H199">
        <v>1</v>
      </c>
      <c r="I199">
        <v>0</v>
      </c>
      <c r="J199">
        <v>0</v>
      </c>
      <c r="K199">
        <v>-1</v>
      </c>
      <c r="L199">
        <v>0</v>
      </c>
      <c r="M199">
        <v>0</v>
      </c>
      <c r="N199">
        <v>-1</v>
      </c>
      <c r="O199">
        <f t="shared" si="6"/>
        <v>3</v>
      </c>
      <c r="P199">
        <f t="shared" si="7"/>
        <v>3</v>
      </c>
      <c r="Q199" s="1">
        <f>IF(OR(O199=0,P199=0),0,MIN(O199,P199)*Mapping!$I$2/O199)</f>
        <v>5.000000000000001E-2</v>
      </c>
      <c r="R199" s="1">
        <f>IF(OR(O199=0,P199=0),0,MIN(O199,P199)*Mapping!$I$2/P199)</f>
        <v>5.000000000000001E-2</v>
      </c>
    </row>
    <row r="200" spans="1:18">
      <c r="A200" s="5">
        <v>45077</v>
      </c>
      <c r="B200" s="5">
        <v>45078</v>
      </c>
      <c r="C200">
        <v>-1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-1</v>
      </c>
      <c r="L200">
        <v>0</v>
      </c>
      <c r="M200">
        <v>0</v>
      </c>
      <c r="N200">
        <v>-1</v>
      </c>
      <c r="O200">
        <f t="shared" si="6"/>
        <v>3</v>
      </c>
      <c r="P200">
        <f t="shared" si="7"/>
        <v>3</v>
      </c>
      <c r="Q200" s="1">
        <f>IF(OR(O200=0,P200=0),0,MIN(O200,P200)*Mapping!$I$2/O200)</f>
        <v>5.000000000000001E-2</v>
      </c>
      <c r="R200" s="1">
        <f>IF(OR(O200=0,P200=0),0,MIN(O200,P200)*Mapping!$I$2/P200)</f>
        <v>5.000000000000001E-2</v>
      </c>
    </row>
    <row r="201" spans="1:18">
      <c r="A201" s="5">
        <v>45107</v>
      </c>
      <c r="B201" s="5">
        <v>45108</v>
      </c>
      <c r="C201">
        <v>-1</v>
      </c>
      <c r="D201">
        <v>0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-1</v>
      </c>
      <c r="L201">
        <v>-1</v>
      </c>
      <c r="M201">
        <v>0</v>
      </c>
      <c r="N201">
        <v>0</v>
      </c>
      <c r="O201">
        <f t="shared" si="6"/>
        <v>3</v>
      </c>
      <c r="P201">
        <f t="shared" si="7"/>
        <v>3</v>
      </c>
      <c r="Q201" s="1">
        <f>IF(OR(O201=0,P201=0),0,MIN(O201,P201)*Mapping!$I$2/O201)</f>
        <v>5.000000000000001E-2</v>
      </c>
      <c r="R201" s="1">
        <f>IF(OR(O201=0,P201=0),0,MIN(O201,P201)*Mapping!$I$2/P201)</f>
        <v>5.000000000000001E-2</v>
      </c>
    </row>
    <row r="202" spans="1:18">
      <c r="A202" s="5">
        <v>45138</v>
      </c>
      <c r="B202" s="5">
        <v>45139</v>
      </c>
      <c r="C202">
        <v>-1</v>
      </c>
      <c r="D202">
        <v>1</v>
      </c>
      <c r="E202">
        <v>1</v>
      </c>
      <c r="F202">
        <v>-1</v>
      </c>
      <c r="G202">
        <v>0</v>
      </c>
      <c r="H202">
        <v>0</v>
      </c>
      <c r="I202">
        <v>0</v>
      </c>
      <c r="J202">
        <v>1</v>
      </c>
      <c r="K202">
        <v>-1</v>
      </c>
      <c r="L202">
        <v>0</v>
      </c>
      <c r="M202">
        <v>0</v>
      </c>
      <c r="N202">
        <v>0</v>
      </c>
      <c r="O202">
        <f t="shared" si="6"/>
        <v>3</v>
      </c>
      <c r="P202">
        <f t="shared" si="7"/>
        <v>3</v>
      </c>
      <c r="Q202" s="1">
        <f>IF(OR(O202=0,P202=0),0,MIN(O202,P202)*Mapping!$I$2/O202)</f>
        <v>5.000000000000001E-2</v>
      </c>
      <c r="R202" s="1">
        <f>IF(OR(O202=0,P202=0),0,MIN(O202,P202)*Mapping!$I$2/P202)</f>
        <v>5.000000000000001E-2</v>
      </c>
    </row>
    <row r="203" spans="1:18">
      <c r="A203" s="5">
        <v>45169</v>
      </c>
      <c r="B203" s="5">
        <v>45170</v>
      </c>
      <c r="C203">
        <v>-1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-1</v>
      </c>
      <c r="L203">
        <v>-1</v>
      </c>
      <c r="M203">
        <v>0</v>
      </c>
      <c r="N203">
        <v>0</v>
      </c>
      <c r="O203">
        <f t="shared" si="6"/>
        <v>3</v>
      </c>
      <c r="P203">
        <f t="shared" si="7"/>
        <v>3</v>
      </c>
      <c r="Q203" s="1">
        <f>IF(OR(O203=0,P203=0),0,MIN(O203,P203)*Mapping!$I$2/O203)</f>
        <v>5.000000000000001E-2</v>
      </c>
      <c r="R203" s="1">
        <f>IF(OR(O203=0,P203=0),0,MIN(O203,P203)*Mapping!$I$2/P203)</f>
        <v>5.000000000000001E-2</v>
      </c>
    </row>
    <row r="204" spans="1:18">
      <c r="A204" s="5">
        <v>45199</v>
      </c>
      <c r="B204" s="5">
        <v>45200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-1</v>
      </c>
      <c r="L204">
        <v>-1</v>
      </c>
      <c r="M204">
        <v>0</v>
      </c>
      <c r="N204">
        <v>-1</v>
      </c>
      <c r="O204">
        <f t="shared" si="6"/>
        <v>3</v>
      </c>
      <c r="P204">
        <f t="shared" si="7"/>
        <v>3</v>
      </c>
      <c r="Q204" s="1">
        <f>IF(OR(O204=0,P204=0),0,MIN(O204,P204)*Mapping!$I$2/O204)</f>
        <v>5.000000000000001E-2</v>
      </c>
      <c r="R204" s="1">
        <f>IF(OR(O204=0,P204=0),0,MIN(O204,P204)*Mapping!$I$2/P204)</f>
        <v>5.000000000000001E-2</v>
      </c>
    </row>
    <row r="205" spans="1:18">
      <c r="A205" s="5">
        <v>45230</v>
      </c>
      <c r="B205" s="5">
        <v>45231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-1</v>
      </c>
      <c r="L205">
        <v>-1</v>
      </c>
      <c r="M205">
        <v>0</v>
      </c>
      <c r="N205">
        <v>-1</v>
      </c>
      <c r="O205">
        <f t="shared" si="6"/>
        <v>3</v>
      </c>
      <c r="P205">
        <f t="shared" si="7"/>
        <v>3</v>
      </c>
      <c r="Q205" s="1">
        <f>IF(OR(O205=0,P205=0),0,MIN(O205,P205)*Mapping!$I$2/O205)</f>
        <v>5.000000000000001E-2</v>
      </c>
      <c r="R205" s="1">
        <f>IF(OR(O205=0,P205=0),0,MIN(O205,P205)*Mapping!$I$2/P205)</f>
        <v>5.000000000000001E-2</v>
      </c>
    </row>
    <row r="206" spans="1:18">
      <c r="A206" s="5">
        <v>45260</v>
      </c>
      <c r="B206" s="5">
        <v>45261</v>
      </c>
      <c r="C206">
        <v>-1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1</v>
      </c>
      <c r="K206">
        <v>-1</v>
      </c>
      <c r="L206">
        <v>-1</v>
      </c>
      <c r="M206">
        <v>0</v>
      </c>
      <c r="N206">
        <v>0</v>
      </c>
      <c r="O206">
        <f t="shared" si="6"/>
        <v>3</v>
      </c>
      <c r="P206">
        <f t="shared" si="7"/>
        <v>3</v>
      </c>
      <c r="Q206" s="1">
        <f>IF(OR(O206=0,P206=0),0,MIN(O206,P206)*Mapping!$I$2/O206)</f>
        <v>5.000000000000001E-2</v>
      </c>
      <c r="R206" s="1">
        <f>IF(OR(O206=0,P206=0),0,MIN(O206,P206)*Mapping!$I$2/P206)</f>
        <v>5.000000000000001E-2</v>
      </c>
    </row>
    <row r="207" spans="1:18">
      <c r="A207" s="5">
        <v>45291</v>
      </c>
      <c r="B207" s="5">
        <v>45292</v>
      </c>
      <c r="C207">
        <v>-1</v>
      </c>
      <c r="D207">
        <v>0</v>
      </c>
      <c r="E207">
        <v>1</v>
      </c>
      <c r="F207">
        <v>1</v>
      </c>
      <c r="G207">
        <v>0</v>
      </c>
      <c r="H207">
        <v>-1</v>
      </c>
      <c r="I207">
        <v>0</v>
      </c>
      <c r="J207">
        <v>1</v>
      </c>
      <c r="K207">
        <v>0</v>
      </c>
      <c r="L207">
        <v>-1</v>
      </c>
      <c r="M207">
        <v>0</v>
      </c>
      <c r="N207">
        <v>0</v>
      </c>
      <c r="O207">
        <f t="shared" si="6"/>
        <v>3</v>
      </c>
      <c r="P207">
        <f t="shared" si="7"/>
        <v>3</v>
      </c>
      <c r="Q207" s="1">
        <f>IF(OR(O207=0,P207=0),0,MIN(O207,P207)*Mapping!$I$2/O207)</f>
        <v>5.000000000000001E-2</v>
      </c>
      <c r="R207" s="1">
        <f>IF(OR(O207=0,P207=0),0,MIN(O207,P207)*Mapping!$I$2/P207)</f>
        <v>5.000000000000001E-2</v>
      </c>
    </row>
    <row r="208" spans="1:18">
      <c r="A208" s="5">
        <v>45322</v>
      </c>
      <c r="B208" s="5">
        <v>45323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-1</v>
      </c>
      <c r="L208">
        <v>-1</v>
      </c>
      <c r="M208">
        <v>0</v>
      </c>
      <c r="N208">
        <v>-1</v>
      </c>
      <c r="O208">
        <f t="shared" si="6"/>
        <v>3</v>
      </c>
      <c r="P208">
        <f t="shared" si="7"/>
        <v>3</v>
      </c>
      <c r="Q208" s="1">
        <f>IF(OR(O208=0,P208=0),0,MIN(O208,P208)*Mapping!$I$2/O208)</f>
        <v>5.000000000000001E-2</v>
      </c>
      <c r="R208" s="1">
        <f>IF(OR(O208=0,P208=0),0,MIN(O208,P208)*Mapping!$I$2/P208)</f>
        <v>5.000000000000001E-2</v>
      </c>
    </row>
    <row r="209" spans="1:18">
      <c r="A209" s="5">
        <v>45351</v>
      </c>
      <c r="B209" s="5">
        <v>45352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-1</v>
      </c>
      <c r="I209">
        <v>0</v>
      </c>
      <c r="J209">
        <v>1</v>
      </c>
      <c r="K209">
        <v>-1</v>
      </c>
      <c r="L209">
        <v>-1</v>
      </c>
      <c r="M209">
        <v>0</v>
      </c>
      <c r="N209">
        <v>0</v>
      </c>
      <c r="O209">
        <f t="shared" si="6"/>
        <v>3</v>
      </c>
      <c r="P209">
        <f t="shared" si="7"/>
        <v>3</v>
      </c>
      <c r="Q209" s="1">
        <f>IF(OR(O209=0,P209=0),0,MIN(O209,P209)*Mapping!$I$2/O209)</f>
        <v>5.000000000000001E-2</v>
      </c>
      <c r="R209" s="1">
        <f>IF(OR(O209=0,P209=0),0,MIN(O209,P209)*Mapping!$I$2/P209)</f>
        <v>5.000000000000001E-2</v>
      </c>
    </row>
    <row r="210" spans="1:18">
      <c r="A210" s="5">
        <v>45382</v>
      </c>
      <c r="B210" s="5">
        <v>45383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-1</v>
      </c>
      <c r="I210">
        <v>0</v>
      </c>
      <c r="J210">
        <v>1</v>
      </c>
      <c r="K210">
        <v>-1</v>
      </c>
      <c r="L210">
        <v>-1</v>
      </c>
      <c r="M210">
        <v>0</v>
      </c>
      <c r="N210">
        <v>0</v>
      </c>
      <c r="O210">
        <f t="shared" si="6"/>
        <v>3</v>
      </c>
      <c r="P210">
        <f t="shared" si="7"/>
        <v>3</v>
      </c>
      <c r="Q210" s="1">
        <f>IF(OR(O210=0,P210=0),0,MIN(O210,P210)*Mapping!$I$2/O210)</f>
        <v>5.000000000000001E-2</v>
      </c>
      <c r="R210" s="1">
        <f>IF(OR(O210=0,P210=0),0,MIN(O210,P210)*Mapping!$I$2/P210)</f>
        <v>5.000000000000001E-2</v>
      </c>
    </row>
    <row r="211" spans="1:18">
      <c r="A211" s="5">
        <v>45412</v>
      </c>
      <c r="B211" s="5">
        <v>45413</v>
      </c>
      <c r="C211">
        <v>-1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1</v>
      </c>
      <c r="J211">
        <v>0</v>
      </c>
      <c r="K211">
        <v>-1</v>
      </c>
      <c r="L211">
        <v>0</v>
      </c>
      <c r="M211">
        <v>0</v>
      </c>
      <c r="N211">
        <v>0</v>
      </c>
      <c r="O211">
        <f t="shared" si="6"/>
        <v>3</v>
      </c>
      <c r="P211">
        <f t="shared" si="7"/>
        <v>3</v>
      </c>
      <c r="Q211" s="1">
        <f>IF(OR(O211=0,P211=0),0,MIN(O211,P211)*Mapping!$I$2/O211)</f>
        <v>5.000000000000001E-2</v>
      </c>
      <c r="R211" s="1">
        <f>IF(OR(O211=0,P211=0),0,MIN(O211,P211)*Mapping!$I$2/P211)</f>
        <v>5.000000000000001E-2</v>
      </c>
    </row>
    <row r="212" spans="1:18">
      <c r="A212" s="5">
        <v>45443</v>
      </c>
      <c r="B212" s="5">
        <v>45444</v>
      </c>
      <c r="C212">
        <v>0</v>
      </c>
      <c r="D212">
        <v>0</v>
      </c>
      <c r="E212">
        <v>1</v>
      </c>
      <c r="F212">
        <v>1</v>
      </c>
      <c r="G212">
        <v>-1</v>
      </c>
      <c r="H212">
        <v>0</v>
      </c>
      <c r="I212">
        <v>0</v>
      </c>
      <c r="J212">
        <v>1</v>
      </c>
      <c r="K212">
        <v>-1</v>
      </c>
      <c r="L212">
        <v>-1</v>
      </c>
      <c r="M212">
        <v>0</v>
      </c>
      <c r="N212">
        <v>0</v>
      </c>
      <c r="O212">
        <f t="shared" si="6"/>
        <v>3</v>
      </c>
      <c r="P212">
        <f t="shared" si="7"/>
        <v>3</v>
      </c>
      <c r="Q212" s="1">
        <f>IF(OR(O212=0,P212=0),0,MIN(O212,P212)*Mapping!$I$2/O212)</f>
        <v>5.000000000000001E-2</v>
      </c>
      <c r="R212" s="1">
        <f>IF(OR(O212=0,P212=0),0,MIN(O212,P212)*Mapping!$I$2/P212)</f>
        <v>5.000000000000001E-2</v>
      </c>
    </row>
    <row r="213" spans="1:18">
      <c r="A213" s="5">
        <v>45473</v>
      </c>
      <c r="B213" s="5">
        <v>45474</v>
      </c>
      <c r="C213">
        <v>0</v>
      </c>
      <c r="D213">
        <v>-1</v>
      </c>
      <c r="E213">
        <v>0</v>
      </c>
      <c r="F213">
        <v>0</v>
      </c>
      <c r="G213">
        <v>-1</v>
      </c>
      <c r="H213">
        <v>0</v>
      </c>
      <c r="I213">
        <v>1</v>
      </c>
      <c r="J213">
        <v>1</v>
      </c>
      <c r="K213">
        <v>-1</v>
      </c>
      <c r="L213">
        <v>1</v>
      </c>
      <c r="M213">
        <v>0</v>
      </c>
      <c r="N213">
        <v>0</v>
      </c>
      <c r="O213">
        <f t="shared" si="6"/>
        <v>3</v>
      </c>
      <c r="P213">
        <f t="shared" si="7"/>
        <v>3</v>
      </c>
      <c r="Q213" s="1">
        <f>IF(OR(O213=0,P213=0),0,MIN(O213,P213)*Mapping!$I$2/O213)</f>
        <v>5.000000000000001E-2</v>
      </c>
      <c r="R213" s="1">
        <f>IF(OR(O213=0,P213=0),0,MIN(O213,P213)*Mapping!$I$2/P213)</f>
        <v>5.000000000000001E-2</v>
      </c>
    </row>
    <row r="214" spans="1:18">
      <c r="A214" s="5">
        <v>45504</v>
      </c>
      <c r="B214" s="5">
        <v>45505</v>
      </c>
      <c r="C214">
        <v>-1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1</v>
      </c>
      <c r="K214">
        <v>-1</v>
      </c>
      <c r="L214">
        <v>-1</v>
      </c>
      <c r="M214">
        <v>0</v>
      </c>
      <c r="N214">
        <v>0</v>
      </c>
      <c r="O214">
        <f t="shared" si="6"/>
        <v>3</v>
      </c>
      <c r="P214">
        <f t="shared" si="7"/>
        <v>3</v>
      </c>
      <c r="Q214" s="1">
        <f>IF(OR(O214=0,P214=0),0,MIN(O214,P214)*Mapping!$I$2/O214)</f>
        <v>5.000000000000001E-2</v>
      </c>
      <c r="R214" s="1">
        <f>IF(OR(O214=0,P214=0),0,MIN(O214,P214)*Mapping!$I$2/P214)</f>
        <v>5.000000000000001E-2</v>
      </c>
    </row>
    <row r="215" spans="1:18">
      <c r="A215" s="5">
        <v>45535</v>
      </c>
      <c r="B215" s="5">
        <v>45536</v>
      </c>
      <c r="C215">
        <v>0</v>
      </c>
      <c r="D215">
        <v>-1</v>
      </c>
      <c r="E215">
        <v>1</v>
      </c>
      <c r="F215">
        <v>1</v>
      </c>
      <c r="G215">
        <v>-1</v>
      </c>
      <c r="H215">
        <v>0</v>
      </c>
      <c r="I215">
        <v>0</v>
      </c>
      <c r="J215">
        <v>1</v>
      </c>
      <c r="K215">
        <v>-1</v>
      </c>
      <c r="L215">
        <v>0</v>
      </c>
      <c r="M215">
        <v>0</v>
      </c>
      <c r="N215">
        <v>0</v>
      </c>
      <c r="O215">
        <f t="shared" si="6"/>
        <v>3</v>
      </c>
      <c r="P215">
        <f t="shared" si="7"/>
        <v>3</v>
      </c>
      <c r="Q215" s="1">
        <f>IF(OR(O215=0,P215=0),0,MIN(O215,P215)*Mapping!$I$2/O215)</f>
        <v>5.000000000000001E-2</v>
      </c>
      <c r="R215" s="1">
        <f>IF(OR(O215=0,P215=0),0,MIN(O215,P215)*Mapping!$I$2/P215)</f>
        <v>5.000000000000001E-2</v>
      </c>
    </row>
    <row r="216" spans="1:18">
      <c r="A216" s="5">
        <v>45565</v>
      </c>
      <c r="B216" s="5">
        <v>45566</v>
      </c>
      <c r="C216">
        <v>-1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-1</v>
      </c>
      <c r="L216">
        <v>-1</v>
      </c>
      <c r="M216">
        <v>0</v>
      </c>
      <c r="N216">
        <v>0</v>
      </c>
      <c r="O216">
        <f t="shared" si="6"/>
        <v>3</v>
      </c>
      <c r="P216">
        <f t="shared" si="7"/>
        <v>3</v>
      </c>
      <c r="Q216" s="1">
        <f>IF(OR(O216=0,P216=0),0,MIN(O216,P216)*Mapping!$I$2/O216)</f>
        <v>5.000000000000001E-2</v>
      </c>
      <c r="R216" s="1">
        <f>IF(OR(O216=0,P216=0),0,MIN(O216,P216)*Mapping!$I$2/P216)</f>
        <v>5.000000000000001E-2</v>
      </c>
    </row>
    <row r="217" spans="1:18">
      <c r="A217" s="5">
        <v>45596</v>
      </c>
      <c r="B217" s="5">
        <v>45597</v>
      </c>
      <c r="C217">
        <v>-1</v>
      </c>
      <c r="D217">
        <v>0</v>
      </c>
      <c r="E217">
        <v>0</v>
      </c>
      <c r="F217">
        <v>1</v>
      </c>
      <c r="G217">
        <v>-1</v>
      </c>
      <c r="H217">
        <v>0</v>
      </c>
      <c r="I217">
        <v>1</v>
      </c>
      <c r="J217">
        <v>1</v>
      </c>
      <c r="K217">
        <v>0</v>
      </c>
      <c r="L217">
        <v>-1</v>
      </c>
      <c r="M217">
        <v>0</v>
      </c>
      <c r="N217">
        <v>0</v>
      </c>
      <c r="O217">
        <f t="shared" si="6"/>
        <v>3</v>
      </c>
      <c r="P217">
        <f t="shared" si="7"/>
        <v>3</v>
      </c>
      <c r="Q217" s="1">
        <f>IF(OR(O217=0,P217=0),0,MIN(O217,P217)*Mapping!$I$2/O217)</f>
        <v>5.000000000000001E-2</v>
      </c>
      <c r="R217" s="1">
        <f>IF(OR(O217=0,P217=0),0,MIN(O217,P217)*Mapping!$I$2/P217)</f>
        <v>5.000000000000001E-2</v>
      </c>
    </row>
    <row r="218" spans="1:18">
      <c r="A218" s="5">
        <v>45626</v>
      </c>
      <c r="B218" s="5">
        <v>45627</v>
      </c>
      <c r="C218">
        <v>0</v>
      </c>
      <c r="D218">
        <v>-1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-1</v>
      </c>
      <c r="M218">
        <v>0</v>
      </c>
      <c r="N218">
        <v>-1</v>
      </c>
      <c r="O218">
        <f t="shared" si="6"/>
        <v>3</v>
      </c>
      <c r="P218">
        <f t="shared" si="7"/>
        <v>3</v>
      </c>
      <c r="Q218" s="1">
        <f>IF(OR(O218=0,P218=0),0,MIN(O218,P218)*Mapping!$I$2/O218)</f>
        <v>5.000000000000001E-2</v>
      </c>
      <c r="R218" s="1">
        <f>IF(OR(O218=0,P218=0),0,MIN(O218,P218)*Mapping!$I$2/P218)</f>
        <v>5.000000000000001E-2</v>
      </c>
    </row>
    <row r="219" spans="1:18">
      <c r="A219" s="5">
        <v>45657</v>
      </c>
      <c r="B219" s="5">
        <v>45658</v>
      </c>
      <c r="C219">
        <v>-1</v>
      </c>
      <c r="D219">
        <v>-1</v>
      </c>
      <c r="E219">
        <v>1</v>
      </c>
      <c r="F219">
        <v>0</v>
      </c>
      <c r="G219">
        <v>1</v>
      </c>
      <c r="H219">
        <v>-1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f t="shared" si="6"/>
        <v>3</v>
      </c>
      <c r="P219">
        <f t="shared" si="7"/>
        <v>3</v>
      </c>
      <c r="Q219" s="1">
        <f>IF(OR(O219=0,P219=0),0,MIN(O219,P219)*Mapping!$I$2/O219)</f>
        <v>5.000000000000001E-2</v>
      </c>
      <c r="R219" s="1">
        <f>IF(OR(O219=0,P219=0),0,MIN(O219,P219)*Mapping!$I$2/P219)</f>
        <v>5.000000000000001E-2</v>
      </c>
    </row>
    <row r="220" spans="1:18">
      <c r="A220" s="5">
        <v>45688</v>
      </c>
      <c r="B220" s="5">
        <v>45689</v>
      </c>
      <c r="C220">
        <v>-1</v>
      </c>
      <c r="D220">
        <v>-1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-1</v>
      </c>
      <c r="M220">
        <v>0</v>
      </c>
      <c r="N220">
        <v>0</v>
      </c>
      <c r="O220">
        <f t="shared" si="6"/>
        <v>3</v>
      </c>
      <c r="P220">
        <f t="shared" si="7"/>
        <v>3</v>
      </c>
      <c r="Q220" s="1">
        <f>IF(OR(O220=0,P220=0),0,MIN(O220,P220)*Mapping!$I$2/O220)</f>
        <v>5.000000000000001E-2</v>
      </c>
      <c r="R220" s="1">
        <f>IF(OR(O220=0,P220=0),0,MIN(O220,P220)*Mapping!$I$2/P220)</f>
        <v>5.000000000000001E-2</v>
      </c>
    </row>
    <row r="221" spans="1:18">
      <c r="A221" s="5">
        <v>45716</v>
      </c>
      <c r="B221" s="5">
        <v>45717</v>
      </c>
      <c r="C221">
        <v>-1</v>
      </c>
      <c r="D221">
        <v>-1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-1</v>
      </c>
      <c r="M221">
        <v>0</v>
      </c>
      <c r="N221">
        <v>0</v>
      </c>
      <c r="O221">
        <f t="shared" si="6"/>
        <v>3</v>
      </c>
      <c r="P221">
        <f t="shared" si="7"/>
        <v>3</v>
      </c>
      <c r="Q221" s="1">
        <f>IF(OR(O221=0,P221=0),0,MIN(O221,P221)*Mapping!$I$2/O221)</f>
        <v>5.000000000000001E-2</v>
      </c>
      <c r="R221" s="1">
        <f>IF(OR(O221=0,P221=0),0,MIN(O221,P221)*Mapping!$I$2/P221)</f>
        <v>5.000000000000001E-2</v>
      </c>
    </row>
    <row r="222" spans="1:18">
      <c r="A222" s="5">
        <v>45747</v>
      </c>
      <c r="B222" s="5">
        <v>45748</v>
      </c>
      <c r="C222">
        <v>-1</v>
      </c>
      <c r="D222">
        <v>-1</v>
      </c>
      <c r="E222">
        <v>-1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0</v>
      </c>
      <c r="O222">
        <f t="shared" si="6"/>
        <v>3</v>
      </c>
      <c r="P222">
        <f t="shared" si="7"/>
        <v>3</v>
      </c>
      <c r="Q222" s="1">
        <f>IF(OR(O222=0,P222=0),0,MIN(O222,P222)*Mapping!$I$2/O222)</f>
        <v>5.000000000000001E-2</v>
      </c>
      <c r="R222" s="1">
        <f>IF(OR(O222=0,P222=0),0,MIN(O222,P222)*Mapping!$I$2/P222)</f>
        <v>5.000000000000001E-2</v>
      </c>
    </row>
    <row r="223" spans="1:18">
      <c r="A223" s="5">
        <v>45777</v>
      </c>
      <c r="B223" s="5">
        <v>45778</v>
      </c>
      <c r="C223">
        <v>-1</v>
      </c>
      <c r="D223">
        <v>-1</v>
      </c>
      <c r="E223">
        <v>0</v>
      </c>
      <c r="F223">
        <v>0</v>
      </c>
      <c r="G223">
        <v>0</v>
      </c>
      <c r="H223">
        <v>1</v>
      </c>
      <c r="I223">
        <v>-1</v>
      </c>
      <c r="J223">
        <v>1</v>
      </c>
      <c r="K223">
        <v>1</v>
      </c>
      <c r="L223">
        <v>0</v>
      </c>
      <c r="M223">
        <v>0</v>
      </c>
      <c r="N223">
        <v>0</v>
      </c>
      <c r="O223">
        <f t="shared" si="6"/>
        <v>3</v>
      </c>
      <c r="P223">
        <f t="shared" si="7"/>
        <v>3</v>
      </c>
      <c r="Q223" s="1">
        <f>IF(OR(O223=0,P223=0),0,MIN(O223,P223)*Mapping!$I$2/O223)</f>
        <v>5.000000000000001E-2</v>
      </c>
      <c r="R223" s="1">
        <f>IF(OR(O223=0,P223=0),0,MIN(O223,P223)*Mapping!$I$2/P223)</f>
        <v>5.000000000000001E-2</v>
      </c>
    </row>
    <row r="224" spans="1:18">
      <c r="A224" s="5">
        <v>45808</v>
      </c>
      <c r="B224" s="5">
        <v>45809</v>
      </c>
      <c r="C224">
        <v>0</v>
      </c>
      <c r="D224">
        <v>-1</v>
      </c>
      <c r="E224">
        <v>-1</v>
      </c>
      <c r="F224">
        <v>0</v>
      </c>
      <c r="G224">
        <v>0</v>
      </c>
      <c r="H224">
        <v>-1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1</v>
      </c>
      <c r="O224">
        <f t="shared" si="6"/>
        <v>3</v>
      </c>
      <c r="P224">
        <f t="shared" si="7"/>
        <v>3</v>
      </c>
      <c r="Q224" s="1">
        <f>IF(OR(O224=0,P224=0),0,MIN(O224,P224)*Mapping!$I$2/O224)</f>
        <v>5.000000000000001E-2</v>
      </c>
      <c r="R224" s="1">
        <f>IF(OR(O224=0,P224=0),0,MIN(O224,P224)*Mapping!$I$2/P224)</f>
        <v>5.000000000000001E-2</v>
      </c>
    </row>
    <row r="225" spans="1:18">
      <c r="A225" s="5">
        <v>45838</v>
      </c>
      <c r="B225" s="5">
        <v>45839</v>
      </c>
      <c r="C225">
        <v>0</v>
      </c>
      <c r="D225">
        <v>-1</v>
      </c>
      <c r="E225">
        <v>0</v>
      </c>
      <c r="F225">
        <v>1</v>
      </c>
      <c r="G225">
        <v>0</v>
      </c>
      <c r="H225">
        <v>0</v>
      </c>
      <c r="I225">
        <v>-1</v>
      </c>
      <c r="J225">
        <v>-1</v>
      </c>
      <c r="K225">
        <v>1</v>
      </c>
      <c r="L225">
        <v>0</v>
      </c>
      <c r="M225">
        <v>0</v>
      </c>
      <c r="N225">
        <v>1</v>
      </c>
      <c r="O225">
        <f t="shared" si="6"/>
        <v>3</v>
      </c>
      <c r="P225">
        <f t="shared" si="7"/>
        <v>3</v>
      </c>
      <c r="Q225" s="1">
        <f>IF(OR(O225=0,P225=0),0,MIN(O225,P225)*Mapping!$I$2/O225)</f>
        <v>5.000000000000001E-2</v>
      </c>
      <c r="R225" s="1">
        <f>IF(OR(O225=0,P225=0),0,MIN(O225,P225)*Mapping!$I$2/P225)</f>
        <v>5.000000000000001E-2</v>
      </c>
    </row>
    <row r="226" spans="1:18">
      <c r="A226" s="5">
        <v>45869</v>
      </c>
      <c r="B226" s="5">
        <v>45870</v>
      </c>
      <c r="C226">
        <v>0</v>
      </c>
      <c r="D226">
        <v>0</v>
      </c>
      <c r="E226">
        <v>-1</v>
      </c>
      <c r="F226">
        <v>1</v>
      </c>
      <c r="G226">
        <v>0</v>
      </c>
      <c r="H226">
        <v>0</v>
      </c>
      <c r="I226">
        <v>-1</v>
      </c>
      <c r="J226">
        <v>1</v>
      </c>
      <c r="K226">
        <v>1</v>
      </c>
      <c r="L226">
        <v>-1</v>
      </c>
      <c r="M226">
        <v>0</v>
      </c>
      <c r="N226">
        <v>0</v>
      </c>
      <c r="O226">
        <f t="shared" si="6"/>
        <v>3</v>
      </c>
      <c r="P226">
        <f t="shared" si="7"/>
        <v>3</v>
      </c>
      <c r="Q226" s="1">
        <f>IF(OR(O226=0,P226=0),0,MIN(O226,P226)*Mapping!$I$2/O226)</f>
        <v>5.000000000000001E-2</v>
      </c>
      <c r="R226" s="1">
        <f>IF(OR(O226=0,P226=0),0,MIN(O226,P226)*Mapping!$I$2/P226)</f>
        <v>5.000000000000001E-2</v>
      </c>
    </row>
    <row r="227" spans="1:18">
      <c r="A227" s="5">
        <v>45900</v>
      </c>
      <c r="B227" s="5">
        <v>45901</v>
      </c>
      <c r="C227">
        <v>-1</v>
      </c>
      <c r="D227">
        <v>-1</v>
      </c>
      <c r="E227">
        <v>0</v>
      </c>
      <c r="F227">
        <v>1</v>
      </c>
      <c r="G227">
        <v>0</v>
      </c>
      <c r="H227">
        <v>0</v>
      </c>
      <c r="I227">
        <v>-1</v>
      </c>
      <c r="J227">
        <v>1</v>
      </c>
      <c r="K227">
        <v>0</v>
      </c>
      <c r="L227">
        <v>0</v>
      </c>
      <c r="M227">
        <v>0</v>
      </c>
      <c r="N227">
        <v>1</v>
      </c>
      <c r="O227">
        <f t="shared" si="6"/>
        <v>3</v>
      </c>
      <c r="P227">
        <f t="shared" si="7"/>
        <v>3</v>
      </c>
      <c r="Q227" s="1">
        <f>IF(OR(O227=0,P227=0),0,MIN(O227,P227)*Mapping!$I$2/O227)</f>
        <v>5.000000000000001E-2</v>
      </c>
      <c r="R227" s="1">
        <f>IF(OR(O227=0,P227=0),0,MIN(O227,P227)*Mapping!$I$2/P227)</f>
        <v>5.000000000000001E-2</v>
      </c>
    </row>
    <row r="228" spans="1:18">
      <c r="A228" s="5">
        <v>45930</v>
      </c>
      <c r="B228" s="5">
        <v>45931</v>
      </c>
      <c r="C228">
        <v>0</v>
      </c>
      <c r="D228">
        <v>1</v>
      </c>
      <c r="E228">
        <v>0</v>
      </c>
      <c r="F228">
        <v>1</v>
      </c>
      <c r="G228">
        <v>-1</v>
      </c>
      <c r="H228">
        <v>0</v>
      </c>
      <c r="I228">
        <v>-1</v>
      </c>
      <c r="J228">
        <v>1</v>
      </c>
      <c r="K228">
        <v>0</v>
      </c>
      <c r="L228">
        <v>-1</v>
      </c>
      <c r="M228">
        <v>0</v>
      </c>
      <c r="N228">
        <v>0</v>
      </c>
      <c r="O228">
        <f t="shared" si="6"/>
        <v>3</v>
      </c>
      <c r="P228">
        <f t="shared" si="7"/>
        <v>3</v>
      </c>
      <c r="Q228" s="1">
        <f>IF(OR(O228=0,P228=0),0,MIN(O228,P228)*Mapping!$I$2/O228)</f>
        <v>5.000000000000001E-2</v>
      </c>
      <c r="R228" s="1">
        <f>IF(OR(O228=0,P228=0),0,MIN(O228,P228)*Mapping!$I$2/P228)</f>
        <v>5.000000000000001E-2</v>
      </c>
    </row>
    <row r="229" spans="1:18">
      <c r="A229" s="5">
        <v>45961</v>
      </c>
      <c r="B229" s="5">
        <v>45962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-1</v>
      </c>
      <c r="I229">
        <v>-1</v>
      </c>
      <c r="J229">
        <v>1</v>
      </c>
      <c r="K229">
        <v>-1</v>
      </c>
      <c r="L229">
        <v>0</v>
      </c>
      <c r="M229">
        <v>0</v>
      </c>
      <c r="N229">
        <v>0</v>
      </c>
      <c r="O229">
        <f t="shared" si="6"/>
        <v>3</v>
      </c>
      <c r="P229">
        <f t="shared" si="7"/>
        <v>3</v>
      </c>
      <c r="Q229" s="1">
        <f>IF(OR(O229=0,P229=0),0,MIN(O229,P229)*Mapping!$I$2/O229)</f>
        <v>5.000000000000001E-2</v>
      </c>
      <c r="R229" s="1">
        <f>IF(OR(O229=0,P229=0),0,MIN(O229,P229)*Mapping!$I$2/P229)</f>
        <v>5.000000000000001E-2</v>
      </c>
    </row>
    <row r="230" spans="1:18">
      <c r="A230" s="5">
        <v>45991</v>
      </c>
      <c r="B230" s="5">
        <v>45992</v>
      </c>
      <c r="C230">
        <v>-1</v>
      </c>
      <c r="D230">
        <v>-1</v>
      </c>
      <c r="E230">
        <v>1</v>
      </c>
      <c r="F230">
        <v>1</v>
      </c>
      <c r="G230">
        <v>0</v>
      </c>
      <c r="H230">
        <v>-1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f t="shared" si="6"/>
        <v>3</v>
      </c>
      <c r="P230">
        <f t="shared" si="7"/>
        <v>3</v>
      </c>
      <c r="Q230" s="1">
        <f>IF(OR(O230=0,P230=0),0,MIN(O230,P230)*Mapping!$I$2/O230)</f>
        <v>5.000000000000001E-2</v>
      </c>
      <c r="R230" s="1">
        <f>IF(OR(O230=0,P230=0),0,MIN(O230,P230)*Mapping!$I$2/P230)</f>
        <v>5.000000000000001E-2</v>
      </c>
    </row>
    <row r="231" spans="1:18">
      <c r="A231" s="5">
        <v>46022</v>
      </c>
      <c r="B231" s="5">
        <v>46023</v>
      </c>
      <c r="C231">
        <v>-1</v>
      </c>
      <c r="D231">
        <v>0</v>
      </c>
      <c r="E231">
        <v>1</v>
      </c>
      <c r="F231">
        <v>1</v>
      </c>
      <c r="G231">
        <v>0</v>
      </c>
      <c r="H231">
        <v>-1</v>
      </c>
      <c r="I231">
        <v>-1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f t="shared" si="6"/>
        <v>3</v>
      </c>
      <c r="P231">
        <f t="shared" si="7"/>
        <v>3</v>
      </c>
      <c r="Q231" s="1">
        <f>IF(OR(O231=0,P231=0),0,MIN(O231,P231)*Mapping!$I$2/O231)</f>
        <v>5.000000000000001E-2</v>
      </c>
      <c r="R231" s="1">
        <f>IF(OR(O231=0,P231=0),0,MIN(O231,P231)*Mapping!$I$2/P231)</f>
        <v>5.000000000000001E-2</v>
      </c>
    </row>
    <row r="232" spans="1:18">
      <c r="A232" s="5">
        <v>46053</v>
      </c>
      <c r="B232" s="5">
        <v>46054</v>
      </c>
      <c r="C232">
        <v>-1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-1</v>
      </c>
      <c r="J232">
        <v>1</v>
      </c>
      <c r="K232">
        <v>0</v>
      </c>
      <c r="L232">
        <v>-1</v>
      </c>
      <c r="M232">
        <v>0</v>
      </c>
      <c r="N232">
        <v>1</v>
      </c>
      <c r="O232">
        <f t="shared" si="6"/>
        <v>3</v>
      </c>
      <c r="P232">
        <f t="shared" si="7"/>
        <v>3</v>
      </c>
      <c r="Q232" s="1">
        <f>IF(OR(O232=0,P232=0),0,MIN(O232,P232)*Mapping!$I$2/O232)</f>
        <v>5.000000000000001E-2</v>
      </c>
      <c r="R232" s="1">
        <f>IF(OR(O232=0,P232=0),0,MIN(O232,P232)*Mapping!$I$2/P232)</f>
        <v>5.000000000000001E-2</v>
      </c>
    </row>
    <row r="233" spans="1:18">
      <c r="A233" s="5">
        <v>46081</v>
      </c>
      <c r="B233" s="5">
        <v>46082</v>
      </c>
      <c r="C233">
        <v>-1</v>
      </c>
      <c r="D233">
        <v>-1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-1</v>
      </c>
      <c r="M233">
        <v>0</v>
      </c>
      <c r="N233">
        <v>0</v>
      </c>
      <c r="O233">
        <f t="shared" si="6"/>
        <v>3</v>
      </c>
      <c r="P233">
        <f t="shared" si="7"/>
        <v>3</v>
      </c>
      <c r="Q233" s="1">
        <f>IF(OR(O233=0,P233=0),0,MIN(O233,P233)*Mapping!$I$2/O233)</f>
        <v>5.000000000000001E-2</v>
      </c>
      <c r="R233" s="1">
        <f>IF(OR(O233=0,P233=0),0,MIN(O233,P233)*Mapping!$I$2/P233)</f>
        <v>5.000000000000001E-2</v>
      </c>
    </row>
    <row r="234" spans="1:18">
      <c r="A234" s="5">
        <v>46112</v>
      </c>
      <c r="B234" s="5">
        <v>46113</v>
      </c>
      <c r="C234">
        <v>-1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-1</v>
      </c>
      <c r="L234">
        <v>-1</v>
      </c>
      <c r="M234">
        <v>0</v>
      </c>
      <c r="N234">
        <v>0</v>
      </c>
      <c r="O234">
        <f t="shared" si="6"/>
        <v>3</v>
      </c>
      <c r="P234">
        <f t="shared" si="7"/>
        <v>3</v>
      </c>
      <c r="Q234" s="1">
        <f>IF(OR(O234=0,P234=0),0,MIN(O234,P234)*Mapping!$I$2/O234)</f>
        <v>5.000000000000001E-2</v>
      </c>
      <c r="R234" s="1">
        <f>IF(OR(O234=0,P234=0),0,MIN(O234,P234)*Mapping!$I$2/P234)</f>
        <v>5.000000000000001E-2</v>
      </c>
    </row>
    <row r="235" spans="1:18">
      <c r="A235" s="5">
        <v>46142</v>
      </c>
      <c r="B235" s="5">
        <v>46143</v>
      </c>
      <c r="C235">
        <v>-1</v>
      </c>
      <c r="D235">
        <v>-1</v>
      </c>
      <c r="E235">
        <v>0</v>
      </c>
      <c r="F235">
        <v>1</v>
      </c>
      <c r="G235">
        <v>0</v>
      </c>
      <c r="H235">
        <v>-1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f t="shared" si="6"/>
        <v>3</v>
      </c>
      <c r="P235">
        <f t="shared" si="7"/>
        <v>3</v>
      </c>
      <c r="Q235" s="1">
        <f>IF(OR(O235=0,P235=0),0,MIN(O235,P235)*Mapping!$I$2/O235)</f>
        <v>5.000000000000001E-2</v>
      </c>
      <c r="R235" s="1">
        <f>IF(OR(O235=0,P235=0),0,MIN(O235,P235)*Mapping!$I$2/P235)</f>
        <v>5.000000000000001E-2</v>
      </c>
    </row>
    <row r="236" spans="1:18">
      <c r="A236" s="5">
        <v>46173</v>
      </c>
      <c r="B236" s="5">
        <v>46174</v>
      </c>
      <c r="C236">
        <v>0</v>
      </c>
      <c r="D236">
        <v>-1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1</v>
      </c>
      <c r="K236">
        <v>-1</v>
      </c>
      <c r="L236">
        <v>-1</v>
      </c>
      <c r="M236">
        <v>0</v>
      </c>
      <c r="N236">
        <v>1</v>
      </c>
      <c r="O236">
        <f t="shared" si="6"/>
        <v>3</v>
      </c>
      <c r="P236">
        <f t="shared" si="7"/>
        <v>3</v>
      </c>
      <c r="Q236" s="1">
        <f>IF(OR(O236=0,P236=0),0,MIN(O236,P236)*Mapping!$I$2/O236)</f>
        <v>5.000000000000001E-2</v>
      </c>
      <c r="R236" s="1">
        <f>IF(OR(O236=0,P236=0),0,MIN(O236,P236)*Mapping!$I$2/P236)</f>
        <v>5.000000000000001E-2</v>
      </c>
    </row>
    <row r="237" spans="1:18">
      <c r="A237" s="5">
        <v>46203</v>
      </c>
      <c r="B237" s="5">
        <v>46204</v>
      </c>
      <c r="C237">
        <v>0</v>
      </c>
      <c r="D237">
        <v>-1</v>
      </c>
      <c r="E237">
        <v>0</v>
      </c>
      <c r="F237">
        <v>1</v>
      </c>
      <c r="G237">
        <v>0</v>
      </c>
      <c r="H237">
        <v>-1</v>
      </c>
      <c r="I237">
        <v>0</v>
      </c>
      <c r="J237">
        <v>1</v>
      </c>
      <c r="K237">
        <v>-1</v>
      </c>
      <c r="L237">
        <v>0</v>
      </c>
      <c r="M237">
        <v>0</v>
      </c>
      <c r="N237">
        <v>1</v>
      </c>
      <c r="O237">
        <f t="shared" si="6"/>
        <v>3</v>
      </c>
      <c r="P237">
        <f t="shared" si="7"/>
        <v>3</v>
      </c>
      <c r="Q237" s="1">
        <f>IF(OR(O237=0,P237=0),0,MIN(O237,P237)*Mapping!$I$2/O237)</f>
        <v>5.000000000000001E-2</v>
      </c>
      <c r="R237" s="1">
        <f>IF(OR(O237=0,P237=0),0,MIN(O237,P237)*Mapping!$I$2/P237)</f>
        <v>5.000000000000001E-2</v>
      </c>
    </row>
    <row r="238" spans="1:18">
      <c r="A238" s="5">
        <v>46234</v>
      </c>
      <c r="B238" s="5">
        <v>46235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-1</v>
      </c>
      <c r="J238">
        <v>1</v>
      </c>
      <c r="K238">
        <v>-1</v>
      </c>
      <c r="L238">
        <v>-1</v>
      </c>
      <c r="M238">
        <v>0</v>
      </c>
      <c r="N238">
        <v>1</v>
      </c>
      <c r="O238">
        <f t="shared" si="6"/>
        <v>3</v>
      </c>
      <c r="P238">
        <f t="shared" si="7"/>
        <v>3</v>
      </c>
      <c r="Q238" s="1">
        <f>IF(OR(O238=0,P238=0),0,MIN(O238,P238)*Mapping!$I$2/O238)</f>
        <v>5.000000000000001E-2</v>
      </c>
      <c r="R238" s="1">
        <f>IF(OR(O238=0,P238=0),0,MIN(O238,P238)*Mapping!$I$2/P238)</f>
        <v>5.000000000000001E-2</v>
      </c>
    </row>
    <row r="239" spans="1:18">
      <c r="A239" s="5">
        <v>46265</v>
      </c>
      <c r="B239" s="5">
        <v>46266</v>
      </c>
      <c r="C239">
        <v>0</v>
      </c>
      <c r="D239">
        <v>-1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-1</v>
      </c>
      <c r="L239">
        <v>-1</v>
      </c>
      <c r="M239">
        <v>0</v>
      </c>
      <c r="N239">
        <v>0</v>
      </c>
      <c r="O239">
        <f t="shared" si="6"/>
        <v>3</v>
      </c>
      <c r="P239">
        <f t="shared" si="7"/>
        <v>3</v>
      </c>
      <c r="Q239" s="1">
        <f>IF(OR(O239=0,P239=0),0,MIN(O239,P239)*Mapping!$I$2/O239)</f>
        <v>5.000000000000001E-2</v>
      </c>
      <c r="R239" s="1">
        <f>IF(OR(O239=0,P239=0),0,MIN(O239,P239)*Mapping!$I$2/P239)</f>
        <v>5.000000000000001E-2</v>
      </c>
    </row>
    <row r="240" spans="1:18">
      <c r="A240" s="5">
        <v>46295</v>
      </c>
      <c r="B240" s="5">
        <v>46296</v>
      </c>
      <c r="C240">
        <v>1</v>
      </c>
      <c r="D240">
        <v>-1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-1</v>
      </c>
      <c r="L240">
        <v>-1</v>
      </c>
      <c r="M240">
        <v>0</v>
      </c>
      <c r="N240">
        <v>0</v>
      </c>
      <c r="O240">
        <f t="shared" si="6"/>
        <v>3</v>
      </c>
      <c r="P240">
        <f t="shared" si="7"/>
        <v>3</v>
      </c>
      <c r="Q240" s="1">
        <f>IF(OR(O240=0,P240=0),0,MIN(O240,P240)*Mapping!$I$2/O240)</f>
        <v>5.000000000000001E-2</v>
      </c>
      <c r="R240" s="1">
        <f>IF(OR(O240=0,P240=0),0,MIN(O240,P240)*Mapping!$I$2/P240)</f>
        <v>5.000000000000001E-2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2DC0-3E3A-4652-9A05-DC5451F9C70B}">
  <dimension ref="A1:S240"/>
  <sheetViews>
    <sheetView workbookViewId="0"/>
  </sheetViews>
  <sheetFormatPr defaultRowHeight="14.5"/>
  <cols>
    <col min="1" max="2" width="18.6328125" customWidth="1"/>
    <col min="3" max="15" width="14.6328125" customWidth="1"/>
    <col min="16" max="19" width="16.6328125" customWidth="1"/>
  </cols>
  <sheetData>
    <row r="1" spans="1:19" ht="64" customHeight="1">
      <c r="A1" s="4" t="s">
        <v>44</v>
      </c>
      <c r="B1" s="4" t="s">
        <v>45</v>
      </c>
      <c r="C1" s="4" t="s">
        <v>10</v>
      </c>
      <c r="D1" s="4" t="s">
        <v>16</v>
      </c>
      <c r="E1" s="4" t="s">
        <v>25</v>
      </c>
      <c r="F1" s="4" t="s">
        <v>8</v>
      </c>
      <c r="G1" s="4" t="s">
        <v>18</v>
      </c>
      <c r="H1" s="4" t="s">
        <v>13</v>
      </c>
      <c r="I1" s="4" t="s">
        <v>23</v>
      </c>
      <c r="J1" s="4" t="s">
        <v>29</v>
      </c>
      <c r="K1" s="4" t="s">
        <v>31</v>
      </c>
      <c r="L1" s="4" t="s">
        <v>35</v>
      </c>
      <c r="M1" s="4" t="s">
        <v>33</v>
      </c>
      <c r="N1" s="4" t="s">
        <v>21</v>
      </c>
      <c r="O1" s="4" t="s">
        <v>6</v>
      </c>
      <c r="P1" s="4" t="s">
        <v>46</v>
      </c>
      <c r="Q1" s="4" t="s">
        <v>47</v>
      </c>
      <c r="R1" s="4" t="s">
        <v>48</v>
      </c>
      <c r="S1" s="4" t="s">
        <v>49</v>
      </c>
    </row>
    <row r="2" spans="1:19">
      <c r="A2" s="5">
        <v>39051</v>
      </c>
      <c r="B2" s="5">
        <v>39052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>COUNTIF(C2:O2,1)</f>
        <v>3</v>
      </c>
      <c r="Q2">
        <f>COUNTIF(C2:O2,-1)</f>
        <v>0</v>
      </c>
      <c r="R2" s="1">
        <f>IF(OR(P2=0,Q2=0),0,MIN(P2,Q2)*Mapping!$I$2/P2)</f>
        <v>0</v>
      </c>
      <c r="S2" s="1">
        <f>IF(OR(P2=0,Q2=0),0,MIN(P2,Q2)*Mapping!$I$2/Q2)</f>
        <v>0</v>
      </c>
    </row>
    <row r="3" spans="1:19">
      <c r="A3" s="5">
        <v>39082</v>
      </c>
      <c r="B3" s="5">
        <v>39083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f t="shared" ref="P3:P66" si="0">COUNTIF(C3:O3,1)</f>
        <v>3</v>
      </c>
      <c r="Q3">
        <f t="shared" ref="Q3:Q66" si="1">COUNTIF(C3:O3,-1)</f>
        <v>0</v>
      </c>
      <c r="R3" s="1">
        <f>IF(OR(P3=0,Q3=0),0,MIN(P3,Q3)*Mapping!$I$2/P3)</f>
        <v>0</v>
      </c>
      <c r="S3" s="1">
        <f>IF(OR(P3=0,Q3=0),0,MIN(P3,Q3)*Mapping!$I$2/Q3)</f>
        <v>0</v>
      </c>
    </row>
    <row r="4" spans="1:19">
      <c r="A4" s="5">
        <v>39113</v>
      </c>
      <c r="B4" s="5">
        <v>39114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 t="shared" si="0"/>
        <v>3</v>
      </c>
      <c r="Q4">
        <f t="shared" si="1"/>
        <v>0</v>
      </c>
      <c r="R4" s="1">
        <f>IF(OR(P4=0,Q4=0),0,MIN(P4,Q4)*Mapping!$I$2/P4)</f>
        <v>0</v>
      </c>
      <c r="S4" s="1">
        <f>IF(OR(P4=0,Q4=0),0,MIN(P4,Q4)*Mapping!$I$2/Q4)</f>
        <v>0</v>
      </c>
    </row>
    <row r="5" spans="1:19">
      <c r="A5" s="5">
        <v>39141</v>
      </c>
      <c r="B5" s="5">
        <v>39142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si="0"/>
        <v>3</v>
      </c>
      <c r="Q5">
        <f t="shared" si="1"/>
        <v>0</v>
      </c>
      <c r="R5" s="1">
        <f>IF(OR(P5=0,Q5=0),0,MIN(P5,Q5)*Mapping!$I$2/P5)</f>
        <v>0</v>
      </c>
      <c r="S5" s="1">
        <f>IF(OR(P5=0,Q5=0),0,MIN(P5,Q5)*Mapping!$I$2/Q5)</f>
        <v>0</v>
      </c>
    </row>
    <row r="6" spans="1:19">
      <c r="A6" s="5">
        <v>39172</v>
      </c>
      <c r="B6" s="5">
        <v>39173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0"/>
        <v>3</v>
      </c>
      <c r="Q6">
        <f t="shared" si="1"/>
        <v>0</v>
      </c>
      <c r="R6" s="1">
        <f>IF(OR(P6=0,Q6=0),0,MIN(P6,Q6)*Mapping!$I$2/P6)</f>
        <v>0</v>
      </c>
      <c r="S6" s="1">
        <f>IF(OR(P6=0,Q6=0),0,MIN(P6,Q6)*Mapping!$I$2/Q6)</f>
        <v>0</v>
      </c>
    </row>
    <row r="7" spans="1:19">
      <c r="A7" s="5">
        <v>39202</v>
      </c>
      <c r="B7" s="5">
        <v>39203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0"/>
        <v>3</v>
      </c>
      <c r="Q7">
        <f t="shared" si="1"/>
        <v>0</v>
      </c>
      <c r="R7" s="1">
        <f>IF(OR(P7=0,Q7=0),0,MIN(P7,Q7)*Mapping!$I$2/P7)</f>
        <v>0</v>
      </c>
      <c r="S7" s="1">
        <f>IF(OR(P7=0,Q7=0),0,MIN(P7,Q7)*Mapping!$I$2/Q7)</f>
        <v>0</v>
      </c>
    </row>
    <row r="8" spans="1:19">
      <c r="A8" s="5">
        <v>39233</v>
      </c>
      <c r="B8" s="5">
        <v>39234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0"/>
        <v>3</v>
      </c>
      <c r="Q8">
        <f t="shared" si="1"/>
        <v>0</v>
      </c>
      <c r="R8" s="1">
        <f>IF(OR(P8=0,Q8=0),0,MIN(P8,Q8)*Mapping!$I$2/P8)</f>
        <v>0</v>
      </c>
      <c r="S8" s="1">
        <f>IF(OR(P8=0,Q8=0),0,MIN(P8,Q8)*Mapping!$I$2/Q8)</f>
        <v>0</v>
      </c>
    </row>
    <row r="9" spans="1:19">
      <c r="A9" s="5">
        <v>39263</v>
      </c>
      <c r="B9" s="5">
        <v>39264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 t="shared" si="0"/>
        <v>3</v>
      </c>
      <c r="Q9">
        <f t="shared" si="1"/>
        <v>0</v>
      </c>
      <c r="R9" s="1">
        <f>IF(OR(P9=0,Q9=0),0,MIN(P9,Q9)*Mapping!$I$2/P9)</f>
        <v>0</v>
      </c>
      <c r="S9" s="1">
        <f>IF(OR(P9=0,Q9=0),0,MIN(P9,Q9)*Mapping!$I$2/Q9)</f>
        <v>0</v>
      </c>
    </row>
    <row r="10" spans="1:19">
      <c r="A10" s="5">
        <v>39294</v>
      </c>
      <c r="B10" s="5">
        <v>39295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0"/>
        <v>3</v>
      </c>
      <c r="Q10">
        <f t="shared" si="1"/>
        <v>0</v>
      </c>
      <c r="R10" s="1">
        <f>IF(OR(P10=0,Q10=0),0,MIN(P10,Q10)*Mapping!$I$2/P10)</f>
        <v>0</v>
      </c>
      <c r="S10" s="1">
        <f>IF(OR(P10=0,Q10=0),0,MIN(P10,Q10)*Mapping!$I$2/Q10)</f>
        <v>0</v>
      </c>
    </row>
    <row r="11" spans="1:19">
      <c r="A11" s="5">
        <v>39325</v>
      </c>
      <c r="B11" s="5">
        <v>39326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0"/>
        <v>3</v>
      </c>
      <c r="Q11">
        <f t="shared" si="1"/>
        <v>0</v>
      </c>
      <c r="R11" s="1">
        <f>IF(OR(P11=0,Q11=0),0,MIN(P11,Q11)*Mapping!$I$2/P11)</f>
        <v>0</v>
      </c>
      <c r="S11" s="1">
        <f>IF(OR(P11=0,Q11=0),0,MIN(P11,Q11)*Mapping!$I$2/Q11)</f>
        <v>0</v>
      </c>
    </row>
    <row r="12" spans="1:19">
      <c r="A12" s="5">
        <v>39355</v>
      </c>
      <c r="B12" s="5">
        <v>39356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f t="shared" si="0"/>
        <v>3</v>
      </c>
      <c r="Q12">
        <f t="shared" si="1"/>
        <v>0</v>
      </c>
      <c r="R12" s="1">
        <f>IF(OR(P12=0,Q12=0),0,MIN(P12,Q12)*Mapping!$I$2/P12)</f>
        <v>0</v>
      </c>
      <c r="S12" s="1">
        <f>IF(OR(P12=0,Q12=0),0,MIN(P12,Q12)*Mapping!$I$2/Q12)</f>
        <v>0</v>
      </c>
    </row>
    <row r="13" spans="1:19">
      <c r="A13" s="5">
        <v>39386</v>
      </c>
      <c r="B13" s="5">
        <v>39387</v>
      </c>
      <c r="C13">
        <v>1</v>
      </c>
      <c r="D13">
        <v>0</v>
      </c>
      <c r="E13">
        <v>0</v>
      </c>
      <c r="F13">
        <v>-1</v>
      </c>
      <c r="G13">
        <v>-1</v>
      </c>
      <c r="H13">
        <v>0</v>
      </c>
      <c r="I13">
        <v>0</v>
      </c>
      <c r="J13">
        <v>0</v>
      </c>
      <c r="K13">
        <v>1</v>
      </c>
      <c r="L13">
        <v>0</v>
      </c>
      <c r="M13">
        <v>-1</v>
      </c>
      <c r="N13">
        <v>0</v>
      </c>
      <c r="O13">
        <v>1</v>
      </c>
      <c r="P13">
        <f t="shared" si="0"/>
        <v>3</v>
      </c>
      <c r="Q13">
        <f t="shared" si="1"/>
        <v>3</v>
      </c>
      <c r="R13" s="1">
        <f>IF(OR(P13=0,Q13=0),0,MIN(P13,Q13)*Mapping!$I$2/P13)</f>
        <v>5.000000000000001E-2</v>
      </c>
      <c r="S13" s="1">
        <f>IF(OR(P13=0,Q13=0),0,MIN(P13,Q13)*Mapping!$I$2/Q13)</f>
        <v>5.000000000000001E-2</v>
      </c>
    </row>
    <row r="14" spans="1:19">
      <c r="A14" s="5">
        <v>39416</v>
      </c>
      <c r="B14" s="5">
        <v>39417</v>
      </c>
      <c r="C14">
        <v>0</v>
      </c>
      <c r="D14">
        <v>0</v>
      </c>
      <c r="E14">
        <v>0</v>
      </c>
      <c r="F14">
        <v>-1</v>
      </c>
      <c r="G14">
        <v>-1</v>
      </c>
      <c r="H14">
        <v>0</v>
      </c>
      <c r="I14">
        <v>1</v>
      </c>
      <c r="J14">
        <v>-1</v>
      </c>
      <c r="K14">
        <v>1</v>
      </c>
      <c r="L14">
        <v>0</v>
      </c>
      <c r="M14">
        <v>0</v>
      </c>
      <c r="N14">
        <v>0</v>
      </c>
      <c r="O14">
        <v>1</v>
      </c>
      <c r="P14">
        <f t="shared" si="0"/>
        <v>3</v>
      </c>
      <c r="Q14">
        <f t="shared" si="1"/>
        <v>3</v>
      </c>
      <c r="R14" s="1">
        <f>IF(OR(P14=0,Q14=0),0,MIN(P14,Q14)*Mapping!$I$2/P14)</f>
        <v>5.000000000000001E-2</v>
      </c>
      <c r="S14" s="1">
        <f>IF(OR(P14=0,Q14=0),0,MIN(P14,Q14)*Mapping!$I$2/Q14)</f>
        <v>5.000000000000001E-2</v>
      </c>
    </row>
    <row r="15" spans="1:19">
      <c r="A15" s="5">
        <v>39447</v>
      </c>
      <c r="B15" s="5">
        <v>39448</v>
      </c>
      <c r="C15">
        <v>1</v>
      </c>
      <c r="D15">
        <v>0</v>
      </c>
      <c r="E15">
        <v>0</v>
      </c>
      <c r="F15">
        <v>-1</v>
      </c>
      <c r="G15">
        <v>0</v>
      </c>
      <c r="H15">
        <v>0</v>
      </c>
      <c r="I15">
        <v>0</v>
      </c>
      <c r="J15">
        <v>-1</v>
      </c>
      <c r="K15">
        <v>1</v>
      </c>
      <c r="L15">
        <v>1</v>
      </c>
      <c r="M15">
        <v>-1</v>
      </c>
      <c r="N15">
        <v>0</v>
      </c>
      <c r="O15">
        <v>0</v>
      </c>
      <c r="P15">
        <f t="shared" si="0"/>
        <v>3</v>
      </c>
      <c r="Q15">
        <f t="shared" si="1"/>
        <v>3</v>
      </c>
      <c r="R15" s="1">
        <f>IF(OR(P15=0,Q15=0),0,MIN(P15,Q15)*Mapping!$I$2/P15)</f>
        <v>5.000000000000001E-2</v>
      </c>
      <c r="S15" s="1">
        <f>IF(OR(P15=0,Q15=0),0,MIN(P15,Q15)*Mapping!$I$2/Q15)</f>
        <v>5.000000000000001E-2</v>
      </c>
    </row>
    <row r="16" spans="1:19">
      <c r="A16" s="5">
        <v>39478</v>
      </c>
      <c r="B16" s="5">
        <v>39479</v>
      </c>
      <c r="C16">
        <v>1</v>
      </c>
      <c r="D16">
        <v>0</v>
      </c>
      <c r="E16">
        <v>0</v>
      </c>
      <c r="F16">
        <v>-1</v>
      </c>
      <c r="G16">
        <v>-1</v>
      </c>
      <c r="H16">
        <v>0</v>
      </c>
      <c r="I16">
        <v>0</v>
      </c>
      <c r="J16">
        <v>0</v>
      </c>
      <c r="K16">
        <v>1</v>
      </c>
      <c r="L16">
        <v>1</v>
      </c>
      <c r="M16">
        <v>-1</v>
      </c>
      <c r="N16">
        <v>0</v>
      </c>
      <c r="O16">
        <v>0</v>
      </c>
      <c r="P16">
        <f t="shared" si="0"/>
        <v>3</v>
      </c>
      <c r="Q16">
        <f t="shared" si="1"/>
        <v>3</v>
      </c>
      <c r="R16" s="1">
        <f>IF(OR(P16=0,Q16=0),0,MIN(P16,Q16)*Mapping!$I$2/P16)</f>
        <v>5.000000000000001E-2</v>
      </c>
      <c r="S16" s="1">
        <f>IF(OR(P16=0,Q16=0),0,MIN(P16,Q16)*Mapping!$I$2/Q16)</f>
        <v>5.000000000000001E-2</v>
      </c>
    </row>
    <row r="17" spans="1:19">
      <c r="A17" s="5">
        <v>39507</v>
      </c>
      <c r="B17" s="5">
        <v>39508</v>
      </c>
      <c r="C17">
        <v>1</v>
      </c>
      <c r="D17">
        <v>0</v>
      </c>
      <c r="E17">
        <v>0</v>
      </c>
      <c r="F17">
        <v>-1</v>
      </c>
      <c r="G17">
        <v>0</v>
      </c>
      <c r="H17">
        <v>0</v>
      </c>
      <c r="I17">
        <v>0</v>
      </c>
      <c r="J17">
        <v>-1</v>
      </c>
      <c r="K17">
        <v>1</v>
      </c>
      <c r="L17">
        <v>1</v>
      </c>
      <c r="M17">
        <v>-1</v>
      </c>
      <c r="N17">
        <v>0</v>
      </c>
      <c r="O17">
        <v>0</v>
      </c>
      <c r="P17">
        <f t="shared" si="0"/>
        <v>3</v>
      </c>
      <c r="Q17">
        <f t="shared" si="1"/>
        <v>3</v>
      </c>
      <c r="R17" s="1">
        <f>IF(OR(P17=0,Q17=0),0,MIN(P17,Q17)*Mapping!$I$2/P17)</f>
        <v>5.000000000000001E-2</v>
      </c>
      <c r="S17" s="1">
        <f>IF(OR(P17=0,Q17=0),0,MIN(P17,Q17)*Mapping!$I$2/Q17)</f>
        <v>5.000000000000001E-2</v>
      </c>
    </row>
    <row r="18" spans="1:19">
      <c r="A18" s="5">
        <v>39538</v>
      </c>
      <c r="B18" s="5">
        <v>39539</v>
      </c>
      <c r="C18">
        <v>1</v>
      </c>
      <c r="D18">
        <v>0</v>
      </c>
      <c r="E18">
        <v>0</v>
      </c>
      <c r="F18">
        <v>-1</v>
      </c>
      <c r="G18">
        <v>0</v>
      </c>
      <c r="H18">
        <v>0</v>
      </c>
      <c r="I18">
        <v>1</v>
      </c>
      <c r="J18">
        <v>-1</v>
      </c>
      <c r="K18">
        <v>0</v>
      </c>
      <c r="L18">
        <v>1</v>
      </c>
      <c r="M18">
        <v>-1</v>
      </c>
      <c r="N18">
        <v>0</v>
      </c>
      <c r="O18">
        <v>0</v>
      </c>
      <c r="P18">
        <f t="shared" si="0"/>
        <v>3</v>
      </c>
      <c r="Q18">
        <f t="shared" si="1"/>
        <v>3</v>
      </c>
      <c r="R18" s="1">
        <f>IF(OR(P18=0,Q18=0),0,MIN(P18,Q18)*Mapping!$I$2/P18)</f>
        <v>5.000000000000001E-2</v>
      </c>
      <c r="S18" s="1">
        <f>IF(OR(P18=0,Q18=0),0,MIN(P18,Q18)*Mapping!$I$2/Q18)</f>
        <v>5.000000000000001E-2</v>
      </c>
    </row>
    <row r="19" spans="1:19">
      <c r="A19" s="5">
        <v>39568</v>
      </c>
      <c r="B19" s="5">
        <v>39569</v>
      </c>
      <c r="C19">
        <v>1</v>
      </c>
      <c r="D19">
        <v>0</v>
      </c>
      <c r="E19">
        <v>0</v>
      </c>
      <c r="F19">
        <v>-1</v>
      </c>
      <c r="G19">
        <v>0</v>
      </c>
      <c r="H19">
        <v>0</v>
      </c>
      <c r="I19">
        <v>1</v>
      </c>
      <c r="J19">
        <v>0</v>
      </c>
      <c r="K19">
        <v>0</v>
      </c>
      <c r="L19">
        <v>1</v>
      </c>
      <c r="M19">
        <v>-1</v>
      </c>
      <c r="N19">
        <v>-1</v>
      </c>
      <c r="O19">
        <v>0</v>
      </c>
      <c r="P19">
        <f t="shared" si="0"/>
        <v>3</v>
      </c>
      <c r="Q19">
        <f t="shared" si="1"/>
        <v>3</v>
      </c>
      <c r="R19" s="1">
        <f>IF(OR(P19=0,Q19=0),0,MIN(P19,Q19)*Mapping!$I$2/P19)</f>
        <v>5.000000000000001E-2</v>
      </c>
      <c r="S19" s="1">
        <f>IF(OR(P19=0,Q19=0),0,MIN(P19,Q19)*Mapping!$I$2/Q19)</f>
        <v>5.000000000000001E-2</v>
      </c>
    </row>
    <row r="20" spans="1:19">
      <c r="A20" s="5">
        <v>39599</v>
      </c>
      <c r="B20" s="5">
        <v>39600</v>
      </c>
      <c r="C20">
        <v>1</v>
      </c>
      <c r="D20">
        <v>0</v>
      </c>
      <c r="E20">
        <v>0</v>
      </c>
      <c r="F20">
        <v>-1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-1</v>
      </c>
      <c r="N20">
        <v>-1</v>
      </c>
      <c r="O20">
        <v>0</v>
      </c>
      <c r="P20">
        <f t="shared" si="0"/>
        <v>3</v>
      </c>
      <c r="Q20">
        <f t="shared" si="1"/>
        <v>3</v>
      </c>
      <c r="R20" s="1">
        <f>IF(OR(P20=0,Q20=0),0,MIN(P20,Q20)*Mapping!$I$2/P20)</f>
        <v>5.000000000000001E-2</v>
      </c>
      <c r="S20" s="1">
        <f>IF(OR(P20=0,Q20=0),0,MIN(P20,Q20)*Mapping!$I$2/Q20)</f>
        <v>5.000000000000001E-2</v>
      </c>
    </row>
    <row r="21" spans="1:19">
      <c r="A21" s="5">
        <v>39629</v>
      </c>
      <c r="B21" s="5">
        <v>39630</v>
      </c>
      <c r="C21">
        <v>1</v>
      </c>
      <c r="D21">
        <v>0</v>
      </c>
      <c r="E21">
        <v>0</v>
      </c>
      <c r="F21">
        <v>-1</v>
      </c>
      <c r="G21">
        <v>0</v>
      </c>
      <c r="H21">
        <v>0</v>
      </c>
      <c r="I21">
        <v>1</v>
      </c>
      <c r="J21">
        <v>-1</v>
      </c>
      <c r="K21">
        <v>0</v>
      </c>
      <c r="L21">
        <v>1</v>
      </c>
      <c r="M21">
        <v>0</v>
      </c>
      <c r="N21">
        <v>-1</v>
      </c>
      <c r="O21">
        <v>0</v>
      </c>
      <c r="P21">
        <f t="shared" si="0"/>
        <v>3</v>
      </c>
      <c r="Q21">
        <f t="shared" si="1"/>
        <v>3</v>
      </c>
      <c r="R21" s="1">
        <f>IF(OR(P21=0,Q21=0),0,MIN(P21,Q21)*Mapping!$I$2/P21)</f>
        <v>5.000000000000001E-2</v>
      </c>
      <c r="S21" s="1">
        <f>IF(OR(P21=0,Q21=0),0,MIN(P21,Q21)*Mapping!$I$2/Q21)</f>
        <v>5.000000000000001E-2</v>
      </c>
    </row>
    <row r="22" spans="1:19">
      <c r="A22" s="5">
        <v>39660</v>
      </c>
      <c r="B22" s="5">
        <v>39661</v>
      </c>
      <c r="C22">
        <v>1</v>
      </c>
      <c r="D22">
        <v>0</v>
      </c>
      <c r="E22">
        <v>0</v>
      </c>
      <c r="F22">
        <v>-1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-1</v>
      </c>
      <c r="N22">
        <v>-1</v>
      </c>
      <c r="O22">
        <v>0</v>
      </c>
      <c r="P22">
        <f t="shared" si="0"/>
        <v>3</v>
      </c>
      <c r="Q22">
        <f t="shared" si="1"/>
        <v>3</v>
      </c>
      <c r="R22" s="1">
        <f>IF(OR(P22=0,Q22=0),0,MIN(P22,Q22)*Mapping!$I$2/P22)</f>
        <v>5.000000000000001E-2</v>
      </c>
      <c r="S22" s="1">
        <f>IF(OR(P22=0,Q22=0),0,MIN(P22,Q22)*Mapping!$I$2/Q22)</f>
        <v>5.000000000000001E-2</v>
      </c>
    </row>
    <row r="23" spans="1:19">
      <c r="A23" s="5">
        <v>39691</v>
      </c>
      <c r="B23" s="5">
        <v>39692</v>
      </c>
      <c r="C23">
        <v>1</v>
      </c>
      <c r="D23">
        <v>0</v>
      </c>
      <c r="E23">
        <v>0</v>
      </c>
      <c r="F23">
        <v>-1</v>
      </c>
      <c r="G23">
        <v>0</v>
      </c>
      <c r="H23">
        <v>0</v>
      </c>
      <c r="I23">
        <v>1</v>
      </c>
      <c r="J23">
        <v>0</v>
      </c>
      <c r="K23">
        <v>-1</v>
      </c>
      <c r="L23">
        <v>1</v>
      </c>
      <c r="M23">
        <v>-1</v>
      </c>
      <c r="N23">
        <v>0</v>
      </c>
      <c r="O23">
        <v>0</v>
      </c>
      <c r="P23">
        <f t="shared" si="0"/>
        <v>3</v>
      </c>
      <c r="Q23">
        <f t="shared" si="1"/>
        <v>3</v>
      </c>
      <c r="R23" s="1">
        <f>IF(OR(P23=0,Q23=0),0,MIN(P23,Q23)*Mapping!$I$2/P23)</f>
        <v>5.000000000000001E-2</v>
      </c>
      <c r="S23" s="1">
        <f>IF(OR(P23=0,Q23=0),0,MIN(P23,Q23)*Mapping!$I$2/Q23)</f>
        <v>5.000000000000001E-2</v>
      </c>
    </row>
    <row r="24" spans="1:19">
      <c r="A24" s="5">
        <v>39721</v>
      </c>
      <c r="B24" s="5">
        <v>39722</v>
      </c>
      <c r="C24">
        <v>1</v>
      </c>
      <c r="D24">
        <v>0</v>
      </c>
      <c r="E24">
        <v>0</v>
      </c>
      <c r="F24">
        <v>-1</v>
      </c>
      <c r="G24">
        <v>1</v>
      </c>
      <c r="H24">
        <v>0</v>
      </c>
      <c r="I24">
        <v>1</v>
      </c>
      <c r="J24">
        <v>-1</v>
      </c>
      <c r="K24">
        <v>0</v>
      </c>
      <c r="L24">
        <v>0</v>
      </c>
      <c r="M24">
        <v>-1</v>
      </c>
      <c r="N24">
        <v>0</v>
      </c>
      <c r="O24">
        <v>0</v>
      </c>
      <c r="P24">
        <f t="shared" si="0"/>
        <v>3</v>
      </c>
      <c r="Q24">
        <f t="shared" si="1"/>
        <v>3</v>
      </c>
      <c r="R24" s="1">
        <f>IF(OR(P24=0,Q24=0),0,MIN(P24,Q24)*Mapping!$I$2/P24)</f>
        <v>5.000000000000001E-2</v>
      </c>
      <c r="S24" s="1">
        <f>IF(OR(P24=0,Q24=0),0,MIN(P24,Q24)*Mapping!$I$2/Q24)</f>
        <v>5.000000000000001E-2</v>
      </c>
    </row>
    <row r="25" spans="1:19">
      <c r="A25" s="5">
        <v>39752</v>
      </c>
      <c r="B25" s="5">
        <v>39753</v>
      </c>
      <c r="C25">
        <v>-1</v>
      </c>
      <c r="D25">
        <v>1</v>
      </c>
      <c r="E25">
        <v>0</v>
      </c>
      <c r="F25">
        <v>-1</v>
      </c>
      <c r="G25">
        <v>1</v>
      </c>
      <c r="H25">
        <v>0</v>
      </c>
      <c r="I25">
        <v>0</v>
      </c>
      <c r="J25">
        <v>-1</v>
      </c>
      <c r="K25">
        <v>0</v>
      </c>
      <c r="L25">
        <v>1</v>
      </c>
      <c r="M25">
        <v>0</v>
      </c>
      <c r="N25">
        <v>0</v>
      </c>
      <c r="O25">
        <v>0</v>
      </c>
      <c r="P25">
        <f t="shared" si="0"/>
        <v>3</v>
      </c>
      <c r="Q25">
        <f t="shared" si="1"/>
        <v>3</v>
      </c>
      <c r="R25" s="1">
        <f>IF(OR(P25=0,Q25=0),0,MIN(P25,Q25)*Mapping!$I$2/P25)</f>
        <v>5.000000000000001E-2</v>
      </c>
      <c r="S25" s="1">
        <f>IF(OR(P25=0,Q25=0),0,MIN(P25,Q25)*Mapping!$I$2/Q25)</f>
        <v>5.000000000000001E-2</v>
      </c>
    </row>
    <row r="26" spans="1:19">
      <c r="A26" s="5">
        <v>39782</v>
      </c>
      <c r="B26" s="5">
        <v>39783</v>
      </c>
      <c r="C26">
        <v>-1</v>
      </c>
      <c r="D26">
        <v>0</v>
      </c>
      <c r="E26">
        <v>0</v>
      </c>
      <c r="F26">
        <v>-1</v>
      </c>
      <c r="G26">
        <v>1</v>
      </c>
      <c r="H26">
        <v>-1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f t="shared" si="0"/>
        <v>3</v>
      </c>
      <c r="Q26">
        <f t="shared" si="1"/>
        <v>3</v>
      </c>
      <c r="R26" s="1">
        <f>IF(OR(P26=0,Q26=0),0,MIN(P26,Q26)*Mapping!$I$2/P26)</f>
        <v>5.000000000000001E-2</v>
      </c>
      <c r="S26" s="1">
        <f>IF(OR(P26=0,Q26=0),0,MIN(P26,Q26)*Mapping!$I$2/Q26)</f>
        <v>5.000000000000001E-2</v>
      </c>
    </row>
    <row r="27" spans="1:19">
      <c r="A27" s="5">
        <v>39813</v>
      </c>
      <c r="B27" s="5">
        <v>39814</v>
      </c>
      <c r="C27">
        <v>-1</v>
      </c>
      <c r="D27">
        <v>1</v>
      </c>
      <c r="E27">
        <v>0</v>
      </c>
      <c r="F27">
        <v>-1</v>
      </c>
      <c r="G27">
        <v>1</v>
      </c>
      <c r="H27">
        <v>0</v>
      </c>
      <c r="I27">
        <v>0</v>
      </c>
      <c r="J27">
        <v>-1</v>
      </c>
      <c r="K27">
        <v>1</v>
      </c>
      <c r="L27">
        <v>0</v>
      </c>
      <c r="M27">
        <v>0</v>
      </c>
      <c r="N27">
        <v>0</v>
      </c>
      <c r="O27">
        <v>0</v>
      </c>
      <c r="P27">
        <f t="shared" si="0"/>
        <v>3</v>
      </c>
      <c r="Q27">
        <f t="shared" si="1"/>
        <v>3</v>
      </c>
      <c r="R27" s="1">
        <f>IF(OR(P27=0,Q27=0),0,MIN(P27,Q27)*Mapping!$I$2/P27)</f>
        <v>5.000000000000001E-2</v>
      </c>
      <c r="S27" s="1">
        <f>IF(OR(P27=0,Q27=0),0,MIN(P27,Q27)*Mapping!$I$2/Q27)</f>
        <v>5.000000000000001E-2</v>
      </c>
    </row>
    <row r="28" spans="1:19">
      <c r="A28" s="5">
        <v>39844</v>
      </c>
      <c r="B28" s="5">
        <v>39845</v>
      </c>
      <c r="C28">
        <v>-1</v>
      </c>
      <c r="D28">
        <v>0</v>
      </c>
      <c r="E28">
        <v>0</v>
      </c>
      <c r="F28">
        <v>-1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-1</v>
      </c>
      <c r="P28">
        <f t="shared" si="0"/>
        <v>3</v>
      </c>
      <c r="Q28">
        <f t="shared" si="1"/>
        <v>3</v>
      </c>
      <c r="R28" s="1">
        <f>IF(OR(P28=0,Q28=0),0,MIN(P28,Q28)*Mapping!$I$2/P28)</f>
        <v>5.000000000000001E-2</v>
      </c>
      <c r="S28" s="1">
        <f>IF(OR(P28=0,Q28=0),0,MIN(P28,Q28)*Mapping!$I$2/Q28)</f>
        <v>5.000000000000001E-2</v>
      </c>
    </row>
    <row r="29" spans="1:19">
      <c r="A29" s="5">
        <v>39872</v>
      </c>
      <c r="B29" s="5">
        <v>39873</v>
      </c>
      <c r="C29">
        <v>-1</v>
      </c>
      <c r="D29">
        <v>0</v>
      </c>
      <c r="E29">
        <v>0</v>
      </c>
      <c r="F29">
        <v>-1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-1</v>
      </c>
      <c r="P29">
        <f t="shared" si="0"/>
        <v>3</v>
      </c>
      <c r="Q29">
        <f t="shared" si="1"/>
        <v>3</v>
      </c>
      <c r="R29" s="1">
        <f>IF(OR(P29=0,Q29=0),0,MIN(P29,Q29)*Mapping!$I$2/P29)</f>
        <v>5.000000000000001E-2</v>
      </c>
      <c r="S29" s="1">
        <f>IF(OR(P29=0,Q29=0),0,MIN(P29,Q29)*Mapping!$I$2/Q29)</f>
        <v>5.000000000000001E-2</v>
      </c>
    </row>
    <row r="30" spans="1:19">
      <c r="A30" s="5">
        <v>39903</v>
      </c>
      <c r="B30" s="5">
        <v>39904</v>
      </c>
      <c r="C30">
        <v>-1</v>
      </c>
      <c r="D30">
        <v>0</v>
      </c>
      <c r="E30">
        <v>0</v>
      </c>
      <c r="F30">
        <v>-1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-1</v>
      </c>
      <c r="P30">
        <f t="shared" si="0"/>
        <v>3</v>
      </c>
      <c r="Q30">
        <f t="shared" si="1"/>
        <v>3</v>
      </c>
      <c r="R30" s="1">
        <f>IF(OR(P30=0,Q30=0),0,MIN(P30,Q30)*Mapping!$I$2/P30)</f>
        <v>5.000000000000001E-2</v>
      </c>
      <c r="S30" s="1">
        <f>IF(OR(P30=0,Q30=0),0,MIN(P30,Q30)*Mapping!$I$2/Q30)</f>
        <v>5.000000000000001E-2</v>
      </c>
    </row>
    <row r="31" spans="1:19">
      <c r="A31" s="5">
        <v>39933</v>
      </c>
      <c r="B31" s="5">
        <v>39934</v>
      </c>
      <c r="C31">
        <v>-1</v>
      </c>
      <c r="D31">
        <v>0</v>
      </c>
      <c r="E31">
        <v>0</v>
      </c>
      <c r="F31">
        <v>-1</v>
      </c>
      <c r="G31">
        <v>1</v>
      </c>
      <c r="H31">
        <v>0</v>
      </c>
      <c r="I31">
        <v>0</v>
      </c>
      <c r="J31">
        <v>1</v>
      </c>
      <c r="K31">
        <v>1</v>
      </c>
      <c r="L31">
        <v>-1</v>
      </c>
      <c r="M31">
        <v>0</v>
      </c>
      <c r="N31">
        <v>0</v>
      </c>
      <c r="O31">
        <v>0</v>
      </c>
      <c r="P31">
        <f t="shared" si="0"/>
        <v>3</v>
      </c>
      <c r="Q31">
        <f t="shared" si="1"/>
        <v>3</v>
      </c>
      <c r="R31" s="1">
        <f>IF(OR(P31=0,Q31=0),0,MIN(P31,Q31)*Mapping!$I$2/P31)</f>
        <v>5.000000000000001E-2</v>
      </c>
      <c r="S31" s="1">
        <f>IF(OR(P31=0,Q31=0),0,MIN(P31,Q31)*Mapping!$I$2/Q31)</f>
        <v>5.000000000000001E-2</v>
      </c>
    </row>
    <row r="32" spans="1:19">
      <c r="A32" s="5">
        <v>39964</v>
      </c>
      <c r="B32" s="5">
        <v>39965</v>
      </c>
      <c r="C32">
        <v>0</v>
      </c>
      <c r="D32">
        <v>0</v>
      </c>
      <c r="E32">
        <v>0</v>
      </c>
      <c r="F32">
        <v>-1</v>
      </c>
      <c r="G32">
        <v>1</v>
      </c>
      <c r="H32">
        <v>0</v>
      </c>
      <c r="I32">
        <v>-1</v>
      </c>
      <c r="J32">
        <v>1</v>
      </c>
      <c r="K32">
        <v>-1</v>
      </c>
      <c r="L32">
        <v>0</v>
      </c>
      <c r="M32">
        <v>0</v>
      </c>
      <c r="N32">
        <v>0</v>
      </c>
      <c r="O32">
        <v>1</v>
      </c>
      <c r="P32">
        <f t="shared" si="0"/>
        <v>3</v>
      </c>
      <c r="Q32">
        <f t="shared" si="1"/>
        <v>3</v>
      </c>
      <c r="R32" s="1">
        <f>IF(OR(P32=0,Q32=0),0,MIN(P32,Q32)*Mapping!$I$2/P32)</f>
        <v>5.000000000000001E-2</v>
      </c>
      <c r="S32" s="1">
        <f>IF(OR(P32=0,Q32=0),0,MIN(P32,Q32)*Mapping!$I$2/Q32)</f>
        <v>5.000000000000001E-2</v>
      </c>
    </row>
    <row r="33" spans="1:19">
      <c r="A33" s="5">
        <v>39994</v>
      </c>
      <c r="B33" s="5">
        <v>39995</v>
      </c>
      <c r="C33">
        <v>1</v>
      </c>
      <c r="D33">
        <v>0</v>
      </c>
      <c r="E33">
        <v>0</v>
      </c>
      <c r="F33">
        <v>1</v>
      </c>
      <c r="G33">
        <v>0</v>
      </c>
      <c r="H33">
        <v>-1</v>
      </c>
      <c r="I33">
        <v>1</v>
      </c>
      <c r="J33">
        <v>0</v>
      </c>
      <c r="K33">
        <v>0</v>
      </c>
      <c r="L33">
        <v>-1</v>
      </c>
      <c r="M33">
        <v>0</v>
      </c>
      <c r="N33">
        <v>0</v>
      </c>
      <c r="O33">
        <v>-1</v>
      </c>
      <c r="P33">
        <f t="shared" si="0"/>
        <v>3</v>
      </c>
      <c r="Q33">
        <f t="shared" si="1"/>
        <v>3</v>
      </c>
      <c r="R33" s="1">
        <f>IF(OR(P33=0,Q33=0),0,MIN(P33,Q33)*Mapping!$I$2/P33)</f>
        <v>5.000000000000001E-2</v>
      </c>
      <c r="S33" s="1">
        <f>IF(OR(P33=0,Q33=0),0,MIN(P33,Q33)*Mapping!$I$2/Q33)</f>
        <v>5.000000000000001E-2</v>
      </c>
    </row>
    <row r="34" spans="1:19">
      <c r="A34" s="5">
        <v>40025</v>
      </c>
      <c r="B34" s="5">
        <v>40026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-1</v>
      </c>
      <c r="M34">
        <v>-1</v>
      </c>
      <c r="N34">
        <v>-1</v>
      </c>
      <c r="O34">
        <v>0</v>
      </c>
      <c r="P34">
        <f t="shared" si="0"/>
        <v>3</v>
      </c>
      <c r="Q34">
        <f t="shared" si="1"/>
        <v>3</v>
      </c>
      <c r="R34" s="1">
        <f>IF(OR(P34=0,Q34=0),0,MIN(P34,Q34)*Mapping!$I$2/P34)</f>
        <v>5.000000000000001E-2</v>
      </c>
      <c r="S34" s="1">
        <f>IF(OR(P34=0,Q34=0),0,MIN(P34,Q34)*Mapping!$I$2/Q34)</f>
        <v>5.000000000000001E-2</v>
      </c>
    </row>
    <row r="35" spans="1:19">
      <c r="A35" s="5">
        <v>40056</v>
      </c>
      <c r="B35" s="5">
        <v>40057</v>
      </c>
      <c r="C35">
        <v>0</v>
      </c>
      <c r="D35">
        <v>0</v>
      </c>
      <c r="E35">
        <v>1</v>
      </c>
      <c r="F35">
        <v>0</v>
      </c>
      <c r="G35">
        <v>1</v>
      </c>
      <c r="H35">
        <v>0</v>
      </c>
      <c r="I35">
        <v>-1</v>
      </c>
      <c r="J35">
        <v>0</v>
      </c>
      <c r="K35">
        <v>0</v>
      </c>
      <c r="L35">
        <v>-1</v>
      </c>
      <c r="M35">
        <v>-1</v>
      </c>
      <c r="N35">
        <v>0</v>
      </c>
      <c r="O35">
        <v>1</v>
      </c>
      <c r="P35">
        <f t="shared" si="0"/>
        <v>3</v>
      </c>
      <c r="Q35">
        <f t="shared" si="1"/>
        <v>3</v>
      </c>
      <c r="R35" s="1">
        <f>IF(OR(P35=0,Q35=0),0,MIN(P35,Q35)*Mapping!$I$2/P35)</f>
        <v>5.000000000000001E-2</v>
      </c>
      <c r="S35" s="1">
        <f>IF(OR(P35=0,Q35=0),0,MIN(P35,Q35)*Mapping!$I$2/Q35)</f>
        <v>5.000000000000001E-2</v>
      </c>
    </row>
    <row r="36" spans="1:19">
      <c r="A36" s="5">
        <v>40086</v>
      </c>
      <c r="B36" s="5">
        <v>40087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>
        <v>-1</v>
      </c>
      <c r="J36">
        <v>1</v>
      </c>
      <c r="K36">
        <v>0</v>
      </c>
      <c r="L36">
        <v>-1</v>
      </c>
      <c r="M36">
        <v>-1</v>
      </c>
      <c r="N36">
        <v>0</v>
      </c>
      <c r="O36">
        <v>0</v>
      </c>
      <c r="P36">
        <f t="shared" si="0"/>
        <v>3</v>
      </c>
      <c r="Q36">
        <f t="shared" si="1"/>
        <v>3</v>
      </c>
      <c r="R36" s="1">
        <f>IF(OR(P36=0,Q36=0),0,MIN(P36,Q36)*Mapping!$I$2/P36)</f>
        <v>5.000000000000001E-2</v>
      </c>
      <c r="S36" s="1">
        <f>IF(OR(P36=0,Q36=0),0,MIN(P36,Q36)*Mapping!$I$2/Q36)</f>
        <v>5.000000000000001E-2</v>
      </c>
    </row>
    <row r="37" spans="1:19">
      <c r="A37" s="5">
        <v>40117</v>
      </c>
      <c r="B37" s="5">
        <v>40118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-1</v>
      </c>
      <c r="J37">
        <v>-1</v>
      </c>
      <c r="K37">
        <v>0</v>
      </c>
      <c r="L37">
        <v>0</v>
      </c>
      <c r="M37">
        <v>0</v>
      </c>
      <c r="N37">
        <v>0</v>
      </c>
      <c r="O37">
        <v>-1</v>
      </c>
      <c r="P37">
        <f t="shared" si="0"/>
        <v>3</v>
      </c>
      <c r="Q37">
        <f t="shared" si="1"/>
        <v>3</v>
      </c>
      <c r="R37" s="1">
        <f>IF(OR(P37=0,Q37=0),0,MIN(P37,Q37)*Mapping!$I$2/P37)</f>
        <v>5.000000000000001E-2</v>
      </c>
      <c r="S37" s="1">
        <f>IF(OR(P37=0,Q37=0),0,MIN(P37,Q37)*Mapping!$I$2/Q37)</f>
        <v>5.000000000000001E-2</v>
      </c>
    </row>
    <row r="38" spans="1:19">
      <c r="A38" s="5">
        <v>40147</v>
      </c>
      <c r="B38" s="5">
        <v>40148</v>
      </c>
      <c r="C38">
        <v>1</v>
      </c>
      <c r="D38">
        <v>0</v>
      </c>
      <c r="E38">
        <v>1</v>
      </c>
      <c r="F38">
        <v>1</v>
      </c>
      <c r="G38">
        <v>0</v>
      </c>
      <c r="H38">
        <v>0</v>
      </c>
      <c r="I38">
        <v>-1</v>
      </c>
      <c r="J38">
        <v>-1</v>
      </c>
      <c r="K38">
        <v>0</v>
      </c>
      <c r="L38">
        <v>-1</v>
      </c>
      <c r="M38">
        <v>0</v>
      </c>
      <c r="N38">
        <v>0</v>
      </c>
      <c r="O38">
        <v>0</v>
      </c>
      <c r="P38">
        <f t="shared" si="0"/>
        <v>3</v>
      </c>
      <c r="Q38">
        <f t="shared" si="1"/>
        <v>3</v>
      </c>
      <c r="R38" s="1">
        <f>IF(OR(P38=0,Q38=0),0,MIN(P38,Q38)*Mapping!$I$2/P38)</f>
        <v>5.000000000000001E-2</v>
      </c>
      <c r="S38" s="1">
        <f>IF(OR(P38=0,Q38=0),0,MIN(P38,Q38)*Mapping!$I$2/Q38)</f>
        <v>5.000000000000001E-2</v>
      </c>
    </row>
    <row r="39" spans="1:19">
      <c r="A39" s="5">
        <v>40178</v>
      </c>
      <c r="B39" s="5">
        <v>40179</v>
      </c>
      <c r="C39">
        <v>1</v>
      </c>
      <c r="D39">
        <v>1</v>
      </c>
      <c r="E39">
        <v>1</v>
      </c>
      <c r="F39">
        <v>0</v>
      </c>
      <c r="G39">
        <v>-1</v>
      </c>
      <c r="H39">
        <v>0</v>
      </c>
      <c r="I39">
        <v>0</v>
      </c>
      <c r="J39">
        <v>-1</v>
      </c>
      <c r="K39">
        <v>0</v>
      </c>
      <c r="L39">
        <v>-1</v>
      </c>
      <c r="M39">
        <v>0</v>
      </c>
      <c r="N39">
        <v>0</v>
      </c>
      <c r="O39">
        <v>0</v>
      </c>
      <c r="P39">
        <f t="shared" si="0"/>
        <v>3</v>
      </c>
      <c r="Q39">
        <f t="shared" si="1"/>
        <v>3</v>
      </c>
      <c r="R39" s="1">
        <f>IF(OR(P39=0,Q39=0),0,MIN(P39,Q39)*Mapping!$I$2/P39)</f>
        <v>5.000000000000001E-2</v>
      </c>
      <c r="S39" s="1">
        <f>IF(OR(P39=0,Q39=0),0,MIN(P39,Q39)*Mapping!$I$2/Q39)</f>
        <v>5.000000000000001E-2</v>
      </c>
    </row>
    <row r="40" spans="1:19">
      <c r="A40" s="5">
        <v>40209</v>
      </c>
      <c r="B40" s="5">
        <v>40210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-1</v>
      </c>
      <c r="J40">
        <v>-1</v>
      </c>
      <c r="K40">
        <v>-1</v>
      </c>
      <c r="L40">
        <v>0</v>
      </c>
      <c r="M40">
        <v>0</v>
      </c>
      <c r="N40">
        <v>0</v>
      </c>
      <c r="O40">
        <v>0</v>
      </c>
      <c r="P40">
        <f t="shared" si="0"/>
        <v>3</v>
      </c>
      <c r="Q40">
        <f t="shared" si="1"/>
        <v>3</v>
      </c>
      <c r="R40" s="1">
        <f>IF(OR(P40=0,Q40=0),0,MIN(P40,Q40)*Mapping!$I$2/P40)</f>
        <v>5.000000000000001E-2</v>
      </c>
      <c r="S40" s="1">
        <f>IF(OR(P40=0,Q40=0),0,MIN(P40,Q40)*Mapping!$I$2/Q40)</f>
        <v>5.000000000000001E-2</v>
      </c>
    </row>
    <row r="41" spans="1:19">
      <c r="A41" s="5">
        <v>40237</v>
      </c>
      <c r="B41" s="5">
        <v>40238</v>
      </c>
      <c r="C41">
        <v>1</v>
      </c>
      <c r="D41">
        <v>0</v>
      </c>
      <c r="E41">
        <v>1</v>
      </c>
      <c r="F41">
        <v>0</v>
      </c>
      <c r="G41">
        <v>1</v>
      </c>
      <c r="H41">
        <v>0</v>
      </c>
      <c r="I41">
        <v>-1</v>
      </c>
      <c r="J41">
        <v>-1</v>
      </c>
      <c r="K41">
        <v>0</v>
      </c>
      <c r="L41">
        <v>-1</v>
      </c>
      <c r="M41">
        <v>0</v>
      </c>
      <c r="N41">
        <v>0</v>
      </c>
      <c r="O41">
        <v>0</v>
      </c>
      <c r="P41">
        <f t="shared" si="0"/>
        <v>3</v>
      </c>
      <c r="Q41">
        <f t="shared" si="1"/>
        <v>3</v>
      </c>
      <c r="R41" s="1">
        <f>IF(OR(P41=0,Q41=0),0,MIN(P41,Q41)*Mapping!$I$2/P41)</f>
        <v>5.000000000000001E-2</v>
      </c>
      <c r="S41" s="1">
        <f>IF(OR(P41=0,Q41=0),0,MIN(P41,Q41)*Mapping!$I$2/Q41)</f>
        <v>5.000000000000001E-2</v>
      </c>
    </row>
    <row r="42" spans="1:19">
      <c r="A42" s="5">
        <v>40268</v>
      </c>
      <c r="B42" s="5">
        <v>40269</v>
      </c>
      <c r="C42">
        <v>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-1</v>
      </c>
      <c r="L42">
        <v>-1</v>
      </c>
      <c r="M42">
        <v>0</v>
      </c>
      <c r="N42">
        <v>0</v>
      </c>
      <c r="O42">
        <v>-1</v>
      </c>
      <c r="P42">
        <f t="shared" si="0"/>
        <v>3</v>
      </c>
      <c r="Q42">
        <f t="shared" si="1"/>
        <v>3</v>
      </c>
      <c r="R42" s="1">
        <f>IF(OR(P42=0,Q42=0),0,MIN(P42,Q42)*Mapping!$I$2/P42)</f>
        <v>5.000000000000001E-2</v>
      </c>
      <c r="S42" s="1">
        <f>IF(OR(P42=0,Q42=0),0,MIN(P42,Q42)*Mapping!$I$2/Q42)</f>
        <v>5.000000000000001E-2</v>
      </c>
    </row>
    <row r="43" spans="1:19">
      <c r="A43" s="5">
        <v>40298</v>
      </c>
      <c r="B43" s="5">
        <v>40299</v>
      </c>
      <c r="C43">
        <v>1</v>
      </c>
      <c r="D43">
        <v>0</v>
      </c>
      <c r="E43">
        <v>1</v>
      </c>
      <c r="F43">
        <v>-1</v>
      </c>
      <c r="G43">
        <v>0</v>
      </c>
      <c r="H43">
        <v>0</v>
      </c>
      <c r="I43">
        <v>0</v>
      </c>
      <c r="J43">
        <v>-1</v>
      </c>
      <c r="K43">
        <v>-1</v>
      </c>
      <c r="L43">
        <v>0</v>
      </c>
      <c r="M43">
        <v>0</v>
      </c>
      <c r="N43">
        <v>1</v>
      </c>
      <c r="O43">
        <v>0</v>
      </c>
      <c r="P43">
        <f t="shared" si="0"/>
        <v>3</v>
      </c>
      <c r="Q43">
        <f t="shared" si="1"/>
        <v>3</v>
      </c>
      <c r="R43" s="1">
        <f>IF(OR(P43=0,Q43=0),0,MIN(P43,Q43)*Mapping!$I$2/P43)</f>
        <v>5.000000000000001E-2</v>
      </c>
      <c r="S43" s="1">
        <f>IF(OR(P43=0,Q43=0),0,MIN(P43,Q43)*Mapping!$I$2/Q43)</f>
        <v>5.000000000000001E-2</v>
      </c>
    </row>
    <row r="44" spans="1:19">
      <c r="A44" s="5">
        <v>40329</v>
      </c>
      <c r="B44" s="5">
        <v>40330</v>
      </c>
      <c r="C44">
        <v>0</v>
      </c>
      <c r="D44">
        <v>1</v>
      </c>
      <c r="E44">
        <v>1</v>
      </c>
      <c r="F44">
        <v>-1</v>
      </c>
      <c r="G44">
        <v>0</v>
      </c>
      <c r="H44">
        <v>0</v>
      </c>
      <c r="I44">
        <v>-1</v>
      </c>
      <c r="J44">
        <v>-1</v>
      </c>
      <c r="K44">
        <v>0</v>
      </c>
      <c r="L44">
        <v>0</v>
      </c>
      <c r="M44">
        <v>0</v>
      </c>
      <c r="N44">
        <v>1</v>
      </c>
      <c r="O44">
        <v>0</v>
      </c>
      <c r="P44">
        <f t="shared" si="0"/>
        <v>3</v>
      </c>
      <c r="Q44">
        <f t="shared" si="1"/>
        <v>3</v>
      </c>
      <c r="R44" s="1">
        <f>IF(OR(P44=0,Q44=0),0,MIN(P44,Q44)*Mapping!$I$2/P44)</f>
        <v>5.000000000000001E-2</v>
      </c>
      <c r="S44" s="1">
        <f>IF(OR(P44=0,Q44=0),0,MIN(P44,Q44)*Mapping!$I$2/Q44)</f>
        <v>5.000000000000001E-2</v>
      </c>
    </row>
    <row r="45" spans="1:19">
      <c r="A45" s="5">
        <v>40359</v>
      </c>
      <c r="B45" s="5">
        <v>40360</v>
      </c>
      <c r="C45">
        <v>0</v>
      </c>
      <c r="D45">
        <v>1</v>
      </c>
      <c r="E45">
        <v>1</v>
      </c>
      <c r="F45">
        <v>-1</v>
      </c>
      <c r="G45">
        <v>0</v>
      </c>
      <c r="H45">
        <v>1</v>
      </c>
      <c r="I45">
        <v>-1</v>
      </c>
      <c r="J45">
        <v>-1</v>
      </c>
      <c r="K45">
        <v>0</v>
      </c>
      <c r="L45">
        <v>0</v>
      </c>
      <c r="M45">
        <v>0</v>
      </c>
      <c r="N45">
        <v>0</v>
      </c>
      <c r="O45">
        <v>0</v>
      </c>
      <c r="P45">
        <f t="shared" si="0"/>
        <v>3</v>
      </c>
      <c r="Q45">
        <f t="shared" si="1"/>
        <v>3</v>
      </c>
      <c r="R45" s="1">
        <f>IF(OR(P45=0,Q45=0),0,MIN(P45,Q45)*Mapping!$I$2/P45)</f>
        <v>5.000000000000001E-2</v>
      </c>
      <c r="S45" s="1">
        <f>IF(OR(P45=0,Q45=0),0,MIN(P45,Q45)*Mapping!$I$2/Q45)</f>
        <v>5.000000000000001E-2</v>
      </c>
    </row>
    <row r="46" spans="1:19">
      <c r="A46" s="5">
        <v>40390</v>
      </c>
      <c r="B46" s="5">
        <v>40391</v>
      </c>
      <c r="C46">
        <v>0</v>
      </c>
      <c r="D46">
        <v>1</v>
      </c>
      <c r="E46">
        <v>1</v>
      </c>
      <c r="F46">
        <v>-1</v>
      </c>
      <c r="G46">
        <v>0</v>
      </c>
      <c r="H46">
        <v>0</v>
      </c>
      <c r="I46">
        <v>-1</v>
      </c>
      <c r="J46">
        <v>-1</v>
      </c>
      <c r="K46">
        <v>0</v>
      </c>
      <c r="L46">
        <v>0</v>
      </c>
      <c r="M46">
        <v>0</v>
      </c>
      <c r="N46">
        <v>0</v>
      </c>
      <c r="O46">
        <v>1</v>
      </c>
      <c r="P46">
        <f t="shared" si="0"/>
        <v>3</v>
      </c>
      <c r="Q46">
        <f t="shared" si="1"/>
        <v>3</v>
      </c>
      <c r="R46" s="1">
        <f>IF(OR(P46=0,Q46=0),0,MIN(P46,Q46)*Mapping!$I$2/P46)</f>
        <v>5.000000000000001E-2</v>
      </c>
      <c r="S46" s="1">
        <f>IF(OR(P46=0,Q46=0),0,MIN(P46,Q46)*Mapping!$I$2/Q46)</f>
        <v>5.000000000000001E-2</v>
      </c>
    </row>
    <row r="47" spans="1:19">
      <c r="A47" s="5">
        <v>40421</v>
      </c>
      <c r="B47" s="5">
        <v>40422</v>
      </c>
      <c r="C47">
        <v>0</v>
      </c>
      <c r="D47">
        <v>1</v>
      </c>
      <c r="E47">
        <v>1</v>
      </c>
      <c r="F47">
        <v>-1</v>
      </c>
      <c r="G47">
        <v>0</v>
      </c>
      <c r="H47">
        <v>0</v>
      </c>
      <c r="I47">
        <v>0</v>
      </c>
      <c r="J47">
        <v>-1</v>
      </c>
      <c r="K47">
        <v>0</v>
      </c>
      <c r="L47">
        <v>-1</v>
      </c>
      <c r="M47">
        <v>0</v>
      </c>
      <c r="N47">
        <v>0</v>
      </c>
      <c r="O47">
        <v>1</v>
      </c>
      <c r="P47">
        <f t="shared" si="0"/>
        <v>3</v>
      </c>
      <c r="Q47">
        <f t="shared" si="1"/>
        <v>3</v>
      </c>
      <c r="R47" s="1">
        <f>IF(OR(P47=0,Q47=0),0,MIN(P47,Q47)*Mapping!$I$2/P47)</f>
        <v>5.000000000000001E-2</v>
      </c>
      <c r="S47" s="1">
        <f>IF(OR(P47=0,Q47=0),0,MIN(P47,Q47)*Mapping!$I$2/Q47)</f>
        <v>5.000000000000001E-2</v>
      </c>
    </row>
    <row r="48" spans="1:19">
      <c r="A48" s="5">
        <v>40451</v>
      </c>
      <c r="B48" s="5">
        <v>40452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-1</v>
      </c>
      <c r="J48">
        <v>-1</v>
      </c>
      <c r="K48">
        <v>0</v>
      </c>
      <c r="L48">
        <v>-1</v>
      </c>
      <c r="M48">
        <v>0</v>
      </c>
      <c r="N48">
        <v>0</v>
      </c>
      <c r="O48">
        <v>1</v>
      </c>
      <c r="P48">
        <f t="shared" si="0"/>
        <v>3</v>
      </c>
      <c r="Q48">
        <f t="shared" si="1"/>
        <v>3</v>
      </c>
      <c r="R48" s="1">
        <f>IF(OR(P48=0,Q48=0),0,MIN(P48,Q48)*Mapping!$I$2/P48)</f>
        <v>5.000000000000001E-2</v>
      </c>
      <c r="S48" s="1">
        <f>IF(OR(P48=0,Q48=0),0,MIN(P48,Q48)*Mapping!$I$2/Q48)</f>
        <v>5.000000000000001E-2</v>
      </c>
    </row>
    <row r="49" spans="1:19">
      <c r="A49" s="5">
        <v>40482</v>
      </c>
      <c r="B49" s="5">
        <v>40483</v>
      </c>
      <c r="C49">
        <v>0</v>
      </c>
      <c r="D49">
        <v>1</v>
      </c>
      <c r="E49">
        <v>1</v>
      </c>
      <c r="F49">
        <v>-1</v>
      </c>
      <c r="G49">
        <v>0</v>
      </c>
      <c r="H49">
        <v>0</v>
      </c>
      <c r="I49">
        <v>-1</v>
      </c>
      <c r="J49">
        <v>-1</v>
      </c>
      <c r="K49">
        <v>0</v>
      </c>
      <c r="L49">
        <v>0</v>
      </c>
      <c r="M49">
        <v>0</v>
      </c>
      <c r="N49">
        <v>0</v>
      </c>
      <c r="O49">
        <v>1</v>
      </c>
      <c r="P49">
        <f t="shared" si="0"/>
        <v>3</v>
      </c>
      <c r="Q49">
        <f t="shared" si="1"/>
        <v>3</v>
      </c>
      <c r="R49" s="1">
        <f>IF(OR(P49=0,Q49=0),0,MIN(P49,Q49)*Mapping!$I$2/P49)</f>
        <v>5.000000000000001E-2</v>
      </c>
      <c r="S49" s="1">
        <f>IF(OR(P49=0,Q49=0),0,MIN(P49,Q49)*Mapping!$I$2/Q49)</f>
        <v>5.000000000000001E-2</v>
      </c>
    </row>
    <row r="50" spans="1:19">
      <c r="A50" s="5">
        <v>40512</v>
      </c>
      <c r="B50" s="5">
        <v>40513</v>
      </c>
      <c r="C50">
        <v>0</v>
      </c>
      <c r="D50">
        <v>1</v>
      </c>
      <c r="E50">
        <v>1</v>
      </c>
      <c r="F50">
        <v>-1</v>
      </c>
      <c r="G50">
        <v>0</v>
      </c>
      <c r="H50">
        <v>0</v>
      </c>
      <c r="I50">
        <v>-1</v>
      </c>
      <c r="J50">
        <v>-1</v>
      </c>
      <c r="K50">
        <v>0</v>
      </c>
      <c r="L50">
        <v>0</v>
      </c>
      <c r="M50">
        <v>0</v>
      </c>
      <c r="N50">
        <v>0</v>
      </c>
      <c r="O50">
        <v>1</v>
      </c>
      <c r="P50">
        <f t="shared" si="0"/>
        <v>3</v>
      </c>
      <c r="Q50">
        <f t="shared" si="1"/>
        <v>3</v>
      </c>
      <c r="R50" s="1">
        <f>IF(OR(P50=0,Q50=0),0,MIN(P50,Q50)*Mapping!$I$2/P50)</f>
        <v>5.000000000000001E-2</v>
      </c>
      <c r="S50" s="1">
        <f>IF(OR(P50=0,Q50=0),0,MIN(P50,Q50)*Mapping!$I$2/Q50)</f>
        <v>5.000000000000001E-2</v>
      </c>
    </row>
    <row r="51" spans="1:19">
      <c r="A51" s="5">
        <v>40543</v>
      </c>
      <c r="B51" s="5">
        <v>40544</v>
      </c>
      <c r="C51">
        <v>0</v>
      </c>
      <c r="D51">
        <v>1</v>
      </c>
      <c r="E51">
        <v>0</v>
      </c>
      <c r="F51">
        <v>-1</v>
      </c>
      <c r="G51">
        <v>-1</v>
      </c>
      <c r="H51">
        <v>0</v>
      </c>
      <c r="I51">
        <v>0</v>
      </c>
      <c r="J51">
        <v>-1</v>
      </c>
      <c r="K51">
        <v>0</v>
      </c>
      <c r="L51">
        <v>0</v>
      </c>
      <c r="M51">
        <v>1</v>
      </c>
      <c r="N51">
        <v>0</v>
      </c>
      <c r="O51">
        <v>1</v>
      </c>
      <c r="P51">
        <f t="shared" si="0"/>
        <v>3</v>
      </c>
      <c r="Q51">
        <f t="shared" si="1"/>
        <v>3</v>
      </c>
      <c r="R51" s="1">
        <f>IF(OR(P51=0,Q51=0),0,MIN(P51,Q51)*Mapping!$I$2/P51)</f>
        <v>5.000000000000001E-2</v>
      </c>
      <c r="S51" s="1">
        <f>IF(OR(P51=0,Q51=0),0,MIN(P51,Q51)*Mapping!$I$2/Q51)</f>
        <v>5.000000000000001E-2</v>
      </c>
    </row>
    <row r="52" spans="1:19">
      <c r="A52" s="5">
        <v>40574</v>
      </c>
      <c r="B52" s="5">
        <v>40575</v>
      </c>
      <c r="C52">
        <v>0</v>
      </c>
      <c r="D52">
        <v>1</v>
      </c>
      <c r="E52">
        <v>1</v>
      </c>
      <c r="F52">
        <v>-1</v>
      </c>
      <c r="G52">
        <v>0</v>
      </c>
      <c r="H52">
        <v>0</v>
      </c>
      <c r="I52">
        <v>-1</v>
      </c>
      <c r="J52">
        <v>-1</v>
      </c>
      <c r="K52">
        <v>0</v>
      </c>
      <c r="L52">
        <v>0</v>
      </c>
      <c r="M52">
        <v>0</v>
      </c>
      <c r="N52">
        <v>0</v>
      </c>
      <c r="O52">
        <v>1</v>
      </c>
      <c r="P52">
        <f t="shared" si="0"/>
        <v>3</v>
      </c>
      <c r="Q52">
        <f t="shared" si="1"/>
        <v>3</v>
      </c>
      <c r="R52" s="1">
        <f>IF(OR(P52=0,Q52=0),0,MIN(P52,Q52)*Mapping!$I$2/P52)</f>
        <v>5.000000000000001E-2</v>
      </c>
      <c r="S52" s="1">
        <f>IF(OR(P52=0,Q52=0),0,MIN(P52,Q52)*Mapping!$I$2/Q52)</f>
        <v>5.000000000000001E-2</v>
      </c>
    </row>
    <row r="53" spans="1:19">
      <c r="A53" s="5">
        <v>40602</v>
      </c>
      <c r="B53" s="5">
        <v>40603</v>
      </c>
      <c r="C53">
        <v>0</v>
      </c>
      <c r="D53">
        <v>0</v>
      </c>
      <c r="E53">
        <v>1</v>
      </c>
      <c r="F53">
        <v>-1</v>
      </c>
      <c r="G53">
        <v>-1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f t="shared" si="0"/>
        <v>3</v>
      </c>
      <c r="Q53">
        <f t="shared" si="1"/>
        <v>2</v>
      </c>
      <c r="R53" s="1">
        <f>IF(OR(P53=0,Q53=0),0,MIN(P53,Q53)*Mapping!$I$2/P53)</f>
        <v>3.3333333333333333E-2</v>
      </c>
      <c r="S53" s="1">
        <f>IF(OR(P53=0,Q53=0),0,MIN(P53,Q53)*Mapping!$I$2/Q53)</f>
        <v>0.05</v>
      </c>
    </row>
    <row r="54" spans="1:19">
      <c r="A54" s="5">
        <v>40633</v>
      </c>
      <c r="B54" s="5">
        <v>40634</v>
      </c>
      <c r="C54">
        <v>1</v>
      </c>
      <c r="D54">
        <v>0</v>
      </c>
      <c r="E54">
        <v>0</v>
      </c>
      <c r="F54">
        <v>-1</v>
      </c>
      <c r="G54">
        <v>0</v>
      </c>
      <c r="H54">
        <v>0</v>
      </c>
      <c r="I54">
        <v>1</v>
      </c>
      <c r="J54">
        <v>-1</v>
      </c>
      <c r="K54">
        <v>-1</v>
      </c>
      <c r="L54">
        <v>0</v>
      </c>
      <c r="M54">
        <v>0</v>
      </c>
      <c r="N54">
        <v>0</v>
      </c>
      <c r="O54">
        <v>1</v>
      </c>
      <c r="P54">
        <f t="shared" si="0"/>
        <v>3</v>
      </c>
      <c r="Q54">
        <f t="shared" si="1"/>
        <v>3</v>
      </c>
      <c r="R54" s="1">
        <f>IF(OR(P54=0,Q54=0),0,MIN(P54,Q54)*Mapping!$I$2/P54)</f>
        <v>5.000000000000001E-2</v>
      </c>
      <c r="S54" s="1">
        <f>IF(OR(P54=0,Q54=0),0,MIN(P54,Q54)*Mapping!$I$2/Q54)</f>
        <v>5.000000000000001E-2</v>
      </c>
    </row>
    <row r="55" spans="1:19">
      <c r="A55" s="5">
        <v>40663</v>
      </c>
      <c r="B55" s="5">
        <v>40664</v>
      </c>
      <c r="C55">
        <v>1</v>
      </c>
      <c r="D55">
        <v>0</v>
      </c>
      <c r="E55">
        <v>0</v>
      </c>
      <c r="F55">
        <v>-1</v>
      </c>
      <c r="G55">
        <v>-1</v>
      </c>
      <c r="H55">
        <v>0</v>
      </c>
      <c r="I55">
        <v>1</v>
      </c>
      <c r="J55">
        <v>-1</v>
      </c>
      <c r="K55">
        <v>0</v>
      </c>
      <c r="L55">
        <v>0</v>
      </c>
      <c r="M55">
        <v>0</v>
      </c>
      <c r="N55">
        <v>0</v>
      </c>
      <c r="O55">
        <v>1</v>
      </c>
      <c r="P55">
        <f t="shared" si="0"/>
        <v>3</v>
      </c>
      <c r="Q55">
        <f t="shared" si="1"/>
        <v>3</v>
      </c>
      <c r="R55" s="1">
        <f>IF(OR(P55=0,Q55=0),0,MIN(P55,Q55)*Mapping!$I$2/P55)</f>
        <v>5.000000000000001E-2</v>
      </c>
      <c r="S55" s="1">
        <f>IF(OR(P55=0,Q55=0),0,MIN(P55,Q55)*Mapping!$I$2/Q55)</f>
        <v>5.000000000000001E-2</v>
      </c>
    </row>
    <row r="56" spans="1:19">
      <c r="A56" s="5">
        <v>40694</v>
      </c>
      <c r="B56" s="5">
        <v>40695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>
        <v>0</v>
      </c>
      <c r="J56">
        <v>-1</v>
      </c>
      <c r="K56">
        <v>-1</v>
      </c>
      <c r="L56">
        <v>-1</v>
      </c>
      <c r="M56">
        <v>0</v>
      </c>
      <c r="N56">
        <v>0</v>
      </c>
      <c r="O56">
        <v>1</v>
      </c>
      <c r="P56">
        <f t="shared" si="0"/>
        <v>3</v>
      </c>
      <c r="Q56">
        <f t="shared" si="1"/>
        <v>3</v>
      </c>
      <c r="R56" s="1">
        <f>IF(OR(P56=0,Q56=0),0,MIN(P56,Q56)*Mapping!$I$2/P56)</f>
        <v>5.000000000000001E-2</v>
      </c>
      <c r="S56" s="1">
        <f>IF(OR(P56=0,Q56=0),0,MIN(P56,Q56)*Mapping!$I$2/Q56)</f>
        <v>5.000000000000001E-2</v>
      </c>
    </row>
    <row r="57" spans="1:19">
      <c r="A57" s="5">
        <v>40724</v>
      </c>
      <c r="B57" s="5">
        <v>40725</v>
      </c>
      <c r="C57">
        <v>1</v>
      </c>
      <c r="D57">
        <v>0</v>
      </c>
      <c r="E57">
        <v>1</v>
      </c>
      <c r="F57">
        <v>-1</v>
      </c>
      <c r="G57">
        <v>0</v>
      </c>
      <c r="H57">
        <v>0</v>
      </c>
      <c r="I57">
        <v>0</v>
      </c>
      <c r="J57">
        <v>-1</v>
      </c>
      <c r="K57">
        <v>0</v>
      </c>
      <c r="L57">
        <v>0</v>
      </c>
      <c r="M57">
        <v>0</v>
      </c>
      <c r="N57">
        <v>-1</v>
      </c>
      <c r="O57">
        <v>1</v>
      </c>
      <c r="P57">
        <f t="shared" si="0"/>
        <v>3</v>
      </c>
      <c r="Q57">
        <f t="shared" si="1"/>
        <v>3</v>
      </c>
      <c r="R57" s="1">
        <f>IF(OR(P57=0,Q57=0),0,MIN(P57,Q57)*Mapping!$I$2/P57)</f>
        <v>5.000000000000001E-2</v>
      </c>
      <c r="S57" s="1">
        <f>IF(OR(P57=0,Q57=0),0,MIN(P57,Q57)*Mapping!$I$2/Q57)</f>
        <v>5.000000000000001E-2</v>
      </c>
    </row>
    <row r="58" spans="1:19">
      <c r="A58" s="5">
        <v>40755</v>
      </c>
      <c r="B58" s="5">
        <v>40756</v>
      </c>
      <c r="C58">
        <v>0</v>
      </c>
      <c r="D58">
        <v>1</v>
      </c>
      <c r="E58">
        <v>1</v>
      </c>
      <c r="F58">
        <v>-1</v>
      </c>
      <c r="G58">
        <v>0</v>
      </c>
      <c r="H58">
        <v>0</v>
      </c>
      <c r="I58">
        <v>-1</v>
      </c>
      <c r="J58">
        <v>-1</v>
      </c>
      <c r="K58">
        <v>0</v>
      </c>
      <c r="L58">
        <v>0</v>
      </c>
      <c r="M58">
        <v>0</v>
      </c>
      <c r="N58">
        <v>0</v>
      </c>
      <c r="O58">
        <v>1</v>
      </c>
      <c r="P58">
        <f t="shared" si="0"/>
        <v>3</v>
      </c>
      <c r="Q58">
        <f t="shared" si="1"/>
        <v>3</v>
      </c>
      <c r="R58" s="1">
        <f>IF(OR(P58=0,Q58=0),0,MIN(P58,Q58)*Mapping!$I$2/P58)</f>
        <v>5.000000000000001E-2</v>
      </c>
      <c r="S58" s="1">
        <f>IF(OR(P58=0,Q58=0),0,MIN(P58,Q58)*Mapping!$I$2/Q58)</f>
        <v>5.000000000000001E-2</v>
      </c>
    </row>
    <row r="59" spans="1:19">
      <c r="A59" s="5">
        <v>40786</v>
      </c>
      <c r="B59" s="5">
        <v>40787</v>
      </c>
      <c r="C59">
        <v>0</v>
      </c>
      <c r="D59">
        <v>1</v>
      </c>
      <c r="E59">
        <v>1</v>
      </c>
      <c r="F59">
        <v>-1</v>
      </c>
      <c r="G59">
        <v>0</v>
      </c>
      <c r="H59">
        <v>0</v>
      </c>
      <c r="I59">
        <v>0</v>
      </c>
      <c r="J59">
        <v>-1</v>
      </c>
      <c r="K59">
        <v>0</v>
      </c>
      <c r="L59">
        <v>0</v>
      </c>
      <c r="M59">
        <v>0</v>
      </c>
      <c r="N59">
        <v>-1</v>
      </c>
      <c r="O59">
        <v>1</v>
      </c>
      <c r="P59">
        <f t="shared" si="0"/>
        <v>3</v>
      </c>
      <c r="Q59">
        <f t="shared" si="1"/>
        <v>3</v>
      </c>
      <c r="R59" s="1">
        <f>IF(OR(P59=0,Q59=0),0,MIN(P59,Q59)*Mapping!$I$2/P59)</f>
        <v>5.000000000000001E-2</v>
      </c>
      <c r="S59" s="1">
        <f>IF(OR(P59=0,Q59=0),0,MIN(P59,Q59)*Mapping!$I$2/Q59)</f>
        <v>5.000000000000001E-2</v>
      </c>
    </row>
    <row r="60" spans="1:19">
      <c r="A60" s="5">
        <v>40816</v>
      </c>
      <c r="B60" s="5">
        <v>40817</v>
      </c>
      <c r="C60">
        <v>0</v>
      </c>
      <c r="D60">
        <v>1</v>
      </c>
      <c r="E60">
        <v>1</v>
      </c>
      <c r="F60">
        <v>-1</v>
      </c>
      <c r="G60">
        <v>1</v>
      </c>
      <c r="H60">
        <v>0</v>
      </c>
      <c r="I60">
        <v>0</v>
      </c>
      <c r="J60">
        <v>-1</v>
      </c>
      <c r="K60">
        <v>0</v>
      </c>
      <c r="L60">
        <v>-1</v>
      </c>
      <c r="M60">
        <v>0</v>
      </c>
      <c r="N60">
        <v>0</v>
      </c>
      <c r="O60">
        <v>0</v>
      </c>
      <c r="P60">
        <f t="shared" si="0"/>
        <v>3</v>
      </c>
      <c r="Q60">
        <f t="shared" si="1"/>
        <v>3</v>
      </c>
      <c r="R60" s="1">
        <f>IF(OR(P60=0,Q60=0),0,MIN(P60,Q60)*Mapping!$I$2/P60)</f>
        <v>5.000000000000001E-2</v>
      </c>
      <c r="S60" s="1">
        <f>IF(OR(P60=0,Q60=0),0,MIN(P60,Q60)*Mapping!$I$2/Q60)</f>
        <v>5.000000000000001E-2</v>
      </c>
    </row>
    <row r="61" spans="1:19">
      <c r="A61" s="5">
        <v>40847</v>
      </c>
      <c r="B61" s="5">
        <v>40848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-1</v>
      </c>
      <c r="J61">
        <v>0</v>
      </c>
      <c r="K61">
        <v>0</v>
      </c>
      <c r="L61">
        <v>-1</v>
      </c>
      <c r="M61">
        <v>0</v>
      </c>
      <c r="N61">
        <v>0</v>
      </c>
      <c r="O61">
        <v>0</v>
      </c>
      <c r="P61">
        <f t="shared" si="0"/>
        <v>3</v>
      </c>
      <c r="Q61">
        <f t="shared" si="1"/>
        <v>2</v>
      </c>
      <c r="R61" s="1">
        <f>IF(OR(P61=0,Q61=0),0,MIN(P61,Q61)*Mapping!$I$2/P61)</f>
        <v>3.3333333333333333E-2</v>
      </c>
      <c r="S61" s="1">
        <f>IF(OR(P61=0,Q61=0),0,MIN(P61,Q61)*Mapping!$I$2/Q61)</f>
        <v>0.05</v>
      </c>
    </row>
    <row r="62" spans="1:19">
      <c r="A62" s="5">
        <v>40877</v>
      </c>
      <c r="B62" s="5">
        <v>40878</v>
      </c>
      <c r="C62">
        <v>0</v>
      </c>
      <c r="D62">
        <v>1</v>
      </c>
      <c r="E62">
        <v>1</v>
      </c>
      <c r="F62">
        <v>0</v>
      </c>
      <c r="G62">
        <v>0</v>
      </c>
      <c r="H62">
        <v>-1</v>
      </c>
      <c r="I62">
        <v>-1</v>
      </c>
      <c r="J62">
        <v>0</v>
      </c>
      <c r="K62">
        <v>0</v>
      </c>
      <c r="L62">
        <v>0</v>
      </c>
      <c r="M62">
        <v>0</v>
      </c>
      <c r="N62">
        <v>1</v>
      </c>
      <c r="O62">
        <v>-1</v>
      </c>
      <c r="P62">
        <f t="shared" si="0"/>
        <v>3</v>
      </c>
      <c r="Q62">
        <f t="shared" si="1"/>
        <v>3</v>
      </c>
      <c r="R62" s="1">
        <f>IF(OR(P62=0,Q62=0),0,MIN(P62,Q62)*Mapping!$I$2/P62)</f>
        <v>5.000000000000001E-2</v>
      </c>
      <c r="S62" s="1">
        <f>IF(OR(P62=0,Q62=0),0,MIN(P62,Q62)*Mapping!$I$2/Q62)</f>
        <v>5.000000000000001E-2</v>
      </c>
    </row>
    <row r="63" spans="1:19">
      <c r="A63" s="5">
        <v>40908</v>
      </c>
      <c r="B63" s="5">
        <v>40909</v>
      </c>
      <c r="C63">
        <v>-1</v>
      </c>
      <c r="D63">
        <v>0</v>
      </c>
      <c r="E63">
        <v>1</v>
      </c>
      <c r="F63">
        <v>0</v>
      </c>
      <c r="G63">
        <v>0</v>
      </c>
      <c r="H63">
        <v>-1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-1</v>
      </c>
      <c r="P63">
        <f t="shared" si="0"/>
        <v>3</v>
      </c>
      <c r="Q63">
        <f t="shared" si="1"/>
        <v>3</v>
      </c>
      <c r="R63" s="1">
        <f>IF(OR(P63=0,Q63=0),0,MIN(P63,Q63)*Mapping!$I$2/P63)</f>
        <v>5.000000000000001E-2</v>
      </c>
      <c r="S63" s="1">
        <f>IF(OR(P63=0,Q63=0),0,MIN(P63,Q63)*Mapping!$I$2/Q63)</f>
        <v>5.000000000000001E-2</v>
      </c>
    </row>
    <row r="64" spans="1:19">
      <c r="A64" s="5">
        <v>40939</v>
      </c>
      <c r="B64" s="5">
        <v>40940</v>
      </c>
      <c r="C64">
        <v>-1</v>
      </c>
      <c r="D64">
        <v>1</v>
      </c>
      <c r="E64">
        <v>1</v>
      </c>
      <c r="F64">
        <v>-1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-1</v>
      </c>
      <c r="P64">
        <f t="shared" si="0"/>
        <v>3</v>
      </c>
      <c r="Q64">
        <f t="shared" si="1"/>
        <v>3</v>
      </c>
      <c r="R64" s="1">
        <f>IF(OR(P64=0,Q64=0),0,MIN(P64,Q64)*Mapping!$I$2/P64)</f>
        <v>5.000000000000001E-2</v>
      </c>
      <c r="S64" s="1">
        <f>IF(OR(P64=0,Q64=0),0,MIN(P64,Q64)*Mapping!$I$2/Q64)</f>
        <v>5.000000000000001E-2</v>
      </c>
    </row>
    <row r="65" spans="1:19">
      <c r="A65" s="5">
        <v>40968</v>
      </c>
      <c r="B65" s="5">
        <v>40969</v>
      </c>
      <c r="C65">
        <v>-1</v>
      </c>
      <c r="D65">
        <v>1</v>
      </c>
      <c r="E65">
        <v>0</v>
      </c>
      <c r="F65">
        <v>-1</v>
      </c>
      <c r="G65">
        <v>1</v>
      </c>
      <c r="H65">
        <v>0</v>
      </c>
      <c r="I65">
        <v>0</v>
      </c>
      <c r="J65">
        <v>0</v>
      </c>
      <c r="K65">
        <v>-1</v>
      </c>
      <c r="L65">
        <v>0</v>
      </c>
      <c r="M65">
        <v>0</v>
      </c>
      <c r="N65">
        <v>1</v>
      </c>
      <c r="O65">
        <v>0</v>
      </c>
      <c r="P65">
        <f t="shared" si="0"/>
        <v>3</v>
      </c>
      <c r="Q65">
        <f t="shared" si="1"/>
        <v>3</v>
      </c>
      <c r="R65" s="1">
        <f>IF(OR(P65=0,Q65=0),0,MIN(P65,Q65)*Mapping!$I$2/P65)</f>
        <v>5.000000000000001E-2</v>
      </c>
      <c r="S65" s="1">
        <f>IF(OR(P65=0,Q65=0),0,MIN(P65,Q65)*Mapping!$I$2/Q65)</f>
        <v>5.000000000000001E-2</v>
      </c>
    </row>
    <row r="66" spans="1:19">
      <c r="A66" s="5">
        <v>40999</v>
      </c>
      <c r="B66" s="5">
        <v>41000</v>
      </c>
      <c r="C66">
        <v>-1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-1</v>
      </c>
      <c r="K66">
        <v>0</v>
      </c>
      <c r="L66">
        <v>-1</v>
      </c>
      <c r="M66">
        <v>0</v>
      </c>
      <c r="N66">
        <v>0</v>
      </c>
      <c r="O66">
        <v>1</v>
      </c>
      <c r="P66">
        <f t="shared" si="0"/>
        <v>3</v>
      </c>
      <c r="Q66">
        <f t="shared" si="1"/>
        <v>3</v>
      </c>
      <c r="R66" s="1">
        <f>IF(OR(P66=0,Q66=0),0,MIN(P66,Q66)*Mapping!$I$2/P66)</f>
        <v>5.000000000000001E-2</v>
      </c>
      <c r="S66" s="1">
        <f>IF(OR(P66=0,Q66=0),0,MIN(P66,Q66)*Mapping!$I$2/Q66)</f>
        <v>5.000000000000001E-2</v>
      </c>
    </row>
    <row r="67" spans="1:19">
      <c r="A67" s="5">
        <v>41029</v>
      </c>
      <c r="B67" s="5">
        <v>41030</v>
      </c>
      <c r="C67">
        <v>-1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-1</v>
      </c>
      <c r="K67">
        <v>-1</v>
      </c>
      <c r="L67">
        <v>0</v>
      </c>
      <c r="M67">
        <v>0</v>
      </c>
      <c r="N67">
        <v>1</v>
      </c>
      <c r="O67">
        <v>0</v>
      </c>
      <c r="P67">
        <f t="shared" ref="P67:P130" si="2">COUNTIF(C67:O67,1)</f>
        <v>3</v>
      </c>
      <c r="Q67">
        <f t="shared" ref="Q67:Q130" si="3">COUNTIF(C67:O67,-1)</f>
        <v>3</v>
      </c>
      <c r="R67" s="1">
        <f>IF(OR(P67=0,Q67=0),0,MIN(P67,Q67)*Mapping!$I$2/P67)</f>
        <v>5.000000000000001E-2</v>
      </c>
      <c r="S67" s="1">
        <f>IF(OR(P67=0,Q67=0),0,MIN(P67,Q67)*Mapping!$I$2/Q67)</f>
        <v>5.000000000000001E-2</v>
      </c>
    </row>
    <row r="68" spans="1:19">
      <c r="A68" s="5">
        <v>41060</v>
      </c>
      <c r="B68" s="5">
        <v>41061</v>
      </c>
      <c r="C68">
        <v>-1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-1</v>
      </c>
      <c r="L68">
        <v>-1</v>
      </c>
      <c r="M68">
        <v>0</v>
      </c>
      <c r="N68">
        <v>1</v>
      </c>
      <c r="O68">
        <v>0</v>
      </c>
      <c r="P68">
        <f t="shared" si="2"/>
        <v>3</v>
      </c>
      <c r="Q68">
        <f t="shared" si="3"/>
        <v>3</v>
      </c>
      <c r="R68" s="1">
        <f>IF(OR(P68=0,Q68=0),0,MIN(P68,Q68)*Mapping!$I$2/P68)</f>
        <v>5.000000000000001E-2</v>
      </c>
      <c r="S68" s="1">
        <f>IF(OR(P68=0,Q68=0),0,MIN(P68,Q68)*Mapping!$I$2/Q68)</f>
        <v>5.000000000000001E-2</v>
      </c>
    </row>
    <row r="69" spans="1:19">
      <c r="A69" s="5">
        <v>41090</v>
      </c>
      <c r="B69" s="5">
        <v>41091</v>
      </c>
      <c r="C69">
        <v>-1</v>
      </c>
      <c r="D69">
        <v>1</v>
      </c>
      <c r="E69">
        <v>1</v>
      </c>
      <c r="F69">
        <v>-1</v>
      </c>
      <c r="G69">
        <v>0</v>
      </c>
      <c r="H69">
        <v>1</v>
      </c>
      <c r="I69">
        <v>0</v>
      </c>
      <c r="J69">
        <v>0</v>
      </c>
      <c r="K69">
        <v>0</v>
      </c>
      <c r="L69">
        <v>-1</v>
      </c>
      <c r="M69">
        <v>0</v>
      </c>
      <c r="N69">
        <v>0</v>
      </c>
      <c r="O69">
        <v>0</v>
      </c>
      <c r="P69">
        <f t="shared" si="2"/>
        <v>3</v>
      </c>
      <c r="Q69">
        <f t="shared" si="3"/>
        <v>3</v>
      </c>
      <c r="R69" s="1">
        <f>IF(OR(P69=0,Q69=0),0,MIN(P69,Q69)*Mapping!$I$2/P69)</f>
        <v>5.000000000000001E-2</v>
      </c>
      <c r="S69" s="1">
        <f>IF(OR(P69=0,Q69=0),0,MIN(P69,Q69)*Mapping!$I$2/Q69)</f>
        <v>5.000000000000001E-2</v>
      </c>
    </row>
    <row r="70" spans="1:19">
      <c r="A70" s="5">
        <v>41121</v>
      </c>
      <c r="B70" s="5">
        <v>41122</v>
      </c>
      <c r="C70">
        <v>-1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-1</v>
      </c>
      <c r="L70">
        <v>-1</v>
      </c>
      <c r="M70">
        <v>0</v>
      </c>
      <c r="N70">
        <v>1</v>
      </c>
      <c r="O70">
        <v>0</v>
      </c>
      <c r="P70">
        <f t="shared" si="2"/>
        <v>3</v>
      </c>
      <c r="Q70">
        <f t="shared" si="3"/>
        <v>3</v>
      </c>
      <c r="R70" s="1">
        <f>IF(OR(P70=0,Q70=0),0,MIN(P70,Q70)*Mapping!$I$2/P70)</f>
        <v>5.000000000000001E-2</v>
      </c>
      <c r="S70" s="1">
        <f>IF(OR(P70=0,Q70=0),0,MIN(P70,Q70)*Mapping!$I$2/Q70)</f>
        <v>5.000000000000001E-2</v>
      </c>
    </row>
    <row r="71" spans="1:19">
      <c r="A71" s="5">
        <v>41152</v>
      </c>
      <c r="B71" s="5">
        <v>41153</v>
      </c>
      <c r="C71">
        <v>-1</v>
      </c>
      <c r="D71">
        <v>0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-1</v>
      </c>
      <c r="L71">
        <v>-1</v>
      </c>
      <c r="M71">
        <v>0</v>
      </c>
      <c r="N71">
        <v>0</v>
      </c>
      <c r="O71">
        <v>1</v>
      </c>
      <c r="P71">
        <f t="shared" si="2"/>
        <v>3</v>
      </c>
      <c r="Q71">
        <f t="shared" si="3"/>
        <v>3</v>
      </c>
      <c r="R71" s="1">
        <f>IF(OR(P71=0,Q71=0),0,MIN(P71,Q71)*Mapping!$I$2/P71)</f>
        <v>5.000000000000001E-2</v>
      </c>
      <c r="S71" s="1">
        <f>IF(OR(P71=0,Q71=0),0,MIN(P71,Q71)*Mapping!$I$2/Q71)</f>
        <v>5.000000000000001E-2</v>
      </c>
    </row>
    <row r="72" spans="1:19">
      <c r="A72" s="5">
        <v>41182</v>
      </c>
      <c r="B72" s="5">
        <v>41183</v>
      </c>
      <c r="C72">
        <v>-1</v>
      </c>
      <c r="D72">
        <v>1</v>
      </c>
      <c r="E72">
        <v>1</v>
      </c>
      <c r="F72">
        <v>0</v>
      </c>
      <c r="G72">
        <v>0</v>
      </c>
      <c r="H72">
        <v>1</v>
      </c>
      <c r="I72">
        <v>-1</v>
      </c>
      <c r="J72">
        <v>0</v>
      </c>
      <c r="K72">
        <v>-1</v>
      </c>
      <c r="L72">
        <v>0</v>
      </c>
      <c r="M72">
        <v>0</v>
      </c>
      <c r="N72">
        <v>0</v>
      </c>
      <c r="O72">
        <v>0</v>
      </c>
      <c r="P72">
        <f t="shared" si="2"/>
        <v>3</v>
      </c>
      <c r="Q72">
        <f t="shared" si="3"/>
        <v>3</v>
      </c>
      <c r="R72" s="1">
        <f>IF(OR(P72=0,Q72=0),0,MIN(P72,Q72)*Mapping!$I$2/P72)</f>
        <v>5.000000000000001E-2</v>
      </c>
      <c r="S72" s="1">
        <f>IF(OR(P72=0,Q72=0),0,MIN(P72,Q72)*Mapping!$I$2/Q72)</f>
        <v>5.000000000000001E-2</v>
      </c>
    </row>
    <row r="73" spans="1:19">
      <c r="A73" s="5">
        <v>41213</v>
      </c>
      <c r="B73" s="5">
        <v>41214</v>
      </c>
      <c r="C73">
        <v>-1</v>
      </c>
      <c r="D73">
        <v>0</v>
      </c>
      <c r="E73">
        <v>1</v>
      </c>
      <c r="F73">
        <v>1</v>
      </c>
      <c r="G73">
        <v>0</v>
      </c>
      <c r="H73">
        <v>1</v>
      </c>
      <c r="I73">
        <v>-1</v>
      </c>
      <c r="J73">
        <v>0</v>
      </c>
      <c r="K73">
        <v>-1</v>
      </c>
      <c r="L73">
        <v>0</v>
      </c>
      <c r="M73">
        <v>0</v>
      </c>
      <c r="N73">
        <v>0</v>
      </c>
      <c r="O73">
        <v>0</v>
      </c>
      <c r="P73">
        <f t="shared" si="2"/>
        <v>3</v>
      </c>
      <c r="Q73">
        <f t="shared" si="3"/>
        <v>3</v>
      </c>
      <c r="R73" s="1">
        <f>IF(OR(P73=0,Q73=0),0,MIN(P73,Q73)*Mapping!$I$2/P73)</f>
        <v>5.000000000000001E-2</v>
      </c>
      <c r="S73" s="1">
        <f>IF(OR(P73=0,Q73=0),0,MIN(P73,Q73)*Mapping!$I$2/Q73)</f>
        <v>5.000000000000001E-2</v>
      </c>
    </row>
    <row r="74" spans="1:19">
      <c r="A74" s="5">
        <v>41243</v>
      </c>
      <c r="B74" s="5">
        <v>41244</v>
      </c>
      <c r="C74">
        <v>-1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1</v>
      </c>
      <c r="K74">
        <v>-1</v>
      </c>
      <c r="L74">
        <v>-1</v>
      </c>
      <c r="M74">
        <v>0</v>
      </c>
      <c r="N74">
        <v>0</v>
      </c>
      <c r="O74">
        <v>0</v>
      </c>
      <c r="P74">
        <f t="shared" si="2"/>
        <v>3</v>
      </c>
      <c r="Q74">
        <f t="shared" si="3"/>
        <v>3</v>
      </c>
      <c r="R74" s="1">
        <f>IF(OR(P74=0,Q74=0),0,MIN(P74,Q74)*Mapping!$I$2/P74)</f>
        <v>5.000000000000001E-2</v>
      </c>
      <c r="S74" s="1">
        <f>IF(OR(P74=0,Q74=0),0,MIN(P74,Q74)*Mapping!$I$2/Q74)</f>
        <v>5.000000000000001E-2</v>
      </c>
    </row>
    <row r="75" spans="1:19">
      <c r="A75" s="5">
        <v>41274</v>
      </c>
      <c r="B75" s="5">
        <v>41275</v>
      </c>
      <c r="C75">
        <v>0</v>
      </c>
      <c r="D75">
        <v>0</v>
      </c>
      <c r="E75">
        <v>1</v>
      </c>
      <c r="F75">
        <v>1</v>
      </c>
      <c r="G75">
        <v>0</v>
      </c>
      <c r="H75">
        <v>1</v>
      </c>
      <c r="I75">
        <v>-1</v>
      </c>
      <c r="J75">
        <v>0</v>
      </c>
      <c r="K75">
        <v>-1</v>
      </c>
      <c r="L75">
        <v>-1</v>
      </c>
      <c r="M75">
        <v>0</v>
      </c>
      <c r="N75">
        <v>0</v>
      </c>
      <c r="O75">
        <v>0</v>
      </c>
      <c r="P75">
        <f t="shared" si="2"/>
        <v>3</v>
      </c>
      <c r="Q75">
        <f t="shared" si="3"/>
        <v>3</v>
      </c>
      <c r="R75" s="1">
        <f>IF(OR(P75=0,Q75=0),0,MIN(P75,Q75)*Mapping!$I$2/P75)</f>
        <v>5.000000000000001E-2</v>
      </c>
      <c r="S75" s="1">
        <f>IF(OR(P75=0,Q75=0),0,MIN(P75,Q75)*Mapping!$I$2/Q75)</f>
        <v>5.000000000000001E-2</v>
      </c>
    </row>
    <row r="76" spans="1:19">
      <c r="A76" s="5">
        <v>41305</v>
      </c>
      <c r="B76" s="5">
        <v>41306</v>
      </c>
      <c r="C76">
        <v>-1</v>
      </c>
      <c r="D76">
        <v>0</v>
      </c>
      <c r="E76">
        <v>0</v>
      </c>
      <c r="F76">
        <v>1</v>
      </c>
      <c r="G76">
        <v>-1</v>
      </c>
      <c r="H76">
        <v>1</v>
      </c>
      <c r="I76">
        <v>0</v>
      </c>
      <c r="J76">
        <v>0</v>
      </c>
      <c r="K76">
        <v>-1</v>
      </c>
      <c r="L76">
        <v>0</v>
      </c>
      <c r="M76">
        <v>0</v>
      </c>
      <c r="N76">
        <v>0</v>
      </c>
      <c r="O76">
        <v>1</v>
      </c>
      <c r="P76">
        <f t="shared" si="2"/>
        <v>3</v>
      </c>
      <c r="Q76">
        <f t="shared" si="3"/>
        <v>3</v>
      </c>
      <c r="R76" s="1">
        <f>IF(OR(P76=0,Q76=0),0,MIN(P76,Q76)*Mapping!$I$2/P76)</f>
        <v>5.000000000000001E-2</v>
      </c>
      <c r="S76" s="1">
        <f>IF(OR(P76=0,Q76=0),0,MIN(P76,Q76)*Mapping!$I$2/Q76)</f>
        <v>5.000000000000001E-2</v>
      </c>
    </row>
    <row r="77" spans="1:19">
      <c r="A77" s="5">
        <v>41333</v>
      </c>
      <c r="B77" s="5">
        <v>41334</v>
      </c>
      <c r="C77">
        <v>-1</v>
      </c>
      <c r="D77">
        <v>0</v>
      </c>
      <c r="E77">
        <v>0</v>
      </c>
      <c r="F77">
        <v>1</v>
      </c>
      <c r="G77">
        <v>0</v>
      </c>
      <c r="H77">
        <v>1</v>
      </c>
      <c r="I77">
        <v>0</v>
      </c>
      <c r="J77">
        <v>0</v>
      </c>
      <c r="K77">
        <v>-1</v>
      </c>
      <c r="L77">
        <v>-1</v>
      </c>
      <c r="M77">
        <v>0</v>
      </c>
      <c r="N77">
        <v>0</v>
      </c>
      <c r="O77">
        <v>1</v>
      </c>
      <c r="P77">
        <f t="shared" si="2"/>
        <v>3</v>
      </c>
      <c r="Q77">
        <f t="shared" si="3"/>
        <v>3</v>
      </c>
      <c r="R77" s="1">
        <f>IF(OR(P77=0,Q77=0),0,MIN(P77,Q77)*Mapping!$I$2/P77)</f>
        <v>5.000000000000001E-2</v>
      </c>
      <c r="S77" s="1">
        <f>IF(OR(P77=0,Q77=0),0,MIN(P77,Q77)*Mapping!$I$2/Q77)</f>
        <v>5.000000000000001E-2</v>
      </c>
    </row>
    <row r="78" spans="1:19">
      <c r="A78" s="5">
        <v>41364</v>
      </c>
      <c r="B78" s="5">
        <v>41365</v>
      </c>
      <c r="C78">
        <v>-1</v>
      </c>
      <c r="D78">
        <v>0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-1</v>
      </c>
      <c r="L78">
        <v>-1</v>
      </c>
      <c r="M78">
        <v>0</v>
      </c>
      <c r="N78">
        <v>0</v>
      </c>
      <c r="O78">
        <v>1</v>
      </c>
      <c r="P78">
        <f t="shared" si="2"/>
        <v>3</v>
      </c>
      <c r="Q78">
        <f t="shared" si="3"/>
        <v>3</v>
      </c>
      <c r="R78" s="1">
        <f>IF(OR(P78=0,Q78=0),0,MIN(P78,Q78)*Mapping!$I$2/P78)</f>
        <v>5.000000000000001E-2</v>
      </c>
      <c r="S78" s="1">
        <f>IF(OR(P78=0,Q78=0),0,MIN(P78,Q78)*Mapping!$I$2/Q78)</f>
        <v>5.000000000000001E-2</v>
      </c>
    </row>
    <row r="79" spans="1:19">
      <c r="A79" s="5">
        <v>41394</v>
      </c>
      <c r="B79" s="5">
        <v>41395</v>
      </c>
      <c r="C79">
        <v>0</v>
      </c>
      <c r="D79">
        <v>0</v>
      </c>
      <c r="E79">
        <v>1</v>
      </c>
      <c r="F79">
        <v>0</v>
      </c>
      <c r="G79">
        <v>0</v>
      </c>
      <c r="H79">
        <v>1</v>
      </c>
      <c r="I79">
        <v>-1</v>
      </c>
      <c r="J79">
        <v>0</v>
      </c>
      <c r="K79">
        <v>-1</v>
      </c>
      <c r="L79">
        <v>-1</v>
      </c>
      <c r="M79">
        <v>0</v>
      </c>
      <c r="N79">
        <v>0</v>
      </c>
      <c r="O79">
        <v>1</v>
      </c>
      <c r="P79">
        <f t="shared" si="2"/>
        <v>3</v>
      </c>
      <c r="Q79">
        <f t="shared" si="3"/>
        <v>3</v>
      </c>
      <c r="R79" s="1">
        <f>IF(OR(P79=0,Q79=0),0,MIN(P79,Q79)*Mapping!$I$2/P79)</f>
        <v>5.000000000000001E-2</v>
      </c>
      <c r="S79" s="1">
        <f>IF(OR(P79=0,Q79=0),0,MIN(P79,Q79)*Mapping!$I$2/Q79)</f>
        <v>5.000000000000001E-2</v>
      </c>
    </row>
    <row r="80" spans="1:19">
      <c r="A80" s="5">
        <v>41425</v>
      </c>
      <c r="B80" s="5">
        <v>41426</v>
      </c>
      <c r="C80">
        <v>0</v>
      </c>
      <c r="D80">
        <v>0</v>
      </c>
      <c r="E80">
        <v>1</v>
      </c>
      <c r="F80">
        <v>1</v>
      </c>
      <c r="G80">
        <v>-1</v>
      </c>
      <c r="H80">
        <v>1</v>
      </c>
      <c r="I80">
        <v>-1</v>
      </c>
      <c r="J80">
        <v>0</v>
      </c>
      <c r="K80">
        <v>0</v>
      </c>
      <c r="L80">
        <v>-1</v>
      </c>
      <c r="M80">
        <v>0</v>
      </c>
      <c r="N80">
        <v>0</v>
      </c>
      <c r="O80">
        <v>0</v>
      </c>
      <c r="P80">
        <f t="shared" si="2"/>
        <v>3</v>
      </c>
      <c r="Q80">
        <f t="shared" si="3"/>
        <v>3</v>
      </c>
      <c r="R80" s="1">
        <f>IF(OR(P80=0,Q80=0),0,MIN(P80,Q80)*Mapping!$I$2/P80)</f>
        <v>5.000000000000001E-2</v>
      </c>
      <c r="S80" s="1">
        <f>IF(OR(P80=0,Q80=0),0,MIN(P80,Q80)*Mapping!$I$2/Q80)</f>
        <v>5.000000000000001E-2</v>
      </c>
    </row>
    <row r="81" spans="1:19">
      <c r="A81" s="5">
        <v>41455</v>
      </c>
      <c r="B81" s="5">
        <v>41456</v>
      </c>
      <c r="C81">
        <v>-1</v>
      </c>
      <c r="D81">
        <v>0</v>
      </c>
      <c r="E81">
        <v>1</v>
      </c>
      <c r="F81">
        <v>1</v>
      </c>
      <c r="G81">
        <v>0</v>
      </c>
      <c r="H81">
        <v>0</v>
      </c>
      <c r="I81">
        <v>0</v>
      </c>
      <c r="J81">
        <v>-1</v>
      </c>
      <c r="K81">
        <v>-1</v>
      </c>
      <c r="L81">
        <v>0</v>
      </c>
      <c r="M81">
        <v>0</v>
      </c>
      <c r="N81">
        <v>0</v>
      </c>
      <c r="O81">
        <v>1</v>
      </c>
      <c r="P81">
        <f t="shared" si="2"/>
        <v>3</v>
      </c>
      <c r="Q81">
        <f t="shared" si="3"/>
        <v>3</v>
      </c>
      <c r="R81" s="1">
        <f>IF(OR(P81=0,Q81=0),0,MIN(P81,Q81)*Mapping!$I$2/P81)</f>
        <v>5.000000000000001E-2</v>
      </c>
      <c r="S81" s="1">
        <f>IF(OR(P81=0,Q81=0),0,MIN(P81,Q81)*Mapping!$I$2/Q81)</f>
        <v>5.000000000000001E-2</v>
      </c>
    </row>
    <row r="82" spans="1:19">
      <c r="A82" s="5">
        <v>41486</v>
      </c>
      <c r="B82" s="5">
        <v>41487</v>
      </c>
      <c r="C82">
        <v>-1</v>
      </c>
      <c r="D82">
        <v>0</v>
      </c>
      <c r="E82">
        <v>1</v>
      </c>
      <c r="F82">
        <v>1</v>
      </c>
      <c r="G82">
        <v>0</v>
      </c>
      <c r="H82">
        <v>0</v>
      </c>
      <c r="I82">
        <v>-1</v>
      </c>
      <c r="J82">
        <v>-1</v>
      </c>
      <c r="K82">
        <v>0</v>
      </c>
      <c r="L82">
        <v>0</v>
      </c>
      <c r="M82">
        <v>0</v>
      </c>
      <c r="N82">
        <v>0</v>
      </c>
      <c r="O82">
        <v>1</v>
      </c>
      <c r="P82">
        <f t="shared" si="2"/>
        <v>3</v>
      </c>
      <c r="Q82">
        <f t="shared" si="3"/>
        <v>3</v>
      </c>
      <c r="R82" s="1">
        <f>IF(OR(P82=0,Q82=0),0,MIN(P82,Q82)*Mapping!$I$2/P82)</f>
        <v>5.000000000000001E-2</v>
      </c>
      <c r="S82" s="1">
        <f>IF(OR(P82=0,Q82=0),0,MIN(P82,Q82)*Mapping!$I$2/Q82)</f>
        <v>5.000000000000001E-2</v>
      </c>
    </row>
    <row r="83" spans="1:19">
      <c r="A83" s="5">
        <v>41517</v>
      </c>
      <c r="B83" s="5">
        <v>41518</v>
      </c>
      <c r="C83">
        <v>-1</v>
      </c>
      <c r="D83">
        <v>0</v>
      </c>
      <c r="E83">
        <v>1</v>
      </c>
      <c r="F83">
        <v>0</v>
      </c>
      <c r="G83">
        <v>0</v>
      </c>
      <c r="H83">
        <v>1</v>
      </c>
      <c r="I83">
        <v>0</v>
      </c>
      <c r="J83">
        <v>-1</v>
      </c>
      <c r="K83">
        <v>-1</v>
      </c>
      <c r="L83">
        <v>0</v>
      </c>
      <c r="M83">
        <v>0</v>
      </c>
      <c r="N83">
        <v>0</v>
      </c>
      <c r="O83">
        <v>1</v>
      </c>
      <c r="P83">
        <f t="shared" si="2"/>
        <v>3</v>
      </c>
      <c r="Q83">
        <f t="shared" si="3"/>
        <v>3</v>
      </c>
      <c r="R83" s="1">
        <f>IF(OR(P83=0,Q83=0),0,MIN(P83,Q83)*Mapping!$I$2/P83)</f>
        <v>5.000000000000001E-2</v>
      </c>
      <c r="S83" s="1">
        <f>IF(OR(P83=0,Q83=0),0,MIN(P83,Q83)*Mapping!$I$2/Q83)</f>
        <v>5.000000000000001E-2</v>
      </c>
    </row>
    <row r="84" spans="1:19">
      <c r="A84" s="5">
        <v>41547</v>
      </c>
      <c r="B84" s="5">
        <v>41548</v>
      </c>
      <c r="C84">
        <v>-1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-1</v>
      </c>
      <c r="L84">
        <v>0</v>
      </c>
      <c r="M84">
        <v>0</v>
      </c>
      <c r="N84">
        <v>-1</v>
      </c>
      <c r="O84">
        <v>1</v>
      </c>
      <c r="P84">
        <f t="shared" si="2"/>
        <v>3</v>
      </c>
      <c r="Q84">
        <f t="shared" si="3"/>
        <v>3</v>
      </c>
      <c r="R84" s="1">
        <f>IF(OR(P84=0,Q84=0),0,MIN(P84,Q84)*Mapping!$I$2/P84)</f>
        <v>5.000000000000001E-2</v>
      </c>
      <c r="S84" s="1">
        <f>IF(OR(P84=0,Q84=0),0,MIN(P84,Q84)*Mapping!$I$2/Q84)</f>
        <v>5.000000000000001E-2</v>
      </c>
    </row>
    <row r="85" spans="1:19">
      <c r="A85" s="5">
        <v>41578</v>
      </c>
      <c r="B85" s="5">
        <v>41579</v>
      </c>
      <c r="C85">
        <v>-1</v>
      </c>
      <c r="D85">
        <v>0</v>
      </c>
      <c r="E85">
        <v>1</v>
      </c>
      <c r="F85">
        <v>0</v>
      </c>
      <c r="G85">
        <v>0</v>
      </c>
      <c r="H85">
        <v>1</v>
      </c>
      <c r="I85">
        <v>-1</v>
      </c>
      <c r="J85">
        <v>-1</v>
      </c>
      <c r="K85">
        <v>0</v>
      </c>
      <c r="L85">
        <v>0</v>
      </c>
      <c r="M85">
        <v>0</v>
      </c>
      <c r="N85">
        <v>0</v>
      </c>
      <c r="O85">
        <v>1</v>
      </c>
      <c r="P85">
        <f t="shared" si="2"/>
        <v>3</v>
      </c>
      <c r="Q85">
        <f t="shared" si="3"/>
        <v>3</v>
      </c>
      <c r="R85" s="1">
        <f>IF(OR(P85=0,Q85=0),0,MIN(P85,Q85)*Mapping!$I$2/P85)</f>
        <v>5.000000000000001E-2</v>
      </c>
      <c r="S85" s="1">
        <f>IF(OR(P85=0,Q85=0),0,MIN(P85,Q85)*Mapping!$I$2/Q85)</f>
        <v>5.000000000000001E-2</v>
      </c>
    </row>
    <row r="86" spans="1:19">
      <c r="A86" s="5">
        <v>41608</v>
      </c>
      <c r="B86" s="5">
        <v>41609</v>
      </c>
      <c r="C86">
        <v>-1</v>
      </c>
      <c r="D86">
        <v>0</v>
      </c>
      <c r="E86">
        <v>1</v>
      </c>
      <c r="F86">
        <v>0</v>
      </c>
      <c r="G86">
        <v>0</v>
      </c>
      <c r="H86">
        <v>0</v>
      </c>
      <c r="I86">
        <v>-1</v>
      </c>
      <c r="J86">
        <v>-1</v>
      </c>
      <c r="K86">
        <v>1</v>
      </c>
      <c r="L86">
        <v>0</v>
      </c>
      <c r="M86">
        <v>0</v>
      </c>
      <c r="N86">
        <v>0</v>
      </c>
      <c r="O86">
        <v>1</v>
      </c>
      <c r="P86">
        <f t="shared" si="2"/>
        <v>3</v>
      </c>
      <c r="Q86">
        <f t="shared" si="3"/>
        <v>3</v>
      </c>
      <c r="R86" s="1">
        <f>IF(OR(P86=0,Q86=0),0,MIN(P86,Q86)*Mapping!$I$2/P86)</f>
        <v>5.000000000000001E-2</v>
      </c>
      <c r="S86" s="1">
        <f>IF(OR(P86=0,Q86=0),0,MIN(P86,Q86)*Mapping!$I$2/Q86)</f>
        <v>5.000000000000001E-2</v>
      </c>
    </row>
    <row r="87" spans="1:19">
      <c r="A87" s="5">
        <v>41639</v>
      </c>
      <c r="B87" s="5">
        <v>41640</v>
      </c>
      <c r="C87">
        <v>-1</v>
      </c>
      <c r="D87">
        <v>0</v>
      </c>
      <c r="E87">
        <v>1</v>
      </c>
      <c r="F87">
        <v>0</v>
      </c>
      <c r="G87">
        <v>-1</v>
      </c>
      <c r="H87">
        <v>0</v>
      </c>
      <c r="I87">
        <v>0</v>
      </c>
      <c r="J87">
        <v>-1</v>
      </c>
      <c r="K87">
        <v>0</v>
      </c>
      <c r="L87">
        <v>1</v>
      </c>
      <c r="M87">
        <v>0</v>
      </c>
      <c r="N87">
        <v>0</v>
      </c>
      <c r="O87">
        <v>1</v>
      </c>
      <c r="P87">
        <f t="shared" si="2"/>
        <v>3</v>
      </c>
      <c r="Q87">
        <f t="shared" si="3"/>
        <v>3</v>
      </c>
      <c r="R87" s="1">
        <f>IF(OR(P87=0,Q87=0),0,MIN(P87,Q87)*Mapping!$I$2/P87)</f>
        <v>5.000000000000001E-2</v>
      </c>
      <c r="S87" s="1">
        <f>IF(OR(P87=0,Q87=0),0,MIN(P87,Q87)*Mapping!$I$2/Q87)</f>
        <v>5.000000000000001E-2</v>
      </c>
    </row>
    <row r="88" spans="1:19">
      <c r="A88" s="5">
        <v>41670</v>
      </c>
      <c r="B88" s="5">
        <v>41671</v>
      </c>
      <c r="C88">
        <v>-1</v>
      </c>
      <c r="D88">
        <v>0</v>
      </c>
      <c r="E88">
        <v>1</v>
      </c>
      <c r="F88">
        <v>0</v>
      </c>
      <c r="G88">
        <v>0</v>
      </c>
      <c r="H88">
        <v>1</v>
      </c>
      <c r="I88">
        <v>-1</v>
      </c>
      <c r="J88">
        <v>-1</v>
      </c>
      <c r="K88">
        <v>0</v>
      </c>
      <c r="L88">
        <v>0</v>
      </c>
      <c r="M88">
        <v>0</v>
      </c>
      <c r="N88">
        <v>0</v>
      </c>
      <c r="O88">
        <v>1</v>
      </c>
      <c r="P88">
        <f t="shared" si="2"/>
        <v>3</v>
      </c>
      <c r="Q88">
        <f t="shared" si="3"/>
        <v>3</v>
      </c>
      <c r="R88" s="1">
        <f>IF(OR(P88=0,Q88=0),0,MIN(P88,Q88)*Mapping!$I$2/P88)</f>
        <v>5.000000000000001E-2</v>
      </c>
      <c r="S88" s="1">
        <f>IF(OR(P88=0,Q88=0),0,MIN(P88,Q88)*Mapping!$I$2/Q88)</f>
        <v>5.000000000000001E-2</v>
      </c>
    </row>
    <row r="89" spans="1:19">
      <c r="A89" s="5">
        <v>41698</v>
      </c>
      <c r="B89" s="5">
        <v>41699</v>
      </c>
      <c r="C89">
        <v>-1</v>
      </c>
      <c r="D89">
        <v>0</v>
      </c>
      <c r="E89">
        <v>0</v>
      </c>
      <c r="F89">
        <v>0</v>
      </c>
      <c r="G89">
        <v>0</v>
      </c>
      <c r="H89">
        <v>1</v>
      </c>
      <c r="I89">
        <v>-1</v>
      </c>
      <c r="J89">
        <v>0</v>
      </c>
      <c r="K89">
        <v>1</v>
      </c>
      <c r="L89">
        <v>-1</v>
      </c>
      <c r="M89">
        <v>0</v>
      </c>
      <c r="N89">
        <v>0</v>
      </c>
      <c r="O89">
        <v>1</v>
      </c>
      <c r="P89">
        <f t="shared" si="2"/>
        <v>3</v>
      </c>
      <c r="Q89">
        <f t="shared" si="3"/>
        <v>3</v>
      </c>
      <c r="R89" s="1">
        <f>IF(OR(P89=0,Q89=0),0,MIN(P89,Q89)*Mapping!$I$2/P89)</f>
        <v>5.000000000000001E-2</v>
      </c>
      <c r="S89" s="1">
        <f>IF(OR(P89=0,Q89=0),0,MIN(P89,Q89)*Mapping!$I$2/Q89)</f>
        <v>5.000000000000001E-2</v>
      </c>
    </row>
    <row r="90" spans="1:19">
      <c r="A90" s="5">
        <v>41729</v>
      </c>
      <c r="B90" s="5">
        <v>41730</v>
      </c>
      <c r="C90">
        <v>-1</v>
      </c>
      <c r="D90">
        <v>0</v>
      </c>
      <c r="E90">
        <v>0</v>
      </c>
      <c r="F90">
        <v>0</v>
      </c>
      <c r="G90">
        <v>1</v>
      </c>
      <c r="H90">
        <v>0</v>
      </c>
      <c r="I90">
        <v>-1</v>
      </c>
      <c r="J90">
        <v>-1</v>
      </c>
      <c r="K90">
        <v>1</v>
      </c>
      <c r="L90">
        <v>0</v>
      </c>
      <c r="M90">
        <v>0</v>
      </c>
      <c r="N90">
        <v>0</v>
      </c>
      <c r="O90">
        <v>1</v>
      </c>
      <c r="P90">
        <f t="shared" si="2"/>
        <v>3</v>
      </c>
      <c r="Q90">
        <f t="shared" si="3"/>
        <v>3</v>
      </c>
      <c r="R90" s="1">
        <f>IF(OR(P90=0,Q90=0),0,MIN(P90,Q90)*Mapping!$I$2/P90)</f>
        <v>5.000000000000001E-2</v>
      </c>
      <c r="S90" s="1">
        <f>IF(OR(P90=0,Q90=0),0,MIN(P90,Q90)*Mapping!$I$2/Q90)</f>
        <v>5.000000000000001E-2</v>
      </c>
    </row>
    <row r="91" spans="1:19">
      <c r="A91" s="5">
        <v>41759</v>
      </c>
      <c r="B91" s="5">
        <v>41760</v>
      </c>
      <c r="C91">
        <v>-1</v>
      </c>
      <c r="D91">
        <v>0</v>
      </c>
      <c r="E91">
        <v>0</v>
      </c>
      <c r="F91">
        <v>0</v>
      </c>
      <c r="G91">
        <v>0</v>
      </c>
      <c r="H91">
        <v>1</v>
      </c>
      <c r="I91">
        <v>-1</v>
      </c>
      <c r="J91">
        <v>-1</v>
      </c>
      <c r="K91">
        <v>0</v>
      </c>
      <c r="L91">
        <v>0</v>
      </c>
      <c r="M91">
        <v>0</v>
      </c>
      <c r="N91">
        <v>1</v>
      </c>
      <c r="O91">
        <v>1</v>
      </c>
      <c r="P91">
        <f t="shared" si="2"/>
        <v>3</v>
      </c>
      <c r="Q91">
        <f t="shared" si="3"/>
        <v>3</v>
      </c>
      <c r="R91" s="1">
        <f>IF(OR(P91=0,Q91=0),0,MIN(P91,Q91)*Mapping!$I$2/P91)</f>
        <v>5.000000000000001E-2</v>
      </c>
      <c r="S91" s="1">
        <f>IF(OR(P91=0,Q91=0),0,MIN(P91,Q91)*Mapping!$I$2/Q91)</f>
        <v>5.000000000000001E-2</v>
      </c>
    </row>
    <row r="92" spans="1:19">
      <c r="A92" s="5">
        <v>41790</v>
      </c>
      <c r="B92" s="5">
        <v>41791</v>
      </c>
      <c r="C92">
        <v>-1</v>
      </c>
      <c r="D92">
        <v>0</v>
      </c>
      <c r="E92">
        <v>0</v>
      </c>
      <c r="F92">
        <v>0</v>
      </c>
      <c r="G92">
        <v>0</v>
      </c>
      <c r="H92">
        <v>1</v>
      </c>
      <c r="I92">
        <v>-1</v>
      </c>
      <c r="J92">
        <v>0</v>
      </c>
      <c r="K92">
        <v>1</v>
      </c>
      <c r="L92">
        <v>0</v>
      </c>
      <c r="M92">
        <v>0</v>
      </c>
      <c r="N92">
        <v>-1</v>
      </c>
      <c r="O92">
        <v>1</v>
      </c>
      <c r="P92">
        <f t="shared" si="2"/>
        <v>3</v>
      </c>
      <c r="Q92">
        <f t="shared" si="3"/>
        <v>3</v>
      </c>
      <c r="R92" s="1">
        <f>IF(OR(P92=0,Q92=0),0,MIN(P92,Q92)*Mapping!$I$2/P92)</f>
        <v>5.000000000000001E-2</v>
      </c>
      <c r="S92" s="1">
        <f>IF(OR(P92=0,Q92=0),0,MIN(P92,Q92)*Mapping!$I$2/Q92)</f>
        <v>5.000000000000001E-2</v>
      </c>
    </row>
    <row r="93" spans="1:19">
      <c r="A93" s="5">
        <v>41820</v>
      </c>
      <c r="B93" s="5">
        <v>41821</v>
      </c>
      <c r="C93">
        <v>-1</v>
      </c>
      <c r="D93">
        <v>0</v>
      </c>
      <c r="E93">
        <v>0</v>
      </c>
      <c r="F93">
        <v>0</v>
      </c>
      <c r="G93">
        <v>0</v>
      </c>
      <c r="H93">
        <v>1</v>
      </c>
      <c r="I93">
        <v>-1</v>
      </c>
      <c r="J93">
        <v>0</v>
      </c>
      <c r="K93">
        <v>1</v>
      </c>
      <c r="L93">
        <v>0</v>
      </c>
      <c r="M93">
        <v>0</v>
      </c>
      <c r="N93">
        <v>-1</v>
      </c>
      <c r="O93">
        <v>1</v>
      </c>
      <c r="P93">
        <f t="shared" si="2"/>
        <v>3</v>
      </c>
      <c r="Q93">
        <f t="shared" si="3"/>
        <v>3</v>
      </c>
      <c r="R93" s="1">
        <f>IF(OR(P93=0,Q93=0),0,MIN(P93,Q93)*Mapping!$I$2/P93)</f>
        <v>5.000000000000001E-2</v>
      </c>
      <c r="S93" s="1">
        <f>IF(OR(P93=0,Q93=0),0,MIN(P93,Q93)*Mapping!$I$2/Q93)</f>
        <v>5.000000000000001E-2</v>
      </c>
    </row>
    <row r="94" spans="1:19">
      <c r="A94" s="5">
        <v>41851</v>
      </c>
      <c r="B94" s="5">
        <v>41852</v>
      </c>
      <c r="C94">
        <v>-1</v>
      </c>
      <c r="D94">
        <v>1</v>
      </c>
      <c r="E94">
        <v>0</v>
      </c>
      <c r="F94">
        <v>0</v>
      </c>
      <c r="G94">
        <v>0</v>
      </c>
      <c r="H94">
        <v>0</v>
      </c>
      <c r="I94">
        <v>-1</v>
      </c>
      <c r="J94">
        <v>0</v>
      </c>
      <c r="K94">
        <v>1</v>
      </c>
      <c r="L94">
        <v>0</v>
      </c>
      <c r="M94">
        <v>0</v>
      </c>
      <c r="N94">
        <v>-1</v>
      </c>
      <c r="O94">
        <v>1</v>
      </c>
      <c r="P94">
        <f t="shared" si="2"/>
        <v>3</v>
      </c>
      <c r="Q94">
        <f t="shared" si="3"/>
        <v>3</v>
      </c>
      <c r="R94" s="1">
        <f>IF(OR(P94=0,Q94=0),0,MIN(P94,Q94)*Mapping!$I$2/P94)</f>
        <v>5.000000000000001E-2</v>
      </c>
      <c r="S94" s="1">
        <f>IF(OR(P94=0,Q94=0),0,MIN(P94,Q94)*Mapping!$I$2/Q94)</f>
        <v>5.000000000000001E-2</v>
      </c>
    </row>
    <row r="95" spans="1:19">
      <c r="A95" s="5">
        <v>41882</v>
      </c>
      <c r="B95" s="5">
        <v>41883</v>
      </c>
      <c r="C95">
        <v>0</v>
      </c>
      <c r="D95">
        <v>-1</v>
      </c>
      <c r="E95">
        <v>-1</v>
      </c>
      <c r="F95">
        <v>0</v>
      </c>
      <c r="G95">
        <v>0</v>
      </c>
      <c r="H95">
        <v>0</v>
      </c>
      <c r="I95">
        <v>-1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f t="shared" si="2"/>
        <v>3</v>
      </c>
      <c r="Q95">
        <f t="shared" si="3"/>
        <v>3</v>
      </c>
      <c r="R95" s="1">
        <f>IF(OR(P95=0,Q95=0),0,MIN(P95,Q95)*Mapping!$I$2/P95)</f>
        <v>5.000000000000001E-2</v>
      </c>
      <c r="S95" s="1">
        <f>IF(OR(P95=0,Q95=0),0,MIN(P95,Q95)*Mapping!$I$2/Q95)</f>
        <v>5.000000000000001E-2</v>
      </c>
    </row>
    <row r="96" spans="1:19">
      <c r="A96" s="5">
        <v>41912</v>
      </c>
      <c r="B96" s="5">
        <v>41913</v>
      </c>
      <c r="C96">
        <v>0</v>
      </c>
      <c r="D96">
        <v>-1</v>
      </c>
      <c r="E96">
        <v>-1</v>
      </c>
      <c r="F96">
        <v>0</v>
      </c>
      <c r="G96">
        <v>-1</v>
      </c>
      <c r="H96">
        <v>0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1</v>
      </c>
      <c r="P96">
        <f t="shared" si="2"/>
        <v>3</v>
      </c>
      <c r="Q96">
        <f t="shared" si="3"/>
        <v>3</v>
      </c>
      <c r="R96" s="1">
        <f>IF(OR(P96=0,Q96=0),0,MIN(P96,Q96)*Mapping!$I$2/P96)</f>
        <v>5.000000000000001E-2</v>
      </c>
      <c r="S96" s="1">
        <f>IF(OR(P96=0,Q96=0),0,MIN(P96,Q96)*Mapping!$I$2/Q96)</f>
        <v>5.000000000000001E-2</v>
      </c>
    </row>
    <row r="97" spans="1:19">
      <c r="A97" s="5">
        <v>41943</v>
      </c>
      <c r="B97" s="5">
        <v>41944</v>
      </c>
      <c r="C97">
        <v>0</v>
      </c>
      <c r="D97">
        <v>0</v>
      </c>
      <c r="E97">
        <v>-1</v>
      </c>
      <c r="F97">
        <v>0</v>
      </c>
      <c r="G97">
        <v>-1</v>
      </c>
      <c r="H97">
        <v>0</v>
      </c>
      <c r="I97">
        <v>-1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f t="shared" si="2"/>
        <v>3</v>
      </c>
      <c r="Q97">
        <f t="shared" si="3"/>
        <v>3</v>
      </c>
      <c r="R97" s="1">
        <f>IF(OR(P97=0,Q97=0),0,MIN(P97,Q97)*Mapping!$I$2/P97)</f>
        <v>5.000000000000001E-2</v>
      </c>
      <c r="S97" s="1">
        <f>IF(OR(P97=0,Q97=0),0,MIN(P97,Q97)*Mapping!$I$2/Q97)</f>
        <v>5.000000000000001E-2</v>
      </c>
    </row>
    <row r="98" spans="1:19">
      <c r="A98" s="5">
        <v>41973</v>
      </c>
      <c r="B98" s="5">
        <v>41974</v>
      </c>
      <c r="C98">
        <v>0</v>
      </c>
      <c r="D98">
        <v>-1</v>
      </c>
      <c r="E98">
        <v>-1</v>
      </c>
      <c r="F98">
        <v>0</v>
      </c>
      <c r="G98">
        <v>0</v>
      </c>
      <c r="H98">
        <v>0</v>
      </c>
      <c r="I98">
        <v>-1</v>
      </c>
      <c r="J98">
        <v>1</v>
      </c>
      <c r="K98">
        <v>1</v>
      </c>
      <c r="L98">
        <v>1</v>
      </c>
      <c r="M98">
        <v>0</v>
      </c>
      <c r="N98">
        <v>0</v>
      </c>
      <c r="O98">
        <v>0</v>
      </c>
      <c r="P98">
        <f t="shared" si="2"/>
        <v>3</v>
      </c>
      <c r="Q98">
        <f t="shared" si="3"/>
        <v>3</v>
      </c>
      <c r="R98" s="1">
        <f>IF(OR(P98=0,Q98=0),0,MIN(P98,Q98)*Mapping!$I$2/P98)</f>
        <v>5.000000000000001E-2</v>
      </c>
      <c r="S98" s="1">
        <f>IF(OR(P98=0,Q98=0),0,MIN(P98,Q98)*Mapping!$I$2/Q98)</f>
        <v>5.000000000000001E-2</v>
      </c>
    </row>
    <row r="99" spans="1:19">
      <c r="A99" s="5">
        <v>42004</v>
      </c>
      <c r="B99" s="5">
        <v>42005</v>
      </c>
      <c r="C99">
        <v>0</v>
      </c>
      <c r="D99">
        <v>0</v>
      </c>
      <c r="E99">
        <v>-1</v>
      </c>
      <c r="F99">
        <v>0</v>
      </c>
      <c r="G99">
        <v>-1</v>
      </c>
      <c r="H99">
        <v>1</v>
      </c>
      <c r="I99">
        <v>-1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f t="shared" si="2"/>
        <v>3</v>
      </c>
      <c r="Q99">
        <f t="shared" si="3"/>
        <v>3</v>
      </c>
      <c r="R99" s="1">
        <f>IF(OR(P99=0,Q99=0),0,MIN(P99,Q99)*Mapping!$I$2/P99)</f>
        <v>5.000000000000001E-2</v>
      </c>
      <c r="S99" s="1">
        <f>IF(OR(P99=0,Q99=0),0,MIN(P99,Q99)*Mapping!$I$2/Q99)</f>
        <v>5.000000000000001E-2</v>
      </c>
    </row>
    <row r="100" spans="1:19">
      <c r="A100" s="5">
        <v>42035</v>
      </c>
      <c r="B100" s="5">
        <v>42036</v>
      </c>
      <c r="C100">
        <v>-1</v>
      </c>
      <c r="D100">
        <v>0</v>
      </c>
      <c r="E100">
        <v>-1</v>
      </c>
      <c r="F100">
        <v>0</v>
      </c>
      <c r="G100">
        <v>0</v>
      </c>
      <c r="H100">
        <v>1</v>
      </c>
      <c r="I100">
        <v>-1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f t="shared" si="2"/>
        <v>3</v>
      </c>
      <c r="Q100">
        <f t="shared" si="3"/>
        <v>3</v>
      </c>
      <c r="R100" s="1">
        <f>IF(OR(P100=0,Q100=0),0,MIN(P100,Q100)*Mapping!$I$2/P100)</f>
        <v>5.000000000000001E-2</v>
      </c>
      <c r="S100" s="1">
        <f>IF(OR(P100=0,Q100=0),0,MIN(P100,Q100)*Mapping!$I$2/Q100)</f>
        <v>5.000000000000001E-2</v>
      </c>
    </row>
    <row r="101" spans="1:19">
      <c r="A101" s="5">
        <v>42063</v>
      </c>
      <c r="B101" s="5">
        <v>42064</v>
      </c>
      <c r="C101">
        <v>-1</v>
      </c>
      <c r="D101">
        <v>0</v>
      </c>
      <c r="E101">
        <v>0</v>
      </c>
      <c r="F101">
        <v>0</v>
      </c>
      <c r="G101">
        <v>-1</v>
      </c>
      <c r="H101">
        <v>0</v>
      </c>
      <c r="I101">
        <v>-1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0</v>
      </c>
      <c r="P101">
        <f t="shared" si="2"/>
        <v>3</v>
      </c>
      <c r="Q101">
        <f t="shared" si="3"/>
        <v>3</v>
      </c>
      <c r="R101" s="1">
        <f>IF(OR(P101=0,Q101=0),0,MIN(P101,Q101)*Mapping!$I$2/P101)</f>
        <v>5.000000000000001E-2</v>
      </c>
      <c r="S101" s="1">
        <f>IF(OR(P101=0,Q101=0),0,MIN(P101,Q101)*Mapping!$I$2/Q101)</f>
        <v>5.000000000000001E-2</v>
      </c>
    </row>
    <row r="102" spans="1:19">
      <c r="A102" s="5">
        <v>42094</v>
      </c>
      <c r="B102" s="5">
        <v>42095</v>
      </c>
      <c r="C102">
        <v>-1</v>
      </c>
      <c r="D102">
        <v>1</v>
      </c>
      <c r="E102">
        <v>0</v>
      </c>
      <c r="F102">
        <v>0</v>
      </c>
      <c r="G102">
        <v>-1</v>
      </c>
      <c r="H102">
        <v>0</v>
      </c>
      <c r="I102">
        <v>-1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f t="shared" si="2"/>
        <v>3</v>
      </c>
      <c r="Q102">
        <f t="shared" si="3"/>
        <v>3</v>
      </c>
      <c r="R102" s="1">
        <f>IF(OR(P102=0,Q102=0),0,MIN(P102,Q102)*Mapping!$I$2/P102)</f>
        <v>5.000000000000001E-2</v>
      </c>
      <c r="S102" s="1">
        <f>IF(OR(P102=0,Q102=0),0,MIN(P102,Q102)*Mapping!$I$2/Q102)</f>
        <v>5.000000000000001E-2</v>
      </c>
    </row>
    <row r="103" spans="1:19">
      <c r="A103" s="5">
        <v>42124</v>
      </c>
      <c r="B103" s="5">
        <v>42125</v>
      </c>
      <c r="C103">
        <v>-1</v>
      </c>
      <c r="D103">
        <v>1</v>
      </c>
      <c r="E103">
        <v>0</v>
      </c>
      <c r="F103">
        <v>0</v>
      </c>
      <c r="G103">
        <v>-1</v>
      </c>
      <c r="H103">
        <v>0</v>
      </c>
      <c r="I103">
        <v>-1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f t="shared" si="2"/>
        <v>3</v>
      </c>
      <c r="Q103">
        <f t="shared" si="3"/>
        <v>3</v>
      </c>
      <c r="R103" s="1">
        <f>IF(OR(P103=0,Q103=0),0,MIN(P103,Q103)*Mapping!$I$2/P103)</f>
        <v>5.000000000000001E-2</v>
      </c>
      <c r="S103" s="1">
        <f>IF(OR(P103=0,Q103=0),0,MIN(P103,Q103)*Mapping!$I$2/Q103)</f>
        <v>5.000000000000001E-2</v>
      </c>
    </row>
    <row r="104" spans="1:19">
      <c r="A104" s="5">
        <v>42155</v>
      </c>
      <c r="B104" s="5">
        <v>42156</v>
      </c>
      <c r="C104">
        <v>-1</v>
      </c>
      <c r="D104">
        <v>0</v>
      </c>
      <c r="E104">
        <v>0</v>
      </c>
      <c r="F104">
        <v>0</v>
      </c>
      <c r="G104">
        <v>-1</v>
      </c>
      <c r="H104">
        <v>0</v>
      </c>
      <c r="I104">
        <v>-1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1</v>
      </c>
      <c r="P104">
        <f t="shared" si="2"/>
        <v>3</v>
      </c>
      <c r="Q104">
        <f t="shared" si="3"/>
        <v>3</v>
      </c>
      <c r="R104" s="1">
        <f>IF(OR(P104=0,Q104=0),0,MIN(P104,Q104)*Mapping!$I$2/P104)</f>
        <v>5.000000000000001E-2</v>
      </c>
      <c r="S104" s="1">
        <f>IF(OR(P104=0,Q104=0),0,MIN(P104,Q104)*Mapping!$I$2/Q104)</f>
        <v>5.000000000000001E-2</v>
      </c>
    </row>
    <row r="105" spans="1:19">
      <c r="A105" s="5">
        <v>42185</v>
      </c>
      <c r="B105" s="5">
        <v>42186</v>
      </c>
      <c r="C105">
        <v>-1</v>
      </c>
      <c r="D105">
        <v>0</v>
      </c>
      <c r="E105">
        <v>0</v>
      </c>
      <c r="F105">
        <v>0</v>
      </c>
      <c r="G105">
        <v>-1</v>
      </c>
      <c r="H105">
        <v>-1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1</v>
      </c>
      <c r="P105">
        <f t="shared" si="2"/>
        <v>3</v>
      </c>
      <c r="Q105">
        <f t="shared" si="3"/>
        <v>3</v>
      </c>
      <c r="R105" s="1">
        <f>IF(OR(P105=0,Q105=0),0,MIN(P105,Q105)*Mapping!$I$2/P105)</f>
        <v>5.000000000000001E-2</v>
      </c>
      <c r="S105" s="1">
        <f>IF(OR(P105=0,Q105=0),0,MIN(P105,Q105)*Mapping!$I$2/Q105)</f>
        <v>5.000000000000001E-2</v>
      </c>
    </row>
    <row r="106" spans="1:19">
      <c r="A106" s="5">
        <v>42216</v>
      </c>
      <c r="B106" s="5">
        <v>42217</v>
      </c>
      <c r="C106">
        <v>0</v>
      </c>
      <c r="D106">
        <v>-1</v>
      </c>
      <c r="E106">
        <v>0</v>
      </c>
      <c r="F106">
        <v>0</v>
      </c>
      <c r="G106">
        <v>-1</v>
      </c>
      <c r="H106">
        <v>-1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1</v>
      </c>
      <c r="P106">
        <f t="shared" si="2"/>
        <v>3</v>
      </c>
      <c r="Q106">
        <f t="shared" si="3"/>
        <v>3</v>
      </c>
      <c r="R106" s="1">
        <f>IF(OR(P106=0,Q106=0),0,MIN(P106,Q106)*Mapping!$I$2/P106)</f>
        <v>5.000000000000001E-2</v>
      </c>
      <c r="S106" s="1">
        <f>IF(OR(P106=0,Q106=0),0,MIN(P106,Q106)*Mapping!$I$2/Q106)</f>
        <v>5.000000000000001E-2</v>
      </c>
    </row>
    <row r="107" spans="1:19">
      <c r="A107" s="5">
        <v>42247</v>
      </c>
      <c r="B107" s="5">
        <v>42248</v>
      </c>
      <c r="C107">
        <v>-1</v>
      </c>
      <c r="D107">
        <v>1</v>
      </c>
      <c r="E107">
        <v>0</v>
      </c>
      <c r="F107">
        <v>0</v>
      </c>
      <c r="G107">
        <v>-1</v>
      </c>
      <c r="H107">
        <v>0</v>
      </c>
      <c r="I107">
        <v>-1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1</v>
      </c>
      <c r="P107">
        <f t="shared" si="2"/>
        <v>3</v>
      </c>
      <c r="Q107">
        <f t="shared" si="3"/>
        <v>3</v>
      </c>
      <c r="R107" s="1">
        <f>IF(OR(P107=0,Q107=0),0,MIN(P107,Q107)*Mapping!$I$2/P107)</f>
        <v>5.000000000000001E-2</v>
      </c>
      <c r="S107" s="1">
        <f>IF(OR(P107=0,Q107=0),0,MIN(P107,Q107)*Mapping!$I$2/Q107)</f>
        <v>5.000000000000001E-2</v>
      </c>
    </row>
    <row r="108" spans="1:19">
      <c r="A108" s="5">
        <v>42277</v>
      </c>
      <c r="B108" s="5">
        <v>42278</v>
      </c>
      <c r="C108">
        <v>-1</v>
      </c>
      <c r="D108">
        <v>0</v>
      </c>
      <c r="E108">
        <v>-1</v>
      </c>
      <c r="F108">
        <v>0</v>
      </c>
      <c r="G108">
        <v>1</v>
      </c>
      <c r="H108">
        <v>1</v>
      </c>
      <c r="I108">
        <v>-1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f t="shared" si="2"/>
        <v>3</v>
      </c>
      <c r="Q108">
        <f t="shared" si="3"/>
        <v>3</v>
      </c>
      <c r="R108" s="1">
        <f>IF(OR(P108=0,Q108=0),0,MIN(P108,Q108)*Mapping!$I$2/P108)</f>
        <v>5.000000000000001E-2</v>
      </c>
      <c r="S108" s="1">
        <f>IF(OR(P108=0,Q108=0),0,MIN(P108,Q108)*Mapping!$I$2/Q108)</f>
        <v>5.000000000000001E-2</v>
      </c>
    </row>
    <row r="109" spans="1:19">
      <c r="A109" s="5">
        <v>42308</v>
      </c>
      <c r="B109" s="5">
        <v>42309</v>
      </c>
      <c r="C109">
        <v>-1</v>
      </c>
      <c r="D109">
        <v>0</v>
      </c>
      <c r="E109">
        <v>-1</v>
      </c>
      <c r="F109">
        <v>0</v>
      </c>
      <c r="G109">
        <v>0</v>
      </c>
      <c r="H109">
        <v>1</v>
      </c>
      <c r="I109">
        <v>-1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f t="shared" si="2"/>
        <v>3</v>
      </c>
      <c r="Q109">
        <f t="shared" si="3"/>
        <v>3</v>
      </c>
      <c r="R109" s="1">
        <f>IF(OR(P109=0,Q109=0),0,MIN(P109,Q109)*Mapping!$I$2/P109)</f>
        <v>5.000000000000001E-2</v>
      </c>
      <c r="S109" s="1">
        <f>IF(OR(P109=0,Q109=0),0,MIN(P109,Q109)*Mapping!$I$2/Q109)</f>
        <v>5.000000000000001E-2</v>
      </c>
    </row>
    <row r="110" spans="1:19">
      <c r="A110" s="5">
        <v>42338</v>
      </c>
      <c r="B110" s="5">
        <v>42339</v>
      </c>
      <c r="C110">
        <v>-1</v>
      </c>
      <c r="D110">
        <v>1</v>
      </c>
      <c r="E110">
        <v>0</v>
      </c>
      <c r="F110">
        <v>0</v>
      </c>
      <c r="G110">
        <v>1</v>
      </c>
      <c r="H110">
        <v>-1</v>
      </c>
      <c r="I110">
        <v>-1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f t="shared" si="2"/>
        <v>3</v>
      </c>
      <c r="Q110">
        <f t="shared" si="3"/>
        <v>3</v>
      </c>
      <c r="R110" s="1">
        <f>IF(OR(P110=0,Q110=0),0,MIN(P110,Q110)*Mapping!$I$2/P110)</f>
        <v>5.000000000000001E-2</v>
      </c>
      <c r="S110" s="1">
        <f>IF(OR(P110=0,Q110=0),0,MIN(P110,Q110)*Mapping!$I$2/Q110)</f>
        <v>5.000000000000001E-2</v>
      </c>
    </row>
    <row r="111" spans="1:19">
      <c r="A111" s="5">
        <v>42369</v>
      </c>
      <c r="B111" s="5">
        <v>42370</v>
      </c>
      <c r="C111">
        <v>-1</v>
      </c>
      <c r="D111">
        <v>-1</v>
      </c>
      <c r="E111">
        <v>0</v>
      </c>
      <c r="F111">
        <v>-1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f t="shared" si="2"/>
        <v>3</v>
      </c>
      <c r="Q111">
        <f t="shared" si="3"/>
        <v>3</v>
      </c>
      <c r="R111" s="1">
        <f>IF(OR(P111=0,Q111=0),0,MIN(P111,Q111)*Mapping!$I$2/P111)</f>
        <v>5.000000000000001E-2</v>
      </c>
      <c r="S111" s="1">
        <f>IF(OR(P111=0,Q111=0),0,MIN(P111,Q111)*Mapping!$I$2/Q111)</f>
        <v>5.000000000000001E-2</v>
      </c>
    </row>
    <row r="112" spans="1:19">
      <c r="A112" s="5">
        <v>42400</v>
      </c>
      <c r="B112" s="5">
        <v>42401</v>
      </c>
      <c r="C112">
        <v>-1</v>
      </c>
      <c r="D112">
        <v>1</v>
      </c>
      <c r="E112">
        <v>0</v>
      </c>
      <c r="F112">
        <v>-1</v>
      </c>
      <c r="G112">
        <v>0</v>
      </c>
      <c r="H112">
        <v>1</v>
      </c>
      <c r="I112">
        <v>-1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f t="shared" si="2"/>
        <v>3</v>
      </c>
      <c r="Q112">
        <f t="shared" si="3"/>
        <v>3</v>
      </c>
      <c r="R112" s="1">
        <f>IF(OR(P112=0,Q112=0),0,MIN(P112,Q112)*Mapping!$I$2/P112)</f>
        <v>5.000000000000001E-2</v>
      </c>
      <c r="S112" s="1">
        <f>IF(OR(P112=0,Q112=0),0,MIN(P112,Q112)*Mapping!$I$2/Q112)</f>
        <v>5.000000000000001E-2</v>
      </c>
    </row>
    <row r="113" spans="1:19">
      <c r="A113" s="5">
        <v>42429</v>
      </c>
      <c r="B113" s="5">
        <v>42430</v>
      </c>
      <c r="C113">
        <v>-1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-1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-1</v>
      </c>
      <c r="P113">
        <f t="shared" si="2"/>
        <v>3</v>
      </c>
      <c r="Q113">
        <f t="shared" si="3"/>
        <v>3</v>
      </c>
      <c r="R113" s="1">
        <f>IF(OR(P113=0,Q113=0),0,MIN(P113,Q113)*Mapping!$I$2/P113)</f>
        <v>5.000000000000001E-2</v>
      </c>
      <c r="S113" s="1">
        <f>IF(OR(P113=0,Q113=0),0,MIN(P113,Q113)*Mapping!$I$2/Q113)</f>
        <v>5.000000000000001E-2</v>
      </c>
    </row>
    <row r="114" spans="1:19">
      <c r="A114" s="5">
        <v>42460</v>
      </c>
      <c r="B114" s="5">
        <v>42461</v>
      </c>
      <c r="C114">
        <v>-1</v>
      </c>
      <c r="D114">
        <v>1</v>
      </c>
      <c r="E114">
        <v>0</v>
      </c>
      <c r="F114">
        <v>0</v>
      </c>
      <c r="G114">
        <v>1</v>
      </c>
      <c r="H114">
        <v>-1</v>
      </c>
      <c r="I114">
        <v>-1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f t="shared" si="2"/>
        <v>3</v>
      </c>
      <c r="Q114">
        <f t="shared" si="3"/>
        <v>3</v>
      </c>
      <c r="R114" s="1">
        <f>IF(OR(P114=0,Q114=0),0,MIN(P114,Q114)*Mapping!$I$2/P114)</f>
        <v>5.000000000000001E-2</v>
      </c>
      <c r="S114" s="1">
        <f>IF(OR(P114=0,Q114=0),0,MIN(P114,Q114)*Mapping!$I$2/Q114)</f>
        <v>5.000000000000001E-2</v>
      </c>
    </row>
    <row r="115" spans="1:19">
      <c r="A115" s="5">
        <v>42490</v>
      </c>
      <c r="B115" s="5">
        <v>42491</v>
      </c>
      <c r="C115">
        <v>-1</v>
      </c>
      <c r="D115">
        <v>1</v>
      </c>
      <c r="E115">
        <v>0</v>
      </c>
      <c r="F115">
        <v>-1</v>
      </c>
      <c r="G115">
        <v>0</v>
      </c>
      <c r="H115">
        <v>0</v>
      </c>
      <c r="I115">
        <v>-1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f t="shared" si="2"/>
        <v>3</v>
      </c>
      <c r="Q115">
        <f t="shared" si="3"/>
        <v>3</v>
      </c>
      <c r="R115" s="1">
        <f>IF(OR(P115=0,Q115=0),0,MIN(P115,Q115)*Mapping!$I$2/P115)</f>
        <v>5.000000000000001E-2</v>
      </c>
      <c r="S115" s="1">
        <f>IF(OR(P115=0,Q115=0),0,MIN(P115,Q115)*Mapping!$I$2/Q115)</f>
        <v>5.000000000000001E-2</v>
      </c>
    </row>
    <row r="116" spans="1:19">
      <c r="A116" s="5">
        <v>42521</v>
      </c>
      <c r="B116" s="5">
        <v>42522</v>
      </c>
      <c r="C116">
        <v>-1</v>
      </c>
      <c r="D116">
        <v>1</v>
      </c>
      <c r="E116">
        <v>0</v>
      </c>
      <c r="F116">
        <v>-1</v>
      </c>
      <c r="G116">
        <v>0</v>
      </c>
      <c r="H116">
        <v>0</v>
      </c>
      <c r="I116">
        <v>-1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f t="shared" si="2"/>
        <v>3</v>
      </c>
      <c r="Q116">
        <f t="shared" si="3"/>
        <v>3</v>
      </c>
      <c r="R116" s="1">
        <f>IF(OR(P116=0,Q116=0),0,MIN(P116,Q116)*Mapping!$I$2/P116)</f>
        <v>5.000000000000001E-2</v>
      </c>
      <c r="S116" s="1">
        <f>IF(OR(P116=0,Q116=0),0,MIN(P116,Q116)*Mapping!$I$2/Q116)</f>
        <v>5.000000000000001E-2</v>
      </c>
    </row>
    <row r="117" spans="1:19">
      <c r="A117" s="5">
        <v>42551</v>
      </c>
      <c r="B117" s="5">
        <v>42552</v>
      </c>
      <c r="C117">
        <v>0</v>
      </c>
      <c r="D117">
        <v>1</v>
      </c>
      <c r="E117">
        <v>1</v>
      </c>
      <c r="F117">
        <v>-1</v>
      </c>
      <c r="G117">
        <v>0</v>
      </c>
      <c r="H117">
        <v>0</v>
      </c>
      <c r="I117">
        <v>-1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-1</v>
      </c>
      <c r="P117">
        <f t="shared" si="2"/>
        <v>3</v>
      </c>
      <c r="Q117">
        <f t="shared" si="3"/>
        <v>3</v>
      </c>
      <c r="R117" s="1">
        <f>IF(OR(P117=0,Q117=0),0,MIN(P117,Q117)*Mapping!$I$2/P117)</f>
        <v>5.000000000000001E-2</v>
      </c>
      <c r="S117" s="1">
        <f>IF(OR(P117=0,Q117=0),0,MIN(P117,Q117)*Mapping!$I$2/Q117)</f>
        <v>5.000000000000001E-2</v>
      </c>
    </row>
    <row r="118" spans="1:19">
      <c r="A118" s="5">
        <v>42582</v>
      </c>
      <c r="B118" s="5">
        <v>42583</v>
      </c>
      <c r="C118">
        <v>0</v>
      </c>
      <c r="D118">
        <v>1</v>
      </c>
      <c r="E118">
        <v>-1</v>
      </c>
      <c r="F118">
        <v>-1</v>
      </c>
      <c r="G118">
        <v>0</v>
      </c>
      <c r="H118">
        <v>0</v>
      </c>
      <c r="I118">
        <v>1</v>
      </c>
      <c r="J118">
        <v>1</v>
      </c>
      <c r="K118">
        <v>-1</v>
      </c>
      <c r="L118">
        <v>0</v>
      </c>
      <c r="M118">
        <v>0</v>
      </c>
      <c r="N118">
        <v>0</v>
      </c>
      <c r="O118">
        <v>0</v>
      </c>
      <c r="P118">
        <f t="shared" si="2"/>
        <v>3</v>
      </c>
      <c r="Q118">
        <f t="shared" si="3"/>
        <v>3</v>
      </c>
      <c r="R118" s="1">
        <f>IF(OR(P118=0,Q118=0),0,MIN(P118,Q118)*Mapping!$I$2/P118)</f>
        <v>5.000000000000001E-2</v>
      </c>
      <c r="S118" s="1">
        <f>IF(OR(P118=0,Q118=0),0,MIN(P118,Q118)*Mapping!$I$2/Q118)</f>
        <v>5.000000000000001E-2</v>
      </c>
    </row>
    <row r="119" spans="1:19">
      <c r="A119" s="5">
        <v>42613</v>
      </c>
      <c r="B119" s="5">
        <v>42614</v>
      </c>
      <c r="C119">
        <v>0</v>
      </c>
      <c r="D119">
        <v>0</v>
      </c>
      <c r="E119">
        <v>-1</v>
      </c>
      <c r="F119">
        <v>-1</v>
      </c>
      <c r="G119">
        <v>1</v>
      </c>
      <c r="H119">
        <v>0</v>
      </c>
      <c r="I119">
        <v>1</v>
      </c>
      <c r="J119">
        <v>1</v>
      </c>
      <c r="K119">
        <v>-1</v>
      </c>
      <c r="L119">
        <v>0</v>
      </c>
      <c r="M119">
        <v>0</v>
      </c>
      <c r="N119">
        <v>0</v>
      </c>
      <c r="O119">
        <v>0</v>
      </c>
      <c r="P119">
        <f t="shared" si="2"/>
        <v>3</v>
      </c>
      <c r="Q119">
        <f t="shared" si="3"/>
        <v>3</v>
      </c>
      <c r="R119" s="1">
        <f>IF(OR(P119=0,Q119=0),0,MIN(P119,Q119)*Mapping!$I$2/P119)</f>
        <v>5.000000000000001E-2</v>
      </c>
      <c r="S119" s="1">
        <f>IF(OR(P119=0,Q119=0),0,MIN(P119,Q119)*Mapping!$I$2/Q119)</f>
        <v>5.000000000000001E-2</v>
      </c>
    </row>
    <row r="120" spans="1:19">
      <c r="A120" s="5">
        <v>42643</v>
      </c>
      <c r="B120" s="5">
        <v>42644</v>
      </c>
      <c r="C120">
        <v>1</v>
      </c>
      <c r="D120">
        <v>0</v>
      </c>
      <c r="E120">
        <v>-1</v>
      </c>
      <c r="F120">
        <v>-1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-1</v>
      </c>
      <c r="O120">
        <v>0</v>
      </c>
      <c r="P120">
        <f t="shared" si="2"/>
        <v>3</v>
      </c>
      <c r="Q120">
        <f t="shared" si="3"/>
        <v>3</v>
      </c>
      <c r="R120" s="1">
        <f>IF(OR(P120=0,Q120=0),0,MIN(P120,Q120)*Mapping!$I$2/P120)</f>
        <v>5.000000000000001E-2</v>
      </c>
      <c r="S120" s="1">
        <f>IF(OR(P120=0,Q120=0),0,MIN(P120,Q120)*Mapping!$I$2/Q120)</f>
        <v>5.000000000000001E-2</v>
      </c>
    </row>
    <row r="121" spans="1:19">
      <c r="A121" s="5">
        <v>42674</v>
      </c>
      <c r="B121" s="5">
        <v>42675</v>
      </c>
      <c r="C121">
        <v>1</v>
      </c>
      <c r="D121">
        <v>1</v>
      </c>
      <c r="E121">
        <v>0</v>
      </c>
      <c r="F121">
        <v>-1</v>
      </c>
      <c r="G121">
        <v>0</v>
      </c>
      <c r="H121">
        <v>0</v>
      </c>
      <c r="I121">
        <v>0</v>
      </c>
      <c r="J121">
        <v>1</v>
      </c>
      <c r="K121">
        <v>-1</v>
      </c>
      <c r="L121">
        <v>-1</v>
      </c>
      <c r="M121">
        <v>0</v>
      </c>
      <c r="N121">
        <v>0</v>
      </c>
      <c r="O121">
        <v>0</v>
      </c>
      <c r="P121">
        <f t="shared" si="2"/>
        <v>3</v>
      </c>
      <c r="Q121">
        <f t="shared" si="3"/>
        <v>3</v>
      </c>
      <c r="R121" s="1">
        <f>IF(OR(P121=0,Q121=0),0,MIN(P121,Q121)*Mapping!$I$2/P121)</f>
        <v>5.000000000000001E-2</v>
      </c>
      <c r="S121" s="1">
        <f>IF(OR(P121=0,Q121=0),0,MIN(P121,Q121)*Mapping!$I$2/Q121)</f>
        <v>5.000000000000001E-2</v>
      </c>
    </row>
    <row r="122" spans="1:19">
      <c r="A122" s="5">
        <v>42704</v>
      </c>
      <c r="B122" s="5">
        <v>42705</v>
      </c>
      <c r="C122">
        <v>0</v>
      </c>
      <c r="D122">
        <v>1</v>
      </c>
      <c r="E122">
        <v>0</v>
      </c>
      <c r="F122">
        <v>-1</v>
      </c>
      <c r="G122">
        <v>-1</v>
      </c>
      <c r="H122">
        <v>0</v>
      </c>
      <c r="I122">
        <v>-1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f t="shared" si="2"/>
        <v>3</v>
      </c>
      <c r="Q122">
        <f t="shared" si="3"/>
        <v>3</v>
      </c>
      <c r="R122" s="1">
        <f>IF(OR(P122=0,Q122=0),0,MIN(P122,Q122)*Mapping!$I$2/P122)</f>
        <v>5.000000000000001E-2</v>
      </c>
      <c r="S122" s="1">
        <f>IF(OR(P122=0,Q122=0),0,MIN(P122,Q122)*Mapping!$I$2/Q122)</f>
        <v>5.000000000000001E-2</v>
      </c>
    </row>
    <row r="123" spans="1:19">
      <c r="A123" s="5">
        <v>42735</v>
      </c>
      <c r="B123" s="5">
        <v>42736</v>
      </c>
      <c r="C123">
        <v>1</v>
      </c>
      <c r="D123">
        <v>1</v>
      </c>
      <c r="E123">
        <v>0</v>
      </c>
      <c r="F123">
        <v>-1</v>
      </c>
      <c r="G123">
        <v>-1</v>
      </c>
      <c r="H123">
        <v>0</v>
      </c>
      <c r="I123">
        <v>-1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f t="shared" si="2"/>
        <v>3</v>
      </c>
      <c r="Q123">
        <f t="shared" si="3"/>
        <v>3</v>
      </c>
      <c r="R123" s="1">
        <f>IF(OR(P123=0,Q123=0),0,MIN(P123,Q123)*Mapping!$I$2/P123)</f>
        <v>5.000000000000001E-2</v>
      </c>
      <c r="S123" s="1">
        <f>IF(OR(P123=0,Q123=0),0,MIN(P123,Q123)*Mapping!$I$2/Q123)</f>
        <v>5.000000000000001E-2</v>
      </c>
    </row>
    <row r="124" spans="1:19">
      <c r="A124" s="5">
        <v>42766</v>
      </c>
      <c r="B124" s="5">
        <v>42767</v>
      </c>
      <c r="C124">
        <v>1</v>
      </c>
      <c r="D124">
        <v>1</v>
      </c>
      <c r="E124">
        <v>0</v>
      </c>
      <c r="F124">
        <v>0</v>
      </c>
      <c r="G124">
        <v>-1</v>
      </c>
      <c r="H124">
        <v>0</v>
      </c>
      <c r="I124">
        <v>-1</v>
      </c>
      <c r="J124">
        <v>0</v>
      </c>
      <c r="K124">
        <v>0</v>
      </c>
      <c r="L124">
        <v>-1</v>
      </c>
      <c r="M124">
        <v>0</v>
      </c>
      <c r="N124">
        <v>0</v>
      </c>
      <c r="O124">
        <v>1</v>
      </c>
      <c r="P124">
        <f t="shared" si="2"/>
        <v>3</v>
      </c>
      <c r="Q124">
        <f t="shared" si="3"/>
        <v>3</v>
      </c>
      <c r="R124" s="1">
        <f>IF(OR(P124=0,Q124=0),0,MIN(P124,Q124)*Mapping!$I$2/P124)</f>
        <v>5.000000000000001E-2</v>
      </c>
      <c r="S124" s="1">
        <f>IF(OR(P124=0,Q124=0),0,MIN(P124,Q124)*Mapping!$I$2/Q124)</f>
        <v>5.000000000000001E-2</v>
      </c>
    </row>
    <row r="125" spans="1:19">
      <c r="A125" s="5">
        <v>42794</v>
      </c>
      <c r="B125" s="5">
        <v>42795</v>
      </c>
      <c r="C125">
        <v>1</v>
      </c>
      <c r="D125">
        <v>1</v>
      </c>
      <c r="E125">
        <v>-1</v>
      </c>
      <c r="F125">
        <v>0</v>
      </c>
      <c r="G125">
        <v>-1</v>
      </c>
      <c r="H125">
        <v>0</v>
      </c>
      <c r="I125">
        <v>-1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f t="shared" si="2"/>
        <v>3</v>
      </c>
      <c r="Q125">
        <f t="shared" si="3"/>
        <v>3</v>
      </c>
      <c r="R125" s="1">
        <f>IF(OR(P125=0,Q125=0),0,MIN(P125,Q125)*Mapping!$I$2/P125)</f>
        <v>5.000000000000001E-2</v>
      </c>
      <c r="S125" s="1">
        <f>IF(OR(P125=0,Q125=0),0,MIN(P125,Q125)*Mapping!$I$2/Q125)</f>
        <v>5.000000000000001E-2</v>
      </c>
    </row>
    <row r="126" spans="1:19">
      <c r="A126" s="5">
        <v>42825</v>
      </c>
      <c r="B126" s="5">
        <v>42826</v>
      </c>
      <c r="C126">
        <v>1</v>
      </c>
      <c r="D126">
        <v>1</v>
      </c>
      <c r="E126">
        <v>0</v>
      </c>
      <c r="F126">
        <v>0</v>
      </c>
      <c r="G126">
        <v>-1</v>
      </c>
      <c r="H126">
        <v>0</v>
      </c>
      <c r="I126">
        <v>-1</v>
      </c>
      <c r="J126">
        <v>0</v>
      </c>
      <c r="K126">
        <v>0</v>
      </c>
      <c r="L126">
        <v>0</v>
      </c>
      <c r="M126">
        <v>0</v>
      </c>
      <c r="N126">
        <v>-1</v>
      </c>
      <c r="O126">
        <v>1</v>
      </c>
      <c r="P126">
        <f t="shared" si="2"/>
        <v>3</v>
      </c>
      <c r="Q126">
        <f t="shared" si="3"/>
        <v>3</v>
      </c>
      <c r="R126" s="1">
        <f>IF(OR(P126=0,Q126=0),0,MIN(P126,Q126)*Mapping!$I$2/P126)</f>
        <v>5.000000000000001E-2</v>
      </c>
      <c r="S126" s="1">
        <f>IF(OR(P126=0,Q126=0),0,MIN(P126,Q126)*Mapping!$I$2/Q126)</f>
        <v>5.000000000000001E-2</v>
      </c>
    </row>
    <row r="127" spans="1:19">
      <c r="A127" s="5">
        <v>42855</v>
      </c>
      <c r="B127" s="5">
        <v>42856</v>
      </c>
      <c r="C127">
        <v>1</v>
      </c>
      <c r="D127">
        <v>1</v>
      </c>
      <c r="E127">
        <v>0</v>
      </c>
      <c r="F127">
        <v>0</v>
      </c>
      <c r="G127">
        <v>-1</v>
      </c>
      <c r="H127">
        <v>0</v>
      </c>
      <c r="I127">
        <v>-1</v>
      </c>
      <c r="J127">
        <v>0</v>
      </c>
      <c r="K127">
        <v>0</v>
      </c>
      <c r="L127">
        <v>-1</v>
      </c>
      <c r="M127">
        <v>0</v>
      </c>
      <c r="N127">
        <v>0</v>
      </c>
      <c r="O127">
        <v>1</v>
      </c>
      <c r="P127">
        <f t="shared" si="2"/>
        <v>3</v>
      </c>
      <c r="Q127">
        <f t="shared" si="3"/>
        <v>3</v>
      </c>
      <c r="R127" s="1">
        <f>IF(OR(P127=0,Q127=0),0,MIN(P127,Q127)*Mapping!$I$2/P127)</f>
        <v>5.000000000000001E-2</v>
      </c>
      <c r="S127" s="1">
        <f>IF(OR(P127=0,Q127=0),0,MIN(P127,Q127)*Mapping!$I$2/Q127)</f>
        <v>5.000000000000001E-2</v>
      </c>
    </row>
    <row r="128" spans="1:19">
      <c r="A128" s="5">
        <v>42886</v>
      </c>
      <c r="B128" s="5">
        <v>42887</v>
      </c>
      <c r="C128">
        <v>1</v>
      </c>
      <c r="D128">
        <v>1</v>
      </c>
      <c r="E128">
        <v>0</v>
      </c>
      <c r="F128">
        <v>0</v>
      </c>
      <c r="G128">
        <v>-1</v>
      </c>
      <c r="H128">
        <v>0</v>
      </c>
      <c r="I128">
        <v>-1</v>
      </c>
      <c r="J128">
        <v>0</v>
      </c>
      <c r="K128">
        <v>0</v>
      </c>
      <c r="L128">
        <v>0</v>
      </c>
      <c r="M128">
        <v>0</v>
      </c>
      <c r="N128">
        <v>-1</v>
      </c>
      <c r="O128">
        <v>1</v>
      </c>
      <c r="P128">
        <f t="shared" si="2"/>
        <v>3</v>
      </c>
      <c r="Q128">
        <f t="shared" si="3"/>
        <v>3</v>
      </c>
      <c r="R128" s="1">
        <f>IF(OR(P128=0,Q128=0),0,MIN(P128,Q128)*Mapping!$I$2/P128)</f>
        <v>5.000000000000001E-2</v>
      </c>
      <c r="S128" s="1">
        <f>IF(OR(P128=0,Q128=0),0,MIN(P128,Q128)*Mapping!$I$2/Q128)</f>
        <v>5.000000000000001E-2</v>
      </c>
    </row>
    <row r="129" spans="1:19">
      <c r="A129" s="5">
        <v>42916</v>
      </c>
      <c r="B129" s="5">
        <v>42917</v>
      </c>
      <c r="C129">
        <v>1</v>
      </c>
      <c r="D129">
        <v>1</v>
      </c>
      <c r="E129">
        <v>0</v>
      </c>
      <c r="F129">
        <v>0</v>
      </c>
      <c r="G129">
        <v>-1</v>
      </c>
      <c r="H129">
        <v>0</v>
      </c>
      <c r="I129">
        <v>-1</v>
      </c>
      <c r="J129">
        <v>0</v>
      </c>
      <c r="K129">
        <v>0</v>
      </c>
      <c r="L129">
        <v>0</v>
      </c>
      <c r="M129">
        <v>0</v>
      </c>
      <c r="N129">
        <v>-1</v>
      </c>
      <c r="O129">
        <v>1</v>
      </c>
      <c r="P129">
        <f t="shared" si="2"/>
        <v>3</v>
      </c>
      <c r="Q129">
        <f t="shared" si="3"/>
        <v>3</v>
      </c>
      <c r="R129" s="1">
        <f>IF(OR(P129=0,Q129=0),0,MIN(P129,Q129)*Mapping!$I$2/P129)</f>
        <v>5.000000000000001E-2</v>
      </c>
      <c r="S129" s="1">
        <f>IF(OR(P129=0,Q129=0),0,MIN(P129,Q129)*Mapping!$I$2/Q129)</f>
        <v>5.000000000000001E-2</v>
      </c>
    </row>
    <row r="130" spans="1:19">
      <c r="A130" s="5">
        <v>42947</v>
      </c>
      <c r="B130" s="5">
        <v>42948</v>
      </c>
      <c r="C130">
        <v>1</v>
      </c>
      <c r="D130">
        <v>1</v>
      </c>
      <c r="E130">
        <v>0</v>
      </c>
      <c r="F130">
        <v>0</v>
      </c>
      <c r="G130">
        <v>-1</v>
      </c>
      <c r="H130">
        <v>0</v>
      </c>
      <c r="I130">
        <v>-1</v>
      </c>
      <c r="J130">
        <v>0</v>
      </c>
      <c r="K130">
        <v>-1</v>
      </c>
      <c r="L130">
        <v>0</v>
      </c>
      <c r="M130">
        <v>0</v>
      </c>
      <c r="N130">
        <v>0</v>
      </c>
      <c r="O130">
        <v>1</v>
      </c>
      <c r="P130">
        <f t="shared" si="2"/>
        <v>3</v>
      </c>
      <c r="Q130">
        <f t="shared" si="3"/>
        <v>3</v>
      </c>
      <c r="R130" s="1">
        <f>IF(OR(P130=0,Q130=0),0,MIN(P130,Q130)*Mapping!$I$2/P130)</f>
        <v>5.000000000000001E-2</v>
      </c>
      <c r="S130" s="1">
        <f>IF(OR(P130=0,Q130=0),0,MIN(P130,Q130)*Mapping!$I$2/Q130)</f>
        <v>5.000000000000001E-2</v>
      </c>
    </row>
    <row r="131" spans="1:19">
      <c r="A131" s="5">
        <v>42978</v>
      </c>
      <c r="B131" s="5">
        <v>42979</v>
      </c>
      <c r="C131">
        <v>1</v>
      </c>
      <c r="D131">
        <v>1</v>
      </c>
      <c r="E131">
        <v>0</v>
      </c>
      <c r="F131">
        <v>0</v>
      </c>
      <c r="G131">
        <v>-1</v>
      </c>
      <c r="H131">
        <v>-1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</v>
      </c>
      <c r="O131">
        <v>1</v>
      </c>
      <c r="P131">
        <f t="shared" ref="P131:P194" si="4">COUNTIF(C131:O131,1)</f>
        <v>3</v>
      </c>
      <c r="Q131">
        <f t="shared" ref="Q131:Q194" si="5">COUNTIF(C131:O131,-1)</f>
        <v>3</v>
      </c>
      <c r="R131" s="1">
        <f>IF(OR(P131=0,Q131=0),0,MIN(P131,Q131)*Mapping!$I$2/P131)</f>
        <v>5.000000000000001E-2</v>
      </c>
      <c r="S131" s="1">
        <f>IF(OR(P131=0,Q131=0),0,MIN(P131,Q131)*Mapping!$I$2/Q131)</f>
        <v>5.000000000000001E-2</v>
      </c>
    </row>
    <row r="132" spans="1:19">
      <c r="A132" s="5">
        <v>43008</v>
      </c>
      <c r="B132" s="5">
        <v>43009</v>
      </c>
      <c r="C132">
        <v>1</v>
      </c>
      <c r="D132">
        <v>1</v>
      </c>
      <c r="E132">
        <v>0</v>
      </c>
      <c r="F132">
        <v>0</v>
      </c>
      <c r="G132">
        <v>-1</v>
      </c>
      <c r="H132">
        <v>-1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-1</v>
      </c>
      <c r="O132">
        <v>0</v>
      </c>
      <c r="P132">
        <f t="shared" si="4"/>
        <v>3</v>
      </c>
      <c r="Q132">
        <f t="shared" si="5"/>
        <v>3</v>
      </c>
      <c r="R132" s="1">
        <f>IF(OR(P132=0,Q132=0),0,MIN(P132,Q132)*Mapping!$I$2/P132)</f>
        <v>5.000000000000001E-2</v>
      </c>
      <c r="S132" s="1">
        <f>IF(OR(P132=0,Q132=0),0,MIN(P132,Q132)*Mapping!$I$2/Q132)</f>
        <v>5.000000000000001E-2</v>
      </c>
    </row>
    <row r="133" spans="1:19">
      <c r="A133" s="5">
        <v>43039</v>
      </c>
      <c r="B133" s="5">
        <v>43040</v>
      </c>
      <c r="C133">
        <v>1</v>
      </c>
      <c r="D133">
        <v>1</v>
      </c>
      <c r="E133">
        <v>0</v>
      </c>
      <c r="F133">
        <v>-1</v>
      </c>
      <c r="G133">
        <v>0</v>
      </c>
      <c r="H133">
        <v>-1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-1</v>
      </c>
      <c r="O133">
        <v>0</v>
      </c>
      <c r="P133">
        <f t="shared" si="4"/>
        <v>3</v>
      </c>
      <c r="Q133">
        <f t="shared" si="5"/>
        <v>3</v>
      </c>
      <c r="R133" s="1">
        <f>IF(OR(P133=0,Q133=0),0,MIN(P133,Q133)*Mapping!$I$2/P133)</f>
        <v>5.000000000000001E-2</v>
      </c>
      <c r="S133" s="1">
        <f>IF(OR(P133=0,Q133=0),0,MIN(P133,Q133)*Mapping!$I$2/Q133)</f>
        <v>5.000000000000001E-2</v>
      </c>
    </row>
    <row r="134" spans="1:19">
      <c r="A134" s="5">
        <v>43069</v>
      </c>
      <c r="B134" s="5">
        <v>43070</v>
      </c>
      <c r="C134">
        <v>1</v>
      </c>
      <c r="D134">
        <v>1</v>
      </c>
      <c r="E134">
        <v>0</v>
      </c>
      <c r="F134">
        <v>-1</v>
      </c>
      <c r="G134">
        <v>0</v>
      </c>
      <c r="H134">
        <v>0</v>
      </c>
      <c r="I134">
        <v>1</v>
      </c>
      <c r="J134">
        <v>-1</v>
      </c>
      <c r="K134">
        <v>0</v>
      </c>
      <c r="L134">
        <v>0</v>
      </c>
      <c r="M134">
        <v>0</v>
      </c>
      <c r="N134">
        <v>-1</v>
      </c>
      <c r="O134">
        <v>0</v>
      </c>
      <c r="P134">
        <f t="shared" si="4"/>
        <v>3</v>
      </c>
      <c r="Q134">
        <f t="shared" si="5"/>
        <v>3</v>
      </c>
      <c r="R134" s="1">
        <f>IF(OR(P134=0,Q134=0),0,MIN(P134,Q134)*Mapping!$I$2/P134)</f>
        <v>5.000000000000001E-2</v>
      </c>
      <c r="S134" s="1">
        <f>IF(OR(P134=0,Q134=0),0,MIN(P134,Q134)*Mapping!$I$2/Q134)</f>
        <v>5.000000000000001E-2</v>
      </c>
    </row>
    <row r="135" spans="1:19">
      <c r="A135" s="5">
        <v>43100</v>
      </c>
      <c r="B135" s="5">
        <v>43101</v>
      </c>
      <c r="C135">
        <v>1</v>
      </c>
      <c r="D135">
        <v>1</v>
      </c>
      <c r="E135">
        <v>0</v>
      </c>
      <c r="F135">
        <v>-1</v>
      </c>
      <c r="G135">
        <v>0</v>
      </c>
      <c r="H135">
        <v>-1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-1</v>
      </c>
      <c r="O135">
        <v>0</v>
      </c>
      <c r="P135">
        <f t="shared" si="4"/>
        <v>3</v>
      </c>
      <c r="Q135">
        <f t="shared" si="5"/>
        <v>3</v>
      </c>
      <c r="R135" s="1">
        <f>IF(OR(P135=0,Q135=0),0,MIN(P135,Q135)*Mapping!$I$2/P135)</f>
        <v>5.000000000000001E-2</v>
      </c>
      <c r="S135" s="1">
        <f>IF(OR(P135=0,Q135=0),0,MIN(P135,Q135)*Mapping!$I$2/Q135)</f>
        <v>5.000000000000001E-2</v>
      </c>
    </row>
    <row r="136" spans="1:19">
      <c r="A136" s="5">
        <v>43131</v>
      </c>
      <c r="B136" s="5">
        <v>43132</v>
      </c>
      <c r="C136">
        <v>1</v>
      </c>
      <c r="D136">
        <v>1</v>
      </c>
      <c r="E136">
        <v>0</v>
      </c>
      <c r="F136">
        <v>-1</v>
      </c>
      <c r="G136">
        <v>0</v>
      </c>
      <c r="H136">
        <v>0</v>
      </c>
      <c r="I136">
        <v>0</v>
      </c>
      <c r="J136">
        <v>-1</v>
      </c>
      <c r="K136">
        <v>1</v>
      </c>
      <c r="L136">
        <v>0</v>
      </c>
      <c r="M136">
        <v>0</v>
      </c>
      <c r="N136">
        <v>-1</v>
      </c>
      <c r="O136">
        <v>0</v>
      </c>
      <c r="P136">
        <f t="shared" si="4"/>
        <v>3</v>
      </c>
      <c r="Q136">
        <f t="shared" si="5"/>
        <v>3</v>
      </c>
      <c r="R136" s="1">
        <f>IF(OR(P136=0,Q136=0),0,MIN(P136,Q136)*Mapping!$I$2/P136)</f>
        <v>5.000000000000001E-2</v>
      </c>
      <c r="S136" s="1">
        <f>IF(OR(P136=0,Q136=0),0,MIN(P136,Q136)*Mapping!$I$2/Q136)</f>
        <v>5.000000000000001E-2</v>
      </c>
    </row>
    <row r="137" spans="1:19">
      <c r="A137" s="5">
        <v>43159</v>
      </c>
      <c r="B137" s="5">
        <v>43160</v>
      </c>
      <c r="C137">
        <v>1</v>
      </c>
      <c r="D137">
        <v>1</v>
      </c>
      <c r="E137">
        <v>-1</v>
      </c>
      <c r="F137">
        <v>0</v>
      </c>
      <c r="G137">
        <v>0</v>
      </c>
      <c r="H137">
        <v>0</v>
      </c>
      <c r="I137">
        <v>0</v>
      </c>
      <c r="J137">
        <v>-1</v>
      </c>
      <c r="K137">
        <v>0</v>
      </c>
      <c r="L137">
        <v>0</v>
      </c>
      <c r="M137">
        <v>0</v>
      </c>
      <c r="N137">
        <v>-1</v>
      </c>
      <c r="O137">
        <v>1</v>
      </c>
      <c r="P137">
        <f t="shared" si="4"/>
        <v>3</v>
      </c>
      <c r="Q137">
        <f t="shared" si="5"/>
        <v>3</v>
      </c>
      <c r="R137" s="1">
        <f>IF(OR(P137=0,Q137=0),0,MIN(P137,Q137)*Mapping!$I$2/P137)</f>
        <v>5.000000000000001E-2</v>
      </c>
      <c r="S137" s="1">
        <f>IF(OR(P137=0,Q137=0),0,MIN(P137,Q137)*Mapping!$I$2/Q137)</f>
        <v>5.000000000000001E-2</v>
      </c>
    </row>
    <row r="138" spans="1:19">
      <c r="A138" s="5">
        <v>43190</v>
      </c>
      <c r="B138" s="5">
        <v>43191</v>
      </c>
      <c r="C138">
        <v>1</v>
      </c>
      <c r="D138">
        <v>1</v>
      </c>
      <c r="E138">
        <v>-1</v>
      </c>
      <c r="F138">
        <v>0</v>
      </c>
      <c r="G138">
        <v>0</v>
      </c>
      <c r="H138">
        <v>0</v>
      </c>
      <c r="I138">
        <v>0</v>
      </c>
      <c r="J138">
        <v>-1</v>
      </c>
      <c r="K138">
        <v>1</v>
      </c>
      <c r="L138">
        <v>0</v>
      </c>
      <c r="M138">
        <v>0</v>
      </c>
      <c r="N138">
        <v>-1</v>
      </c>
      <c r="O138">
        <v>0</v>
      </c>
      <c r="P138">
        <f t="shared" si="4"/>
        <v>3</v>
      </c>
      <c r="Q138">
        <f t="shared" si="5"/>
        <v>3</v>
      </c>
      <c r="R138" s="1">
        <f>IF(OR(P138=0,Q138=0),0,MIN(P138,Q138)*Mapping!$I$2/P138)</f>
        <v>5.000000000000001E-2</v>
      </c>
      <c r="S138" s="1">
        <f>IF(OR(P138=0,Q138=0),0,MIN(P138,Q138)*Mapping!$I$2/Q138)</f>
        <v>5.000000000000001E-2</v>
      </c>
    </row>
    <row r="139" spans="1:19">
      <c r="A139" s="5">
        <v>43220</v>
      </c>
      <c r="B139" s="5">
        <v>43221</v>
      </c>
      <c r="C139">
        <v>1</v>
      </c>
      <c r="D139">
        <v>1</v>
      </c>
      <c r="E139">
        <v>-1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-1</v>
      </c>
      <c r="M139">
        <v>0</v>
      </c>
      <c r="N139">
        <v>-1</v>
      </c>
      <c r="O139">
        <v>0</v>
      </c>
      <c r="P139">
        <f t="shared" si="4"/>
        <v>3</v>
      </c>
      <c r="Q139">
        <f t="shared" si="5"/>
        <v>3</v>
      </c>
      <c r="R139" s="1">
        <f>IF(OR(P139=0,Q139=0),0,MIN(P139,Q139)*Mapping!$I$2/P139)</f>
        <v>5.000000000000001E-2</v>
      </c>
      <c r="S139" s="1">
        <f>IF(OR(P139=0,Q139=0),0,MIN(P139,Q139)*Mapping!$I$2/Q139)</f>
        <v>5.000000000000001E-2</v>
      </c>
    </row>
    <row r="140" spans="1:19">
      <c r="A140" s="5">
        <v>43251</v>
      </c>
      <c r="B140" s="5">
        <v>43252</v>
      </c>
      <c r="C140">
        <v>1</v>
      </c>
      <c r="D140">
        <v>1</v>
      </c>
      <c r="E140">
        <v>-1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-1</v>
      </c>
      <c r="L140">
        <v>0</v>
      </c>
      <c r="M140">
        <v>0</v>
      </c>
      <c r="N140">
        <v>-1</v>
      </c>
      <c r="O140">
        <v>0</v>
      </c>
      <c r="P140">
        <f t="shared" si="4"/>
        <v>3</v>
      </c>
      <c r="Q140">
        <f t="shared" si="5"/>
        <v>3</v>
      </c>
      <c r="R140" s="1">
        <f>IF(OR(P140=0,Q140=0),0,MIN(P140,Q140)*Mapping!$I$2/P140)</f>
        <v>5.000000000000001E-2</v>
      </c>
      <c r="S140" s="1">
        <f>IF(OR(P140=0,Q140=0),0,MIN(P140,Q140)*Mapping!$I$2/Q140)</f>
        <v>5.000000000000001E-2</v>
      </c>
    </row>
    <row r="141" spans="1:19">
      <c r="A141" s="5">
        <v>43281</v>
      </c>
      <c r="B141" s="5">
        <v>43282</v>
      </c>
      <c r="C141">
        <v>1</v>
      </c>
      <c r="D141">
        <v>0</v>
      </c>
      <c r="E141">
        <v>1</v>
      </c>
      <c r="F141">
        <v>-1</v>
      </c>
      <c r="G141">
        <v>0</v>
      </c>
      <c r="H141">
        <v>1</v>
      </c>
      <c r="I141">
        <v>0</v>
      </c>
      <c r="J141">
        <v>0</v>
      </c>
      <c r="K141">
        <v>-1</v>
      </c>
      <c r="L141">
        <v>-1</v>
      </c>
      <c r="M141">
        <v>0</v>
      </c>
      <c r="N141">
        <v>0</v>
      </c>
      <c r="O141">
        <v>0</v>
      </c>
      <c r="P141">
        <f t="shared" si="4"/>
        <v>3</v>
      </c>
      <c r="Q141">
        <f t="shared" si="5"/>
        <v>3</v>
      </c>
      <c r="R141" s="1">
        <f>IF(OR(P141=0,Q141=0),0,MIN(P141,Q141)*Mapping!$I$2/P141)</f>
        <v>5.000000000000001E-2</v>
      </c>
      <c r="S141" s="1">
        <f>IF(OR(P141=0,Q141=0),0,MIN(P141,Q141)*Mapping!$I$2/Q141)</f>
        <v>5.000000000000001E-2</v>
      </c>
    </row>
    <row r="142" spans="1:19">
      <c r="A142" s="5">
        <v>43312</v>
      </c>
      <c r="B142" s="5">
        <v>43313</v>
      </c>
      <c r="C142">
        <v>0</v>
      </c>
      <c r="D142">
        <v>0</v>
      </c>
      <c r="E142">
        <v>1</v>
      </c>
      <c r="F142">
        <v>-1</v>
      </c>
      <c r="G142">
        <v>0</v>
      </c>
      <c r="H142">
        <v>1</v>
      </c>
      <c r="I142">
        <v>0</v>
      </c>
      <c r="J142">
        <v>1</v>
      </c>
      <c r="K142">
        <v>-1</v>
      </c>
      <c r="L142">
        <v>0</v>
      </c>
      <c r="M142">
        <v>0</v>
      </c>
      <c r="N142">
        <v>0</v>
      </c>
      <c r="O142">
        <v>-1</v>
      </c>
      <c r="P142">
        <f t="shared" si="4"/>
        <v>3</v>
      </c>
      <c r="Q142">
        <f t="shared" si="5"/>
        <v>3</v>
      </c>
      <c r="R142" s="1">
        <f>IF(OR(P142=0,Q142=0),0,MIN(P142,Q142)*Mapping!$I$2/P142)</f>
        <v>5.000000000000001E-2</v>
      </c>
      <c r="S142" s="1">
        <f>IF(OR(P142=0,Q142=0),0,MIN(P142,Q142)*Mapping!$I$2/Q142)</f>
        <v>5.000000000000001E-2</v>
      </c>
    </row>
    <row r="143" spans="1:19">
      <c r="A143" s="5">
        <v>43343</v>
      </c>
      <c r="B143" s="5">
        <v>43344</v>
      </c>
      <c r="C143">
        <v>0</v>
      </c>
      <c r="D143">
        <v>0</v>
      </c>
      <c r="E143">
        <v>1</v>
      </c>
      <c r="F143">
        <v>-1</v>
      </c>
      <c r="G143">
        <v>0</v>
      </c>
      <c r="H143">
        <v>1</v>
      </c>
      <c r="I143">
        <v>0</v>
      </c>
      <c r="J143">
        <v>1</v>
      </c>
      <c r="K143">
        <v>-1</v>
      </c>
      <c r="L143">
        <v>0</v>
      </c>
      <c r="M143">
        <v>0</v>
      </c>
      <c r="N143">
        <v>0</v>
      </c>
      <c r="O143">
        <v>-1</v>
      </c>
      <c r="P143">
        <f t="shared" si="4"/>
        <v>3</v>
      </c>
      <c r="Q143">
        <f t="shared" si="5"/>
        <v>3</v>
      </c>
      <c r="R143" s="1">
        <f>IF(OR(P143=0,Q143=0),0,MIN(P143,Q143)*Mapping!$I$2/P143)</f>
        <v>5.000000000000001E-2</v>
      </c>
      <c r="S143" s="1">
        <f>IF(OR(P143=0,Q143=0),0,MIN(P143,Q143)*Mapping!$I$2/Q143)</f>
        <v>5.000000000000001E-2</v>
      </c>
    </row>
    <row r="144" spans="1:19">
      <c r="A144" s="5">
        <v>43373</v>
      </c>
      <c r="B144" s="5">
        <v>43374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-1</v>
      </c>
      <c r="L144">
        <v>-1</v>
      </c>
      <c r="M144">
        <v>0</v>
      </c>
      <c r="N144">
        <v>0</v>
      </c>
      <c r="O144">
        <v>-1</v>
      </c>
      <c r="P144">
        <f t="shared" si="4"/>
        <v>3</v>
      </c>
      <c r="Q144">
        <f t="shared" si="5"/>
        <v>3</v>
      </c>
      <c r="R144" s="1">
        <f>IF(OR(P144=0,Q144=0),0,MIN(P144,Q144)*Mapping!$I$2/P144)</f>
        <v>5.000000000000001E-2</v>
      </c>
      <c r="S144" s="1">
        <f>IF(OR(P144=0,Q144=0),0,MIN(P144,Q144)*Mapping!$I$2/Q144)</f>
        <v>5.000000000000001E-2</v>
      </c>
    </row>
    <row r="145" spans="1:19">
      <c r="A145" s="5">
        <v>43404</v>
      </c>
      <c r="B145" s="5">
        <v>43405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-1</v>
      </c>
      <c r="K145">
        <v>-1</v>
      </c>
      <c r="L145">
        <v>0</v>
      </c>
      <c r="M145">
        <v>0</v>
      </c>
      <c r="N145">
        <v>0</v>
      </c>
      <c r="O145">
        <v>-1</v>
      </c>
      <c r="P145">
        <f t="shared" si="4"/>
        <v>3</v>
      </c>
      <c r="Q145">
        <f t="shared" si="5"/>
        <v>3</v>
      </c>
      <c r="R145" s="1">
        <f>IF(OR(P145=0,Q145=0),0,MIN(P145,Q145)*Mapping!$I$2/P145)</f>
        <v>5.000000000000001E-2</v>
      </c>
      <c r="S145" s="1">
        <f>IF(OR(P145=0,Q145=0),0,MIN(P145,Q145)*Mapping!$I$2/Q145)</f>
        <v>5.000000000000001E-2</v>
      </c>
    </row>
    <row r="146" spans="1:19">
      <c r="A146" s="5">
        <v>43434</v>
      </c>
      <c r="B146" s="5">
        <v>43435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-1</v>
      </c>
      <c r="I146">
        <v>1</v>
      </c>
      <c r="J146">
        <v>0</v>
      </c>
      <c r="K146">
        <v>-1</v>
      </c>
      <c r="L146">
        <v>-1</v>
      </c>
      <c r="M146">
        <v>0</v>
      </c>
      <c r="N146">
        <v>1</v>
      </c>
      <c r="O146">
        <v>0</v>
      </c>
      <c r="P146">
        <f t="shared" si="4"/>
        <v>3</v>
      </c>
      <c r="Q146">
        <f t="shared" si="5"/>
        <v>3</v>
      </c>
      <c r="R146" s="1">
        <f>IF(OR(P146=0,Q146=0),0,MIN(P146,Q146)*Mapping!$I$2/P146)</f>
        <v>5.000000000000001E-2</v>
      </c>
      <c r="S146" s="1">
        <f>IF(OR(P146=0,Q146=0),0,MIN(P146,Q146)*Mapping!$I$2/Q146)</f>
        <v>5.000000000000001E-2</v>
      </c>
    </row>
    <row r="147" spans="1:19">
      <c r="A147" s="5">
        <v>43465</v>
      </c>
      <c r="B147" s="5">
        <v>43466</v>
      </c>
      <c r="C147">
        <v>-1</v>
      </c>
      <c r="D147">
        <v>0</v>
      </c>
      <c r="E147">
        <v>1</v>
      </c>
      <c r="F147">
        <v>-1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-1</v>
      </c>
      <c r="P147">
        <f t="shared" si="4"/>
        <v>3</v>
      </c>
      <c r="Q147">
        <f t="shared" si="5"/>
        <v>3</v>
      </c>
      <c r="R147" s="1">
        <f>IF(OR(P147=0,Q147=0),0,MIN(P147,Q147)*Mapping!$I$2/P147)</f>
        <v>5.000000000000001E-2</v>
      </c>
      <c r="S147" s="1">
        <f>IF(OR(P147=0,Q147=0),0,MIN(P147,Q147)*Mapping!$I$2/Q147)</f>
        <v>5.000000000000001E-2</v>
      </c>
    </row>
    <row r="148" spans="1:19">
      <c r="A148" s="5">
        <v>43496</v>
      </c>
      <c r="B148" s="5">
        <v>43497</v>
      </c>
      <c r="C148">
        <v>-1</v>
      </c>
      <c r="D148">
        <v>0</v>
      </c>
      <c r="E148">
        <v>1</v>
      </c>
      <c r="F148">
        <v>-1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-1</v>
      </c>
      <c r="P148">
        <f t="shared" si="4"/>
        <v>3</v>
      </c>
      <c r="Q148">
        <f t="shared" si="5"/>
        <v>3</v>
      </c>
      <c r="R148" s="1">
        <f>IF(OR(P148=0,Q148=0),0,MIN(P148,Q148)*Mapping!$I$2/P148)</f>
        <v>5.000000000000001E-2</v>
      </c>
      <c r="S148" s="1">
        <f>IF(OR(P148=0,Q148=0),0,MIN(P148,Q148)*Mapping!$I$2/Q148)</f>
        <v>5.000000000000001E-2</v>
      </c>
    </row>
    <row r="149" spans="1:19">
      <c r="A149" s="5">
        <v>43524</v>
      </c>
      <c r="B149" s="5">
        <v>43525</v>
      </c>
      <c r="C149">
        <v>-1</v>
      </c>
      <c r="D149">
        <v>0</v>
      </c>
      <c r="E149">
        <v>0</v>
      </c>
      <c r="F149">
        <v>0</v>
      </c>
      <c r="G149">
        <v>1</v>
      </c>
      <c r="H149">
        <v>-1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-1</v>
      </c>
      <c r="P149">
        <f t="shared" si="4"/>
        <v>3</v>
      </c>
      <c r="Q149">
        <f t="shared" si="5"/>
        <v>3</v>
      </c>
      <c r="R149" s="1">
        <f>IF(OR(P149=0,Q149=0),0,MIN(P149,Q149)*Mapping!$I$2/P149)</f>
        <v>5.000000000000001E-2</v>
      </c>
      <c r="S149" s="1">
        <f>IF(OR(P149=0,Q149=0),0,MIN(P149,Q149)*Mapping!$I$2/Q149)</f>
        <v>5.000000000000001E-2</v>
      </c>
    </row>
    <row r="150" spans="1:19">
      <c r="A150" s="5">
        <v>43555</v>
      </c>
      <c r="B150" s="5">
        <v>43556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-1</v>
      </c>
      <c r="I150">
        <v>0</v>
      </c>
      <c r="J150">
        <v>-1</v>
      </c>
      <c r="K150">
        <v>0</v>
      </c>
      <c r="L150">
        <v>1</v>
      </c>
      <c r="M150">
        <v>0</v>
      </c>
      <c r="N150">
        <v>0</v>
      </c>
      <c r="O150">
        <v>-1</v>
      </c>
      <c r="P150">
        <f t="shared" si="4"/>
        <v>3</v>
      </c>
      <c r="Q150">
        <f t="shared" si="5"/>
        <v>3</v>
      </c>
      <c r="R150" s="1">
        <f>IF(OR(P150=0,Q150=0),0,MIN(P150,Q150)*Mapping!$I$2/P150)</f>
        <v>5.000000000000001E-2</v>
      </c>
      <c r="S150" s="1">
        <f>IF(OR(P150=0,Q150=0),0,MIN(P150,Q150)*Mapping!$I$2/Q150)</f>
        <v>5.000000000000001E-2</v>
      </c>
    </row>
    <row r="151" spans="1:19">
      <c r="A151" s="5">
        <v>43585</v>
      </c>
      <c r="B151" s="5">
        <v>43586</v>
      </c>
      <c r="C151">
        <v>0</v>
      </c>
      <c r="D151">
        <v>0</v>
      </c>
      <c r="E151">
        <v>1</v>
      </c>
      <c r="F151">
        <v>0</v>
      </c>
      <c r="G151">
        <v>1</v>
      </c>
      <c r="H151">
        <v>-1</v>
      </c>
      <c r="I151">
        <v>0</v>
      </c>
      <c r="J151">
        <v>-1</v>
      </c>
      <c r="K151">
        <v>0</v>
      </c>
      <c r="L151">
        <v>1</v>
      </c>
      <c r="M151">
        <v>0</v>
      </c>
      <c r="N151">
        <v>0</v>
      </c>
      <c r="O151">
        <v>-1</v>
      </c>
      <c r="P151">
        <f t="shared" si="4"/>
        <v>3</v>
      </c>
      <c r="Q151">
        <f t="shared" si="5"/>
        <v>3</v>
      </c>
      <c r="R151" s="1">
        <f>IF(OR(P151=0,Q151=0),0,MIN(P151,Q151)*Mapping!$I$2/P151)</f>
        <v>5.000000000000001E-2</v>
      </c>
      <c r="S151" s="1">
        <f>IF(OR(P151=0,Q151=0),0,MIN(P151,Q151)*Mapping!$I$2/Q151)</f>
        <v>5.000000000000001E-2</v>
      </c>
    </row>
    <row r="152" spans="1:19">
      <c r="A152" s="5">
        <v>43616</v>
      </c>
      <c r="B152" s="5">
        <v>43617</v>
      </c>
      <c r="C152">
        <v>-1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-1</v>
      </c>
      <c r="L152">
        <v>1</v>
      </c>
      <c r="M152">
        <v>0</v>
      </c>
      <c r="N152">
        <v>0</v>
      </c>
      <c r="O152">
        <v>-1</v>
      </c>
      <c r="P152">
        <f t="shared" si="4"/>
        <v>3</v>
      </c>
      <c r="Q152">
        <f t="shared" si="5"/>
        <v>3</v>
      </c>
      <c r="R152" s="1">
        <f>IF(OR(P152=0,Q152=0),0,MIN(P152,Q152)*Mapping!$I$2/P152)</f>
        <v>5.000000000000001E-2</v>
      </c>
      <c r="S152" s="1">
        <f>IF(OR(P152=0,Q152=0),0,MIN(P152,Q152)*Mapping!$I$2/Q152)</f>
        <v>5.000000000000001E-2</v>
      </c>
    </row>
    <row r="153" spans="1:19">
      <c r="A153" s="5">
        <v>43646</v>
      </c>
      <c r="B153" s="5">
        <v>43647</v>
      </c>
      <c r="C153">
        <v>-1</v>
      </c>
      <c r="D153">
        <v>-1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-1</v>
      </c>
      <c r="P153">
        <f t="shared" si="4"/>
        <v>3</v>
      </c>
      <c r="Q153">
        <f t="shared" si="5"/>
        <v>3</v>
      </c>
      <c r="R153" s="1">
        <f>IF(OR(P153=0,Q153=0),0,MIN(P153,Q153)*Mapping!$I$2/P153)</f>
        <v>5.000000000000001E-2</v>
      </c>
      <c r="S153" s="1">
        <f>IF(OR(P153=0,Q153=0),0,MIN(P153,Q153)*Mapping!$I$2/Q153)</f>
        <v>5.000000000000001E-2</v>
      </c>
    </row>
    <row r="154" spans="1:19">
      <c r="A154" s="5">
        <v>43677</v>
      </c>
      <c r="B154" s="5">
        <v>43678</v>
      </c>
      <c r="C154">
        <v>0</v>
      </c>
      <c r="D154">
        <v>-1</v>
      </c>
      <c r="E154">
        <v>1</v>
      </c>
      <c r="F154">
        <v>0</v>
      </c>
      <c r="G154">
        <v>1</v>
      </c>
      <c r="H154">
        <v>-1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-1</v>
      </c>
      <c r="P154">
        <f t="shared" si="4"/>
        <v>3</v>
      </c>
      <c r="Q154">
        <f t="shared" si="5"/>
        <v>3</v>
      </c>
      <c r="R154" s="1">
        <f>IF(OR(P154=0,Q154=0),0,MIN(P154,Q154)*Mapping!$I$2/P154)</f>
        <v>5.000000000000001E-2</v>
      </c>
      <c r="S154" s="1">
        <f>IF(OR(P154=0,Q154=0),0,MIN(P154,Q154)*Mapping!$I$2/Q154)</f>
        <v>5.000000000000001E-2</v>
      </c>
    </row>
    <row r="155" spans="1:19">
      <c r="A155" s="5">
        <v>43708</v>
      </c>
      <c r="B155" s="5">
        <v>43709</v>
      </c>
      <c r="C155">
        <v>0</v>
      </c>
      <c r="D155">
        <v>-1</v>
      </c>
      <c r="E155">
        <v>0</v>
      </c>
      <c r="F155">
        <v>-1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-1</v>
      </c>
      <c r="P155">
        <f t="shared" si="4"/>
        <v>3</v>
      </c>
      <c r="Q155">
        <f t="shared" si="5"/>
        <v>3</v>
      </c>
      <c r="R155" s="1">
        <f>IF(OR(P155=0,Q155=0),0,MIN(P155,Q155)*Mapping!$I$2/P155)</f>
        <v>5.000000000000001E-2</v>
      </c>
      <c r="S155" s="1">
        <f>IF(OR(P155=0,Q155=0),0,MIN(P155,Q155)*Mapping!$I$2/Q155)</f>
        <v>5.000000000000001E-2</v>
      </c>
    </row>
    <row r="156" spans="1:19">
      <c r="A156" s="5">
        <v>43738</v>
      </c>
      <c r="B156" s="5">
        <v>43739</v>
      </c>
      <c r="C156">
        <v>0</v>
      </c>
      <c r="D156">
        <v>-1</v>
      </c>
      <c r="E156">
        <v>0</v>
      </c>
      <c r="F156">
        <v>-1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-1</v>
      </c>
      <c r="P156">
        <f t="shared" si="4"/>
        <v>3</v>
      </c>
      <c r="Q156">
        <f t="shared" si="5"/>
        <v>3</v>
      </c>
      <c r="R156" s="1">
        <f>IF(OR(P156=0,Q156=0),0,MIN(P156,Q156)*Mapping!$I$2/P156)</f>
        <v>5.000000000000001E-2</v>
      </c>
      <c r="S156" s="1">
        <f>IF(OR(P156=0,Q156=0),0,MIN(P156,Q156)*Mapping!$I$2/Q156)</f>
        <v>5.000000000000001E-2</v>
      </c>
    </row>
    <row r="157" spans="1:19">
      <c r="A157" s="5">
        <v>43769</v>
      </c>
      <c r="B157" s="5">
        <v>43770</v>
      </c>
      <c r="C157">
        <v>0</v>
      </c>
      <c r="D157">
        <v>0</v>
      </c>
      <c r="E157">
        <v>0</v>
      </c>
      <c r="F157">
        <v>-1</v>
      </c>
      <c r="G157">
        <v>1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0</v>
      </c>
      <c r="N157">
        <v>-1</v>
      </c>
      <c r="O157">
        <v>-1</v>
      </c>
      <c r="P157">
        <f t="shared" si="4"/>
        <v>3</v>
      </c>
      <c r="Q157">
        <f t="shared" si="5"/>
        <v>3</v>
      </c>
      <c r="R157" s="1">
        <f>IF(OR(P157=0,Q157=0),0,MIN(P157,Q157)*Mapping!$I$2/P157)</f>
        <v>5.000000000000001E-2</v>
      </c>
      <c r="S157" s="1">
        <f>IF(OR(P157=0,Q157=0),0,MIN(P157,Q157)*Mapping!$I$2/Q157)</f>
        <v>5.000000000000001E-2</v>
      </c>
    </row>
    <row r="158" spans="1:19">
      <c r="A158" s="5">
        <v>43799</v>
      </c>
      <c r="B158" s="5">
        <v>43800</v>
      </c>
      <c r="C158">
        <v>0</v>
      </c>
      <c r="D158">
        <v>-1</v>
      </c>
      <c r="E158">
        <v>0</v>
      </c>
      <c r="F158">
        <v>-1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-1</v>
      </c>
      <c r="O158">
        <v>0</v>
      </c>
      <c r="P158">
        <f t="shared" si="4"/>
        <v>3</v>
      </c>
      <c r="Q158">
        <f t="shared" si="5"/>
        <v>3</v>
      </c>
      <c r="R158" s="1">
        <f>IF(OR(P158=0,Q158=0),0,MIN(P158,Q158)*Mapping!$I$2/P158)</f>
        <v>5.000000000000001E-2</v>
      </c>
      <c r="S158" s="1">
        <f>IF(OR(P158=0,Q158=0),0,MIN(P158,Q158)*Mapping!$I$2/Q158)</f>
        <v>5.000000000000001E-2</v>
      </c>
    </row>
    <row r="159" spans="1:19">
      <c r="A159" s="5">
        <v>43830</v>
      </c>
      <c r="B159" s="5">
        <v>43831</v>
      </c>
      <c r="C159">
        <v>0</v>
      </c>
      <c r="D159">
        <v>0</v>
      </c>
      <c r="E159">
        <v>0</v>
      </c>
      <c r="F159">
        <v>-1</v>
      </c>
      <c r="G159">
        <v>1</v>
      </c>
      <c r="H159">
        <v>-1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-1</v>
      </c>
      <c r="O159">
        <v>0</v>
      </c>
      <c r="P159">
        <f t="shared" si="4"/>
        <v>3</v>
      </c>
      <c r="Q159">
        <f t="shared" si="5"/>
        <v>3</v>
      </c>
      <c r="R159" s="1">
        <f>IF(OR(P159=0,Q159=0),0,MIN(P159,Q159)*Mapping!$I$2/P159)</f>
        <v>5.000000000000001E-2</v>
      </c>
      <c r="S159" s="1">
        <f>IF(OR(P159=0,Q159=0),0,MIN(P159,Q159)*Mapping!$I$2/Q159)</f>
        <v>5.000000000000001E-2</v>
      </c>
    </row>
    <row r="160" spans="1:19">
      <c r="A160" s="5">
        <v>43861</v>
      </c>
      <c r="B160" s="5">
        <v>43862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-1</v>
      </c>
      <c r="J160">
        <v>1</v>
      </c>
      <c r="K160">
        <v>0</v>
      </c>
      <c r="L160">
        <v>1</v>
      </c>
      <c r="M160">
        <v>0</v>
      </c>
      <c r="N160">
        <v>-1</v>
      </c>
      <c r="O160">
        <v>-1</v>
      </c>
      <c r="P160">
        <f t="shared" si="4"/>
        <v>3</v>
      </c>
      <c r="Q160">
        <f t="shared" si="5"/>
        <v>3</v>
      </c>
      <c r="R160" s="1">
        <f>IF(OR(P160=0,Q160=0),0,MIN(P160,Q160)*Mapping!$I$2/P160)</f>
        <v>5.000000000000001E-2</v>
      </c>
      <c r="S160" s="1">
        <f>IF(OR(P160=0,Q160=0),0,MIN(P160,Q160)*Mapping!$I$2/Q160)</f>
        <v>5.000000000000001E-2</v>
      </c>
    </row>
    <row r="161" spans="1:19">
      <c r="A161" s="5">
        <v>43890</v>
      </c>
      <c r="B161" s="5">
        <v>43891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-1</v>
      </c>
      <c r="I161">
        <v>-1</v>
      </c>
      <c r="J161">
        <v>1</v>
      </c>
      <c r="K161">
        <v>0</v>
      </c>
      <c r="L161">
        <v>1</v>
      </c>
      <c r="M161">
        <v>0</v>
      </c>
      <c r="N161">
        <v>-1</v>
      </c>
      <c r="O161">
        <v>0</v>
      </c>
      <c r="P161">
        <f t="shared" si="4"/>
        <v>3</v>
      </c>
      <c r="Q161">
        <f t="shared" si="5"/>
        <v>3</v>
      </c>
      <c r="R161" s="1">
        <f>IF(OR(P161=0,Q161=0),0,MIN(P161,Q161)*Mapping!$I$2/P161)</f>
        <v>5.000000000000001E-2</v>
      </c>
      <c r="S161" s="1">
        <f>IF(OR(P161=0,Q161=0),0,MIN(P161,Q161)*Mapping!$I$2/Q161)</f>
        <v>5.000000000000001E-2</v>
      </c>
    </row>
    <row r="162" spans="1:19">
      <c r="A162" s="5">
        <v>43921</v>
      </c>
      <c r="B162" s="5">
        <v>43922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-1</v>
      </c>
      <c r="I162">
        <v>-1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-1</v>
      </c>
      <c r="P162">
        <f t="shared" si="4"/>
        <v>3</v>
      </c>
      <c r="Q162">
        <f t="shared" si="5"/>
        <v>3</v>
      </c>
      <c r="R162" s="1">
        <f>IF(OR(P162=0,Q162=0),0,MIN(P162,Q162)*Mapping!$I$2/P162)</f>
        <v>5.000000000000001E-2</v>
      </c>
      <c r="S162" s="1">
        <f>IF(OR(P162=0,Q162=0),0,MIN(P162,Q162)*Mapping!$I$2/Q162)</f>
        <v>5.000000000000001E-2</v>
      </c>
    </row>
    <row r="163" spans="1:19">
      <c r="A163" s="5">
        <v>43951</v>
      </c>
      <c r="B163" s="5">
        <v>43952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-1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-1</v>
      </c>
      <c r="O163">
        <v>-1</v>
      </c>
      <c r="P163">
        <f t="shared" si="4"/>
        <v>3</v>
      </c>
      <c r="Q163">
        <f t="shared" si="5"/>
        <v>3</v>
      </c>
      <c r="R163" s="1">
        <f>IF(OR(P163=0,Q163=0),0,MIN(P163,Q163)*Mapping!$I$2/P163)</f>
        <v>5.000000000000001E-2</v>
      </c>
      <c r="S163" s="1">
        <f>IF(OR(P163=0,Q163=0),0,MIN(P163,Q163)*Mapping!$I$2/Q163)</f>
        <v>5.000000000000001E-2</v>
      </c>
    </row>
    <row r="164" spans="1:19">
      <c r="A164" s="5">
        <v>43982</v>
      </c>
      <c r="B164" s="5">
        <v>43983</v>
      </c>
      <c r="C164">
        <v>0</v>
      </c>
      <c r="D164">
        <v>0</v>
      </c>
      <c r="E164">
        <v>-1</v>
      </c>
      <c r="F164">
        <v>0</v>
      </c>
      <c r="G164">
        <v>1</v>
      </c>
      <c r="H164">
        <v>-1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-1</v>
      </c>
      <c r="O164">
        <v>0</v>
      </c>
      <c r="P164">
        <f t="shared" si="4"/>
        <v>3</v>
      </c>
      <c r="Q164">
        <f t="shared" si="5"/>
        <v>3</v>
      </c>
      <c r="R164" s="1">
        <f>IF(OR(P164=0,Q164=0),0,MIN(P164,Q164)*Mapping!$I$2/P164)</f>
        <v>5.000000000000001E-2</v>
      </c>
      <c r="S164" s="1">
        <f>IF(OR(P164=0,Q164=0),0,MIN(P164,Q164)*Mapping!$I$2/Q164)</f>
        <v>5.000000000000001E-2</v>
      </c>
    </row>
    <row r="165" spans="1:19">
      <c r="A165" s="5">
        <v>44012</v>
      </c>
      <c r="B165" s="5">
        <v>44013</v>
      </c>
      <c r="C165">
        <v>0</v>
      </c>
      <c r="D165">
        <v>0</v>
      </c>
      <c r="E165">
        <v>-1</v>
      </c>
      <c r="F165">
        <v>0</v>
      </c>
      <c r="G165">
        <v>1</v>
      </c>
      <c r="H165">
        <v>-1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-1</v>
      </c>
      <c r="O165">
        <v>0</v>
      </c>
      <c r="P165">
        <f t="shared" si="4"/>
        <v>3</v>
      </c>
      <c r="Q165">
        <f t="shared" si="5"/>
        <v>3</v>
      </c>
      <c r="R165" s="1">
        <f>IF(OR(P165=0,Q165=0),0,MIN(P165,Q165)*Mapping!$I$2/P165)</f>
        <v>5.000000000000001E-2</v>
      </c>
      <c r="S165" s="1">
        <f>IF(OR(P165=0,Q165=0),0,MIN(P165,Q165)*Mapping!$I$2/Q165)</f>
        <v>5.000000000000001E-2</v>
      </c>
    </row>
    <row r="166" spans="1:19">
      <c r="A166" s="5">
        <v>44043</v>
      </c>
      <c r="B166" s="5">
        <v>44044</v>
      </c>
      <c r="C166">
        <v>0</v>
      </c>
      <c r="D166">
        <v>0</v>
      </c>
      <c r="E166">
        <v>-1</v>
      </c>
      <c r="F166">
        <v>0</v>
      </c>
      <c r="G166">
        <v>1</v>
      </c>
      <c r="H166">
        <v>-1</v>
      </c>
      <c r="I166">
        <v>-1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f t="shared" si="4"/>
        <v>3</v>
      </c>
      <c r="Q166">
        <f t="shared" si="5"/>
        <v>3</v>
      </c>
      <c r="R166" s="1">
        <f>IF(OR(P166=0,Q166=0),0,MIN(P166,Q166)*Mapping!$I$2/P166)</f>
        <v>5.000000000000001E-2</v>
      </c>
      <c r="S166" s="1">
        <f>IF(OR(P166=0,Q166=0),0,MIN(P166,Q166)*Mapping!$I$2/Q166)</f>
        <v>5.000000000000001E-2</v>
      </c>
    </row>
    <row r="167" spans="1:19">
      <c r="A167" s="5">
        <v>44074</v>
      </c>
      <c r="B167" s="5">
        <v>44075</v>
      </c>
      <c r="C167">
        <v>0</v>
      </c>
      <c r="D167">
        <v>0</v>
      </c>
      <c r="E167">
        <v>-1</v>
      </c>
      <c r="F167">
        <v>0</v>
      </c>
      <c r="G167">
        <v>1</v>
      </c>
      <c r="H167">
        <v>0</v>
      </c>
      <c r="I167">
        <v>-1</v>
      </c>
      <c r="J167">
        <v>1</v>
      </c>
      <c r="K167">
        <v>1</v>
      </c>
      <c r="L167">
        <v>0</v>
      </c>
      <c r="M167">
        <v>0</v>
      </c>
      <c r="N167">
        <v>-1</v>
      </c>
      <c r="O167">
        <v>0</v>
      </c>
      <c r="P167">
        <f t="shared" si="4"/>
        <v>3</v>
      </c>
      <c r="Q167">
        <f t="shared" si="5"/>
        <v>3</v>
      </c>
      <c r="R167" s="1">
        <f>IF(OR(P167=0,Q167=0),0,MIN(P167,Q167)*Mapping!$I$2/P167)</f>
        <v>5.000000000000001E-2</v>
      </c>
      <c r="S167" s="1">
        <f>IF(OR(P167=0,Q167=0),0,MIN(P167,Q167)*Mapping!$I$2/Q167)</f>
        <v>5.000000000000001E-2</v>
      </c>
    </row>
    <row r="168" spans="1:19">
      <c r="A168" s="5">
        <v>44104</v>
      </c>
      <c r="B168" s="5">
        <v>44105</v>
      </c>
      <c r="C168">
        <v>1</v>
      </c>
      <c r="D168">
        <v>0</v>
      </c>
      <c r="E168">
        <v>-1</v>
      </c>
      <c r="F168">
        <v>0</v>
      </c>
      <c r="G168">
        <v>0</v>
      </c>
      <c r="H168">
        <v>-1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-1</v>
      </c>
      <c r="O168">
        <v>0</v>
      </c>
      <c r="P168">
        <f t="shared" si="4"/>
        <v>3</v>
      </c>
      <c r="Q168">
        <f t="shared" si="5"/>
        <v>3</v>
      </c>
      <c r="R168" s="1">
        <f>IF(OR(P168=0,Q168=0),0,MIN(P168,Q168)*Mapping!$I$2/P168)</f>
        <v>5.000000000000001E-2</v>
      </c>
      <c r="S168" s="1">
        <f>IF(OR(P168=0,Q168=0),0,MIN(P168,Q168)*Mapping!$I$2/Q168)</f>
        <v>5.000000000000001E-2</v>
      </c>
    </row>
    <row r="169" spans="1:19">
      <c r="A169" s="5">
        <v>44135</v>
      </c>
      <c r="B169" s="5">
        <v>44136</v>
      </c>
      <c r="C169">
        <v>1</v>
      </c>
      <c r="D169">
        <v>0</v>
      </c>
      <c r="E169">
        <v>-1</v>
      </c>
      <c r="F169">
        <v>0</v>
      </c>
      <c r="G169">
        <v>0</v>
      </c>
      <c r="H169">
        <v>-1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-1</v>
      </c>
      <c r="O169">
        <v>1</v>
      </c>
      <c r="P169">
        <f t="shared" si="4"/>
        <v>3</v>
      </c>
      <c r="Q169">
        <f t="shared" si="5"/>
        <v>3</v>
      </c>
      <c r="R169" s="1">
        <f>IF(OR(P169=0,Q169=0),0,MIN(P169,Q169)*Mapping!$I$2/P169)</f>
        <v>5.000000000000001E-2</v>
      </c>
      <c r="S169" s="1">
        <f>IF(OR(P169=0,Q169=0),0,MIN(P169,Q169)*Mapping!$I$2/Q169)</f>
        <v>5.000000000000001E-2</v>
      </c>
    </row>
    <row r="170" spans="1:19">
      <c r="A170" s="5">
        <v>44165</v>
      </c>
      <c r="B170" s="5">
        <v>44166</v>
      </c>
      <c r="C170">
        <v>1</v>
      </c>
      <c r="D170">
        <v>1</v>
      </c>
      <c r="E170">
        <v>0</v>
      </c>
      <c r="F170">
        <v>-1</v>
      </c>
      <c r="G170">
        <v>0</v>
      </c>
      <c r="H170">
        <v>0</v>
      </c>
      <c r="I170">
        <v>-1</v>
      </c>
      <c r="J170">
        <v>1</v>
      </c>
      <c r="K170">
        <v>0</v>
      </c>
      <c r="L170">
        <v>0</v>
      </c>
      <c r="M170">
        <v>0</v>
      </c>
      <c r="N170">
        <v>-1</v>
      </c>
      <c r="O170">
        <v>0</v>
      </c>
      <c r="P170">
        <f t="shared" si="4"/>
        <v>3</v>
      </c>
      <c r="Q170">
        <f t="shared" si="5"/>
        <v>3</v>
      </c>
      <c r="R170" s="1">
        <f>IF(OR(P170=0,Q170=0),0,MIN(P170,Q170)*Mapping!$I$2/P170)</f>
        <v>5.000000000000001E-2</v>
      </c>
      <c r="S170" s="1">
        <f>IF(OR(P170=0,Q170=0),0,MIN(P170,Q170)*Mapping!$I$2/Q170)</f>
        <v>5.000000000000001E-2</v>
      </c>
    </row>
    <row r="171" spans="1:19">
      <c r="A171" s="5">
        <v>44196</v>
      </c>
      <c r="B171" s="5">
        <v>44197</v>
      </c>
      <c r="C171">
        <v>1</v>
      </c>
      <c r="D171">
        <v>1</v>
      </c>
      <c r="E171">
        <v>-1</v>
      </c>
      <c r="F171">
        <v>-1</v>
      </c>
      <c r="G171">
        <v>0</v>
      </c>
      <c r="H171">
        <v>0</v>
      </c>
      <c r="I171">
        <v>-1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f t="shared" si="4"/>
        <v>3</v>
      </c>
      <c r="Q171">
        <f t="shared" si="5"/>
        <v>3</v>
      </c>
      <c r="R171" s="1">
        <f>IF(OR(P171=0,Q171=0),0,MIN(P171,Q171)*Mapping!$I$2/P171)</f>
        <v>5.000000000000001E-2</v>
      </c>
      <c r="S171" s="1">
        <f>IF(OR(P171=0,Q171=0),0,MIN(P171,Q171)*Mapping!$I$2/Q171)</f>
        <v>5.000000000000001E-2</v>
      </c>
    </row>
    <row r="172" spans="1:19">
      <c r="A172" s="5">
        <v>44227</v>
      </c>
      <c r="B172" s="5">
        <v>44228</v>
      </c>
      <c r="C172">
        <v>1</v>
      </c>
      <c r="D172">
        <v>1</v>
      </c>
      <c r="E172">
        <v>-1</v>
      </c>
      <c r="F172">
        <v>-1</v>
      </c>
      <c r="G172">
        <v>0</v>
      </c>
      <c r="H172">
        <v>0</v>
      </c>
      <c r="I172">
        <v>-1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f t="shared" si="4"/>
        <v>3</v>
      </c>
      <c r="Q172">
        <f t="shared" si="5"/>
        <v>3</v>
      </c>
      <c r="R172" s="1">
        <f>IF(OR(P172=0,Q172=0),0,MIN(P172,Q172)*Mapping!$I$2/P172)</f>
        <v>5.000000000000001E-2</v>
      </c>
      <c r="S172" s="1">
        <f>IF(OR(P172=0,Q172=0),0,MIN(P172,Q172)*Mapping!$I$2/Q172)</f>
        <v>5.000000000000001E-2</v>
      </c>
    </row>
    <row r="173" spans="1:19">
      <c r="A173" s="5">
        <v>44255</v>
      </c>
      <c r="B173" s="5">
        <v>44256</v>
      </c>
      <c r="C173">
        <v>1</v>
      </c>
      <c r="D173">
        <v>1</v>
      </c>
      <c r="E173">
        <v>0</v>
      </c>
      <c r="F173">
        <v>-1</v>
      </c>
      <c r="G173">
        <v>0</v>
      </c>
      <c r="H173">
        <v>0</v>
      </c>
      <c r="I173">
        <v>-1</v>
      </c>
      <c r="J173">
        <v>1</v>
      </c>
      <c r="K173">
        <v>0</v>
      </c>
      <c r="L173">
        <v>0</v>
      </c>
      <c r="M173">
        <v>0</v>
      </c>
      <c r="N173">
        <v>-1</v>
      </c>
      <c r="O173">
        <v>0</v>
      </c>
      <c r="P173">
        <f t="shared" si="4"/>
        <v>3</v>
      </c>
      <c r="Q173">
        <f t="shared" si="5"/>
        <v>3</v>
      </c>
      <c r="R173" s="1">
        <f>IF(OR(P173=0,Q173=0),0,MIN(P173,Q173)*Mapping!$I$2/P173)</f>
        <v>5.000000000000001E-2</v>
      </c>
      <c r="S173" s="1">
        <f>IF(OR(P173=0,Q173=0),0,MIN(P173,Q173)*Mapping!$I$2/Q173)</f>
        <v>5.000000000000001E-2</v>
      </c>
    </row>
    <row r="174" spans="1:19">
      <c r="A174" s="5">
        <v>44286</v>
      </c>
      <c r="B174" s="5">
        <v>44287</v>
      </c>
      <c r="C174">
        <v>1</v>
      </c>
      <c r="D174">
        <v>0</v>
      </c>
      <c r="E174">
        <v>0</v>
      </c>
      <c r="F174">
        <v>-1</v>
      </c>
      <c r="G174">
        <v>0</v>
      </c>
      <c r="H174">
        <v>-1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-1</v>
      </c>
      <c r="O174">
        <v>1</v>
      </c>
      <c r="P174">
        <f t="shared" si="4"/>
        <v>3</v>
      </c>
      <c r="Q174">
        <f t="shared" si="5"/>
        <v>3</v>
      </c>
      <c r="R174" s="1">
        <f>IF(OR(P174=0,Q174=0),0,MIN(P174,Q174)*Mapping!$I$2/P174)</f>
        <v>5.000000000000001E-2</v>
      </c>
      <c r="S174" s="1">
        <f>IF(OR(P174=0,Q174=0),0,MIN(P174,Q174)*Mapping!$I$2/Q174)</f>
        <v>5.000000000000001E-2</v>
      </c>
    </row>
    <row r="175" spans="1:19">
      <c r="A175" s="5">
        <v>44316</v>
      </c>
      <c r="B175" s="5">
        <v>44317</v>
      </c>
      <c r="C175">
        <v>1</v>
      </c>
      <c r="D175">
        <v>0</v>
      </c>
      <c r="E175">
        <v>-1</v>
      </c>
      <c r="F175">
        <v>-1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-1</v>
      </c>
      <c r="O175">
        <v>1</v>
      </c>
      <c r="P175">
        <f t="shared" si="4"/>
        <v>3</v>
      </c>
      <c r="Q175">
        <f t="shared" si="5"/>
        <v>3</v>
      </c>
      <c r="R175" s="1">
        <f>IF(OR(P175=0,Q175=0),0,MIN(P175,Q175)*Mapping!$I$2/P175)</f>
        <v>5.000000000000001E-2</v>
      </c>
      <c r="S175" s="1">
        <f>IF(OR(P175=0,Q175=0),0,MIN(P175,Q175)*Mapping!$I$2/Q175)</f>
        <v>5.000000000000001E-2</v>
      </c>
    </row>
    <row r="176" spans="1:19">
      <c r="A176" s="5">
        <v>44347</v>
      </c>
      <c r="B176" s="5">
        <v>44348</v>
      </c>
      <c r="C176">
        <v>1</v>
      </c>
      <c r="D176">
        <v>0</v>
      </c>
      <c r="E176">
        <v>0</v>
      </c>
      <c r="F176">
        <v>-1</v>
      </c>
      <c r="G176">
        <v>0</v>
      </c>
      <c r="H176">
        <v>0</v>
      </c>
      <c r="I176">
        <v>0</v>
      </c>
      <c r="J176">
        <v>1</v>
      </c>
      <c r="K176">
        <v>-1</v>
      </c>
      <c r="L176">
        <v>0</v>
      </c>
      <c r="M176">
        <v>0</v>
      </c>
      <c r="N176">
        <v>-1</v>
      </c>
      <c r="O176">
        <v>1</v>
      </c>
      <c r="P176">
        <f t="shared" si="4"/>
        <v>3</v>
      </c>
      <c r="Q176">
        <f t="shared" si="5"/>
        <v>3</v>
      </c>
      <c r="R176" s="1">
        <f>IF(OR(P176=0,Q176=0),0,MIN(P176,Q176)*Mapping!$I$2/P176)</f>
        <v>5.000000000000001E-2</v>
      </c>
      <c r="S176" s="1">
        <f>IF(OR(P176=0,Q176=0),0,MIN(P176,Q176)*Mapping!$I$2/Q176)</f>
        <v>5.000000000000001E-2</v>
      </c>
    </row>
    <row r="177" spans="1:19">
      <c r="A177" s="5">
        <v>44377</v>
      </c>
      <c r="B177" s="5">
        <v>44378</v>
      </c>
      <c r="C177">
        <v>1</v>
      </c>
      <c r="D177">
        <v>-1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-1</v>
      </c>
      <c r="M177">
        <v>0</v>
      </c>
      <c r="N177">
        <v>-1</v>
      </c>
      <c r="O177">
        <v>1</v>
      </c>
      <c r="P177">
        <f t="shared" si="4"/>
        <v>3</v>
      </c>
      <c r="Q177">
        <f t="shared" si="5"/>
        <v>3</v>
      </c>
      <c r="R177" s="1">
        <f>IF(OR(P177=0,Q177=0),0,MIN(P177,Q177)*Mapping!$I$2/P177)</f>
        <v>5.000000000000001E-2</v>
      </c>
      <c r="S177" s="1">
        <f>IF(OR(P177=0,Q177=0),0,MIN(P177,Q177)*Mapping!$I$2/Q177)</f>
        <v>5.000000000000001E-2</v>
      </c>
    </row>
    <row r="178" spans="1:19">
      <c r="A178" s="5">
        <v>44408</v>
      </c>
      <c r="B178" s="5">
        <v>44409</v>
      </c>
      <c r="C178">
        <v>1</v>
      </c>
      <c r="D178">
        <v>0</v>
      </c>
      <c r="E178">
        <v>0</v>
      </c>
      <c r="F178">
        <v>-1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-1</v>
      </c>
      <c r="M178">
        <v>0</v>
      </c>
      <c r="N178">
        <v>-1</v>
      </c>
      <c r="O178">
        <v>1</v>
      </c>
      <c r="P178">
        <f t="shared" si="4"/>
        <v>3</v>
      </c>
      <c r="Q178">
        <f t="shared" si="5"/>
        <v>3</v>
      </c>
      <c r="R178" s="1">
        <f>IF(OR(P178=0,Q178=0),0,MIN(P178,Q178)*Mapping!$I$2/P178)</f>
        <v>5.000000000000001E-2</v>
      </c>
      <c r="S178" s="1">
        <f>IF(OR(P178=0,Q178=0),0,MIN(P178,Q178)*Mapping!$I$2/Q178)</f>
        <v>5.000000000000001E-2</v>
      </c>
    </row>
    <row r="179" spans="1:19">
      <c r="A179" s="5">
        <v>44439</v>
      </c>
      <c r="B179" s="5">
        <v>44440</v>
      </c>
      <c r="C179">
        <v>1</v>
      </c>
      <c r="D179">
        <v>-1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-1</v>
      </c>
      <c r="L179">
        <v>-1</v>
      </c>
      <c r="M179">
        <v>0</v>
      </c>
      <c r="N179">
        <v>0</v>
      </c>
      <c r="O179">
        <v>1</v>
      </c>
      <c r="P179">
        <f t="shared" si="4"/>
        <v>3</v>
      </c>
      <c r="Q179">
        <f t="shared" si="5"/>
        <v>3</v>
      </c>
      <c r="R179" s="1">
        <f>IF(OR(P179=0,Q179=0),0,MIN(P179,Q179)*Mapping!$I$2/P179)</f>
        <v>5.000000000000001E-2</v>
      </c>
      <c r="S179" s="1">
        <f>IF(OR(P179=0,Q179=0),0,MIN(P179,Q179)*Mapping!$I$2/Q179)</f>
        <v>5.000000000000001E-2</v>
      </c>
    </row>
    <row r="180" spans="1:19">
      <c r="A180" s="5">
        <v>44469</v>
      </c>
      <c r="B180" s="5">
        <v>44470</v>
      </c>
      <c r="C180">
        <v>1</v>
      </c>
      <c r="D180">
        <v>-1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-1</v>
      </c>
      <c r="M180">
        <v>0</v>
      </c>
      <c r="N180">
        <v>-1</v>
      </c>
      <c r="O180">
        <v>0</v>
      </c>
      <c r="P180">
        <f t="shared" si="4"/>
        <v>3</v>
      </c>
      <c r="Q180">
        <f t="shared" si="5"/>
        <v>3</v>
      </c>
      <c r="R180" s="1">
        <f>IF(OR(P180=0,Q180=0),0,MIN(P180,Q180)*Mapping!$I$2/P180)</f>
        <v>5.000000000000001E-2</v>
      </c>
      <c r="S180" s="1">
        <f>IF(OR(P180=0,Q180=0),0,MIN(P180,Q180)*Mapping!$I$2/Q180)</f>
        <v>5.000000000000001E-2</v>
      </c>
    </row>
    <row r="181" spans="1:19">
      <c r="A181" s="5">
        <v>44500</v>
      </c>
      <c r="B181" s="5">
        <v>44501</v>
      </c>
      <c r="C181">
        <v>0</v>
      </c>
      <c r="D181">
        <v>-1</v>
      </c>
      <c r="E181">
        <v>1</v>
      </c>
      <c r="F181">
        <v>0</v>
      </c>
      <c r="G181">
        <v>-1</v>
      </c>
      <c r="H181">
        <v>1</v>
      </c>
      <c r="I181">
        <v>0</v>
      </c>
      <c r="J181">
        <v>0</v>
      </c>
      <c r="K181">
        <v>0</v>
      </c>
      <c r="L181">
        <v>-1</v>
      </c>
      <c r="M181">
        <v>0</v>
      </c>
      <c r="N181">
        <v>0</v>
      </c>
      <c r="O181">
        <v>1</v>
      </c>
      <c r="P181">
        <f t="shared" si="4"/>
        <v>3</v>
      </c>
      <c r="Q181">
        <f t="shared" si="5"/>
        <v>3</v>
      </c>
      <c r="R181" s="1">
        <f>IF(OR(P181=0,Q181=0),0,MIN(P181,Q181)*Mapping!$I$2/P181)</f>
        <v>5.000000000000001E-2</v>
      </c>
      <c r="S181" s="1">
        <f>IF(OR(P181=0,Q181=0),0,MIN(P181,Q181)*Mapping!$I$2/Q181)</f>
        <v>5.000000000000001E-2</v>
      </c>
    </row>
    <row r="182" spans="1:19">
      <c r="A182" s="5">
        <v>44530</v>
      </c>
      <c r="B182" s="5">
        <v>44531</v>
      </c>
      <c r="C182">
        <v>0</v>
      </c>
      <c r="D182">
        <v>0</v>
      </c>
      <c r="E182">
        <v>0</v>
      </c>
      <c r="F182">
        <v>-1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-1</v>
      </c>
      <c r="M182">
        <v>0</v>
      </c>
      <c r="N182">
        <v>-1</v>
      </c>
      <c r="O182">
        <v>1</v>
      </c>
      <c r="P182">
        <f t="shared" si="4"/>
        <v>3</v>
      </c>
      <c r="Q182">
        <f t="shared" si="5"/>
        <v>3</v>
      </c>
      <c r="R182" s="1">
        <f>IF(OR(P182=0,Q182=0),0,MIN(P182,Q182)*Mapping!$I$2/P182)</f>
        <v>5.000000000000001E-2</v>
      </c>
      <c r="S182" s="1">
        <f>IF(OR(P182=0,Q182=0),0,MIN(P182,Q182)*Mapping!$I$2/Q182)</f>
        <v>5.000000000000001E-2</v>
      </c>
    </row>
    <row r="183" spans="1:19">
      <c r="A183" s="5">
        <v>44561</v>
      </c>
      <c r="B183" s="5">
        <v>44562</v>
      </c>
      <c r="C183">
        <v>0</v>
      </c>
      <c r="D183">
        <v>-1</v>
      </c>
      <c r="E183">
        <v>1</v>
      </c>
      <c r="F183">
        <v>-1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-1</v>
      </c>
      <c r="M183">
        <v>0</v>
      </c>
      <c r="N183">
        <v>0</v>
      </c>
      <c r="O183">
        <v>1</v>
      </c>
      <c r="P183">
        <f t="shared" si="4"/>
        <v>3</v>
      </c>
      <c r="Q183">
        <f t="shared" si="5"/>
        <v>3</v>
      </c>
      <c r="R183" s="1">
        <f>IF(OR(P183=0,Q183=0),0,MIN(P183,Q183)*Mapping!$I$2/P183)</f>
        <v>5.000000000000001E-2</v>
      </c>
      <c r="S183" s="1">
        <f>IF(OR(P183=0,Q183=0),0,MIN(P183,Q183)*Mapping!$I$2/Q183)</f>
        <v>5.000000000000001E-2</v>
      </c>
    </row>
    <row r="184" spans="1:19">
      <c r="A184" s="5">
        <v>44592</v>
      </c>
      <c r="B184" s="5">
        <v>44593</v>
      </c>
      <c r="C184">
        <v>0</v>
      </c>
      <c r="D184">
        <v>-1</v>
      </c>
      <c r="E184">
        <v>1</v>
      </c>
      <c r="F184">
        <v>0</v>
      </c>
      <c r="G184">
        <v>-1</v>
      </c>
      <c r="H184">
        <v>1</v>
      </c>
      <c r="I184">
        <v>0</v>
      </c>
      <c r="J184">
        <v>0</v>
      </c>
      <c r="K184">
        <v>0</v>
      </c>
      <c r="L184">
        <v>-1</v>
      </c>
      <c r="M184">
        <v>0</v>
      </c>
      <c r="N184">
        <v>0</v>
      </c>
      <c r="O184">
        <v>1</v>
      </c>
      <c r="P184">
        <f t="shared" si="4"/>
        <v>3</v>
      </c>
      <c r="Q184">
        <f t="shared" si="5"/>
        <v>3</v>
      </c>
      <c r="R184" s="1">
        <f>IF(OR(P184=0,Q184=0),0,MIN(P184,Q184)*Mapping!$I$2/P184)</f>
        <v>5.000000000000001E-2</v>
      </c>
      <c r="S184" s="1">
        <f>IF(OR(P184=0,Q184=0),0,MIN(P184,Q184)*Mapping!$I$2/Q184)</f>
        <v>5.000000000000001E-2</v>
      </c>
    </row>
    <row r="185" spans="1:19">
      <c r="A185" s="5">
        <v>44620</v>
      </c>
      <c r="B185" s="5">
        <v>44621</v>
      </c>
      <c r="C185">
        <v>0</v>
      </c>
      <c r="D185">
        <v>0</v>
      </c>
      <c r="E185">
        <v>1</v>
      </c>
      <c r="F185">
        <v>1</v>
      </c>
      <c r="G185">
        <v>-1</v>
      </c>
      <c r="H185">
        <v>0</v>
      </c>
      <c r="I185">
        <v>1</v>
      </c>
      <c r="J185">
        <v>-1</v>
      </c>
      <c r="K185">
        <v>0</v>
      </c>
      <c r="L185">
        <v>-1</v>
      </c>
      <c r="M185">
        <v>0</v>
      </c>
      <c r="N185">
        <v>0</v>
      </c>
      <c r="O185">
        <v>0</v>
      </c>
      <c r="P185">
        <f t="shared" si="4"/>
        <v>3</v>
      </c>
      <c r="Q185">
        <f t="shared" si="5"/>
        <v>3</v>
      </c>
      <c r="R185" s="1">
        <f>IF(OR(P185=0,Q185=0),0,MIN(P185,Q185)*Mapping!$I$2/P185)</f>
        <v>5.000000000000001E-2</v>
      </c>
      <c r="S185" s="1">
        <f>IF(OR(P185=0,Q185=0),0,MIN(P185,Q185)*Mapping!$I$2/Q185)</f>
        <v>5.000000000000001E-2</v>
      </c>
    </row>
    <row r="186" spans="1:19">
      <c r="A186" s="5">
        <v>44651</v>
      </c>
      <c r="B186" s="5">
        <v>44652</v>
      </c>
      <c r="C186">
        <v>0</v>
      </c>
      <c r="D186">
        <v>0</v>
      </c>
      <c r="E186">
        <v>0</v>
      </c>
      <c r="F186">
        <v>0</v>
      </c>
      <c r="G186">
        <v>-1</v>
      </c>
      <c r="H186">
        <v>1</v>
      </c>
      <c r="I186">
        <v>1</v>
      </c>
      <c r="J186">
        <v>-1</v>
      </c>
      <c r="K186">
        <v>1</v>
      </c>
      <c r="L186">
        <v>-1</v>
      </c>
      <c r="M186">
        <v>0</v>
      </c>
      <c r="N186">
        <v>0</v>
      </c>
      <c r="O186">
        <v>0</v>
      </c>
      <c r="P186">
        <f t="shared" si="4"/>
        <v>3</v>
      </c>
      <c r="Q186">
        <f t="shared" si="5"/>
        <v>3</v>
      </c>
      <c r="R186" s="1">
        <f>IF(OR(P186=0,Q186=0),0,MIN(P186,Q186)*Mapping!$I$2/P186)</f>
        <v>5.000000000000001E-2</v>
      </c>
      <c r="S186" s="1">
        <f>IF(OR(P186=0,Q186=0),0,MIN(P186,Q186)*Mapping!$I$2/Q186)</f>
        <v>5.000000000000001E-2</v>
      </c>
    </row>
    <row r="187" spans="1:19">
      <c r="A187" s="5">
        <v>44681</v>
      </c>
      <c r="B187" s="5">
        <v>44682</v>
      </c>
      <c r="C187">
        <v>1</v>
      </c>
      <c r="D187">
        <v>-1</v>
      </c>
      <c r="E187">
        <v>0</v>
      </c>
      <c r="F187">
        <v>0</v>
      </c>
      <c r="G187">
        <v>-1</v>
      </c>
      <c r="H187">
        <v>0</v>
      </c>
      <c r="I187">
        <v>1</v>
      </c>
      <c r="J187">
        <v>0</v>
      </c>
      <c r="K187">
        <v>1</v>
      </c>
      <c r="L187">
        <v>-1</v>
      </c>
      <c r="M187">
        <v>0</v>
      </c>
      <c r="N187">
        <v>0</v>
      </c>
      <c r="O187">
        <v>0</v>
      </c>
      <c r="P187">
        <f t="shared" si="4"/>
        <v>3</v>
      </c>
      <c r="Q187">
        <f t="shared" si="5"/>
        <v>3</v>
      </c>
      <c r="R187" s="1">
        <f>IF(OR(P187=0,Q187=0),0,MIN(P187,Q187)*Mapping!$I$2/P187)</f>
        <v>5.000000000000001E-2</v>
      </c>
      <c r="S187" s="1">
        <f>IF(OR(P187=0,Q187=0),0,MIN(P187,Q187)*Mapping!$I$2/Q187)</f>
        <v>5.000000000000001E-2</v>
      </c>
    </row>
    <row r="188" spans="1:19">
      <c r="A188" s="5">
        <v>44712</v>
      </c>
      <c r="B188" s="5">
        <v>44713</v>
      </c>
      <c r="C188">
        <v>1</v>
      </c>
      <c r="D188">
        <v>0</v>
      </c>
      <c r="E188">
        <v>0</v>
      </c>
      <c r="F188">
        <v>0</v>
      </c>
      <c r="G188">
        <v>-1</v>
      </c>
      <c r="H188">
        <v>0</v>
      </c>
      <c r="I188">
        <v>1</v>
      </c>
      <c r="J188">
        <v>0</v>
      </c>
      <c r="K188">
        <v>1</v>
      </c>
      <c r="L188">
        <v>-1</v>
      </c>
      <c r="M188">
        <v>0</v>
      </c>
      <c r="N188">
        <v>-1</v>
      </c>
      <c r="O188">
        <v>0</v>
      </c>
      <c r="P188">
        <f t="shared" si="4"/>
        <v>3</v>
      </c>
      <c r="Q188">
        <f t="shared" si="5"/>
        <v>3</v>
      </c>
      <c r="R188" s="1">
        <f>IF(OR(P188=0,Q188=0),0,MIN(P188,Q188)*Mapping!$I$2/P188)</f>
        <v>5.000000000000001E-2</v>
      </c>
      <c r="S188" s="1">
        <f>IF(OR(P188=0,Q188=0),0,MIN(P188,Q188)*Mapping!$I$2/Q188)</f>
        <v>5.000000000000001E-2</v>
      </c>
    </row>
    <row r="189" spans="1:19">
      <c r="A189" s="5">
        <v>44742</v>
      </c>
      <c r="B189" s="5">
        <v>44743</v>
      </c>
      <c r="C189">
        <v>-1</v>
      </c>
      <c r="D189">
        <v>-1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-1</v>
      </c>
      <c r="M189">
        <v>0</v>
      </c>
      <c r="N189">
        <v>0</v>
      </c>
      <c r="O189">
        <v>0</v>
      </c>
      <c r="P189">
        <f t="shared" si="4"/>
        <v>3</v>
      </c>
      <c r="Q189">
        <f t="shared" si="5"/>
        <v>3</v>
      </c>
      <c r="R189" s="1">
        <f>IF(OR(P189=0,Q189=0),0,MIN(P189,Q189)*Mapping!$I$2/P189)</f>
        <v>5.000000000000001E-2</v>
      </c>
      <c r="S189" s="1">
        <f>IF(OR(P189=0,Q189=0),0,MIN(P189,Q189)*Mapping!$I$2/Q189)</f>
        <v>5.000000000000001E-2</v>
      </c>
    </row>
    <row r="190" spans="1:19">
      <c r="A190" s="5">
        <v>44773</v>
      </c>
      <c r="B190" s="5">
        <v>44774</v>
      </c>
      <c r="C190">
        <v>-1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-1</v>
      </c>
      <c r="K190">
        <v>1</v>
      </c>
      <c r="L190">
        <v>-1</v>
      </c>
      <c r="M190">
        <v>0</v>
      </c>
      <c r="N190">
        <v>0</v>
      </c>
      <c r="O190">
        <v>0</v>
      </c>
      <c r="P190">
        <f t="shared" si="4"/>
        <v>3</v>
      </c>
      <c r="Q190">
        <f t="shared" si="5"/>
        <v>3</v>
      </c>
      <c r="R190" s="1">
        <f>IF(OR(P190=0,Q190=0),0,MIN(P190,Q190)*Mapping!$I$2/P190)</f>
        <v>5.000000000000001E-2</v>
      </c>
      <c r="S190" s="1">
        <f>IF(OR(P190=0,Q190=0),0,MIN(P190,Q190)*Mapping!$I$2/Q190)</f>
        <v>5.000000000000001E-2</v>
      </c>
    </row>
    <row r="191" spans="1:19">
      <c r="A191" s="5">
        <v>44804</v>
      </c>
      <c r="B191" s="5">
        <v>44805</v>
      </c>
      <c r="C191">
        <v>-1</v>
      </c>
      <c r="D191">
        <v>0</v>
      </c>
      <c r="E191">
        <v>1</v>
      </c>
      <c r="F191">
        <v>0</v>
      </c>
      <c r="G191">
        <v>0</v>
      </c>
      <c r="H191">
        <v>-1</v>
      </c>
      <c r="I191">
        <v>1</v>
      </c>
      <c r="J191">
        <v>-1</v>
      </c>
      <c r="K191">
        <v>0</v>
      </c>
      <c r="L191">
        <v>0</v>
      </c>
      <c r="M191">
        <v>0</v>
      </c>
      <c r="N191">
        <v>1</v>
      </c>
      <c r="O191">
        <v>0</v>
      </c>
      <c r="P191">
        <f t="shared" si="4"/>
        <v>3</v>
      </c>
      <c r="Q191">
        <f t="shared" si="5"/>
        <v>3</v>
      </c>
      <c r="R191" s="1">
        <f>IF(OR(P191=0,Q191=0),0,MIN(P191,Q191)*Mapping!$I$2/P191)</f>
        <v>5.000000000000001E-2</v>
      </c>
      <c r="S191" s="1">
        <f>IF(OR(P191=0,Q191=0),0,MIN(P191,Q191)*Mapping!$I$2/Q191)</f>
        <v>5.000000000000001E-2</v>
      </c>
    </row>
    <row r="192" spans="1:19">
      <c r="A192" s="5">
        <v>44834</v>
      </c>
      <c r="B192" s="5">
        <v>44835</v>
      </c>
      <c r="C192">
        <v>-1</v>
      </c>
      <c r="D192">
        <v>0</v>
      </c>
      <c r="E192">
        <v>1</v>
      </c>
      <c r="F192">
        <v>0</v>
      </c>
      <c r="G192">
        <v>0</v>
      </c>
      <c r="H192">
        <v>-1</v>
      </c>
      <c r="I192">
        <v>1</v>
      </c>
      <c r="J192">
        <v>1</v>
      </c>
      <c r="K192">
        <v>0</v>
      </c>
      <c r="L192">
        <v>-1</v>
      </c>
      <c r="M192">
        <v>0</v>
      </c>
      <c r="N192">
        <v>0</v>
      </c>
      <c r="O192">
        <v>0</v>
      </c>
      <c r="P192">
        <f t="shared" si="4"/>
        <v>3</v>
      </c>
      <c r="Q192">
        <f t="shared" si="5"/>
        <v>3</v>
      </c>
      <c r="R192" s="1">
        <f>IF(OR(P192=0,Q192=0),0,MIN(P192,Q192)*Mapping!$I$2/P192)</f>
        <v>5.000000000000001E-2</v>
      </c>
      <c r="S192" s="1">
        <f>IF(OR(P192=0,Q192=0),0,MIN(P192,Q192)*Mapping!$I$2/Q192)</f>
        <v>5.000000000000001E-2</v>
      </c>
    </row>
    <row r="193" spans="1:19">
      <c r="A193" s="5">
        <v>44865</v>
      </c>
      <c r="B193" s="5">
        <v>44866</v>
      </c>
      <c r="C193">
        <v>-1</v>
      </c>
      <c r="D193">
        <v>0</v>
      </c>
      <c r="E193">
        <v>1</v>
      </c>
      <c r="F193">
        <v>0</v>
      </c>
      <c r="G193">
        <v>0</v>
      </c>
      <c r="H193">
        <v>-1</v>
      </c>
      <c r="I193">
        <v>1</v>
      </c>
      <c r="J193">
        <v>1</v>
      </c>
      <c r="K193">
        <v>0</v>
      </c>
      <c r="L193">
        <v>-1</v>
      </c>
      <c r="M193">
        <v>0</v>
      </c>
      <c r="N193">
        <v>0</v>
      </c>
      <c r="O193">
        <v>0</v>
      </c>
      <c r="P193">
        <f t="shared" si="4"/>
        <v>3</v>
      </c>
      <c r="Q193">
        <f t="shared" si="5"/>
        <v>3</v>
      </c>
      <c r="R193" s="1">
        <f>IF(OR(P193=0,Q193=0),0,MIN(P193,Q193)*Mapping!$I$2/P193)</f>
        <v>5.000000000000001E-2</v>
      </c>
      <c r="S193" s="1">
        <f>IF(OR(P193=0,Q193=0),0,MIN(P193,Q193)*Mapping!$I$2/Q193)</f>
        <v>5.000000000000001E-2</v>
      </c>
    </row>
    <row r="194" spans="1:19">
      <c r="A194" s="5">
        <v>44895</v>
      </c>
      <c r="B194" s="5">
        <v>44896</v>
      </c>
      <c r="C194">
        <v>-1</v>
      </c>
      <c r="D194">
        <v>1</v>
      </c>
      <c r="E194">
        <v>-1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-1</v>
      </c>
      <c r="M194">
        <v>0</v>
      </c>
      <c r="N194">
        <v>1</v>
      </c>
      <c r="O194">
        <v>0</v>
      </c>
      <c r="P194">
        <f t="shared" si="4"/>
        <v>3</v>
      </c>
      <c r="Q194">
        <f t="shared" si="5"/>
        <v>3</v>
      </c>
      <c r="R194" s="1">
        <f>IF(OR(P194=0,Q194=0),0,MIN(P194,Q194)*Mapping!$I$2/P194)</f>
        <v>5.000000000000001E-2</v>
      </c>
      <c r="S194" s="1">
        <f>IF(OR(P194=0,Q194=0),0,MIN(P194,Q194)*Mapping!$I$2/Q194)</f>
        <v>5.000000000000001E-2</v>
      </c>
    </row>
    <row r="195" spans="1:19">
      <c r="A195" s="5">
        <v>44926</v>
      </c>
      <c r="B195" s="5">
        <v>44927</v>
      </c>
      <c r="C195">
        <v>-1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-1</v>
      </c>
      <c r="L195">
        <v>-1</v>
      </c>
      <c r="M195">
        <v>0</v>
      </c>
      <c r="N195">
        <v>0</v>
      </c>
      <c r="O195">
        <v>1</v>
      </c>
      <c r="P195">
        <f t="shared" ref="P195:P240" si="6">COUNTIF(C195:O195,1)</f>
        <v>3</v>
      </c>
      <c r="Q195">
        <f t="shared" ref="Q195:Q240" si="7">COUNTIF(C195:O195,-1)</f>
        <v>3</v>
      </c>
      <c r="R195" s="1">
        <f>IF(OR(P195=0,Q195=0),0,MIN(P195,Q195)*Mapping!$I$2/P195)</f>
        <v>5.000000000000001E-2</v>
      </c>
      <c r="S195" s="1">
        <f>IF(OR(P195=0,Q195=0),0,MIN(P195,Q195)*Mapping!$I$2/Q195)</f>
        <v>5.000000000000001E-2</v>
      </c>
    </row>
    <row r="196" spans="1:19">
      <c r="A196" s="5">
        <v>44957</v>
      </c>
      <c r="B196" s="5">
        <v>44958</v>
      </c>
      <c r="C196">
        <v>-1</v>
      </c>
      <c r="D196">
        <v>0</v>
      </c>
      <c r="E196">
        <v>-1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-1</v>
      </c>
      <c r="L196">
        <v>0</v>
      </c>
      <c r="M196">
        <v>0</v>
      </c>
      <c r="N196">
        <v>0</v>
      </c>
      <c r="O196">
        <v>0</v>
      </c>
      <c r="P196">
        <f t="shared" si="6"/>
        <v>3</v>
      </c>
      <c r="Q196">
        <f t="shared" si="7"/>
        <v>3</v>
      </c>
      <c r="R196" s="1">
        <f>IF(OR(P196=0,Q196=0),0,MIN(P196,Q196)*Mapping!$I$2/P196)</f>
        <v>5.000000000000001E-2</v>
      </c>
      <c r="S196" s="1">
        <f>IF(OR(P196=0,Q196=0),0,MIN(P196,Q196)*Mapping!$I$2/Q196)</f>
        <v>5.000000000000001E-2</v>
      </c>
    </row>
    <row r="197" spans="1:19">
      <c r="A197" s="5">
        <v>44985</v>
      </c>
      <c r="B197" s="5">
        <v>44986</v>
      </c>
      <c r="C197">
        <v>0</v>
      </c>
      <c r="D197">
        <v>0</v>
      </c>
      <c r="E197">
        <v>-1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-1</v>
      </c>
      <c r="L197">
        <v>-1</v>
      </c>
      <c r="M197">
        <v>0</v>
      </c>
      <c r="N197">
        <v>0</v>
      </c>
      <c r="O197">
        <v>1</v>
      </c>
      <c r="P197">
        <f t="shared" si="6"/>
        <v>3</v>
      </c>
      <c r="Q197">
        <f t="shared" si="7"/>
        <v>3</v>
      </c>
      <c r="R197" s="1">
        <f>IF(OR(P197=0,Q197=0),0,MIN(P197,Q197)*Mapping!$I$2/P197)</f>
        <v>5.000000000000001E-2</v>
      </c>
      <c r="S197" s="1">
        <f>IF(OR(P197=0,Q197=0),0,MIN(P197,Q197)*Mapping!$I$2/Q197)</f>
        <v>5.000000000000001E-2</v>
      </c>
    </row>
    <row r="198" spans="1:19">
      <c r="A198" s="5">
        <v>45016</v>
      </c>
      <c r="B198" s="5">
        <v>45017</v>
      </c>
      <c r="C198">
        <v>-1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1</v>
      </c>
      <c r="K198">
        <v>-1</v>
      </c>
      <c r="L198">
        <v>-1</v>
      </c>
      <c r="M198">
        <v>0</v>
      </c>
      <c r="N198">
        <v>0</v>
      </c>
      <c r="O198">
        <v>0</v>
      </c>
      <c r="P198">
        <f t="shared" si="6"/>
        <v>3</v>
      </c>
      <c r="Q198">
        <f t="shared" si="7"/>
        <v>3</v>
      </c>
      <c r="R198" s="1">
        <f>IF(OR(P198=0,Q198=0),0,MIN(P198,Q198)*Mapping!$I$2/P198)</f>
        <v>5.000000000000001E-2</v>
      </c>
      <c r="S198" s="1">
        <f>IF(OR(P198=0,Q198=0),0,MIN(P198,Q198)*Mapping!$I$2/Q198)</f>
        <v>5.000000000000001E-2</v>
      </c>
    </row>
    <row r="199" spans="1:19">
      <c r="A199" s="5">
        <v>45046</v>
      </c>
      <c r="B199" s="5">
        <v>45047</v>
      </c>
      <c r="C199">
        <v>-1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-1</v>
      </c>
      <c r="J199">
        <v>1</v>
      </c>
      <c r="K199">
        <v>0</v>
      </c>
      <c r="L199">
        <v>-1</v>
      </c>
      <c r="M199">
        <v>0</v>
      </c>
      <c r="N199">
        <v>0</v>
      </c>
      <c r="O199">
        <v>1</v>
      </c>
      <c r="P199">
        <f t="shared" si="6"/>
        <v>3</v>
      </c>
      <c r="Q199">
        <f t="shared" si="7"/>
        <v>3</v>
      </c>
      <c r="R199" s="1">
        <f>IF(OR(P199=0,Q199=0),0,MIN(P199,Q199)*Mapping!$I$2/P199)</f>
        <v>5.000000000000001E-2</v>
      </c>
      <c r="S199" s="1">
        <f>IF(OR(P199=0,Q199=0),0,MIN(P199,Q199)*Mapping!$I$2/Q199)</f>
        <v>5.000000000000001E-2</v>
      </c>
    </row>
    <row r="200" spans="1:19">
      <c r="A200" s="5">
        <v>45077</v>
      </c>
      <c r="B200" s="5">
        <v>45078</v>
      </c>
      <c r="C200">
        <v>-1</v>
      </c>
      <c r="D200">
        <v>-1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-1</v>
      </c>
      <c r="L200">
        <v>0</v>
      </c>
      <c r="M200">
        <v>0</v>
      </c>
      <c r="N200">
        <v>0</v>
      </c>
      <c r="O200">
        <v>1</v>
      </c>
      <c r="P200">
        <f t="shared" si="6"/>
        <v>3</v>
      </c>
      <c r="Q200">
        <f t="shared" si="7"/>
        <v>3</v>
      </c>
      <c r="R200" s="1">
        <f>IF(OR(P200=0,Q200=0),0,MIN(P200,Q200)*Mapping!$I$2/P200)</f>
        <v>5.000000000000001E-2</v>
      </c>
      <c r="S200" s="1">
        <f>IF(OR(P200=0,Q200=0),0,MIN(P200,Q200)*Mapping!$I$2/Q200)</f>
        <v>5.000000000000001E-2</v>
      </c>
    </row>
    <row r="201" spans="1:19">
      <c r="A201" s="5">
        <v>45107</v>
      </c>
      <c r="B201" s="5">
        <v>45108</v>
      </c>
      <c r="C201">
        <v>-1</v>
      </c>
      <c r="D201">
        <v>-1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-1</v>
      </c>
      <c r="L201">
        <v>0</v>
      </c>
      <c r="M201">
        <v>0</v>
      </c>
      <c r="N201">
        <v>0</v>
      </c>
      <c r="O201">
        <v>1</v>
      </c>
      <c r="P201">
        <f t="shared" si="6"/>
        <v>3</v>
      </c>
      <c r="Q201">
        <f t="shared" si="7"/>
        <v>3</v>
      </c>
      <c r="R201" s="1">
        <f>IF(OR(P201=0,Q201=0),0,MIN(P201,Q201)*Mapping!$I$2/P201)</f>
        <v>5.000000000000001E-2</v>
      </c>
      <c r="S201" s="1">
        <f>IF(OR(P201=0,Q201=0),0,MIN(P201,Q201)*Mapping!$I$2/Q201)</f>
        <v>5.000000000000001E-2</v>
      </c>
    </row>
    <row r="202" spans="1:19">
      <c r="A202" s="5">
        <v>45138</v>
      </c>
      <c r="B202" s="5">
        <v>45139</v>
      </c>
      <c r="C202">
        <v>-1</v>
      </c>
      <c r="D202">
        <v>-1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0</v>
      </c>
      <c r="K202">
        <v>-1</v>
      </c>
      <c r="L202">
        <v>0</v>
      </c>
      <c r="M202">
        <v>0</v>
      </c>
      <c r="N202">
        <v>0</v>
      </c>
      <c r="O202">
        <v>1</v>
      </c>
      <c r="P202">
        <f t="shared" si="6"/>
        <v>3</v>
      </c>
      <c r="Q202">
        <f t="shared" si="7"/>
        <v>3</v>
      </c>
      <c r="R202" s="1">
        <f>IF(OR(P202=0,Q202=0),0,MIN(P202,Q202)*Mapping!$I$2/P202)</f>
        <v>5.000000000000001E-2</v>
      </c>
      <c r="S202" s="1">
        <f>IF(OR(P202=0,Q202=0),0,MIN(P202,Q202)*Mapping!$I$2/Q202)</f>
        <v>5.000000000000001E-2</v>
      </c>
    </row>
    <row r="203" spans="1:19">
      <c r="A203" s="5">
        <v>45169</v>
      </c>
      <c r="B203" s="5">
        <v>45170</v>
      </c>
      <c r="C203">
        <v>-1</v>
      </c>
      <c r="D203">
        <v>-1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-1</v>
      </c>
      <c r="L203">
        <v>0</v>
      </c>
      <c r="M203">
        <v>0</v>
      </c>
      <c r="N203">
        <v>0</v>
      </c>
      <c r="O203">
        <v>1</v>
      </c>
      <c r="P203">
        <f t="shared" si="6"/>
        <v>3</v>
      </c>
      <c r="Q203">
        <f t="shared" si="7"/>
        <v>3</v>
      </c>
      <c r="R203" s="1">
        <f>IF(OR(P203=0,Q203=0),0,MIN(P203,Q203)*Mapping!$I$2/P203)</f>
        <v>5.000000000000001E-2</v>
      </c>
      <c r="S203" s="1">
        <f>IF(OR(P203=0,Q203=0),0,MIN(P203,Q203)*Mapping!$I$2/Q203)</f>
        <v>5.000000000000001E-2</v>
      </c>
    </row>
    <row r="204" spans="1:19">
      <c r="A204" s="5">
        <v>45199</v>
      </c>
      <c r="B204" s="5">
        <v>45200</v>
      </c>
      <c r="C204">
        <v>-1</v>
      </c>
      <c r="D204">
        <v>-1</v>
      </c>
      <c r="E204">
        <v>0</v>
      </c>
      <c r="F204">
        <v>1</v>
      </c>
      <c r="G204">
        <v>1</v>
      </c>
      <c r="H204">
        <v>0</v>
      </c>
      <c r="I204">
        <v>0</v>
      </c>
      <c r="J204">
        <v>1</v>
      </c>
      <c r="K204">
        <v>-1</v>
      </c>
      <c r="L204">
        <v>0</v>
      </c>
      <c r="M204">
        <v>0</v>
      </c>
      <c r="N204">
        <v>0</v>
      </c>
      <c r="O204">
        <v>0</v>
      </c>
      <c r="P204">
        <f t="shared" si="6"/>
        <v>3</v>
      </c>
      <c r="Q204">
        <f t="shared" si="7"/>
        <v>3</v>
      </c>
      <c r="R204" s="1">
        <f>IF(OR(P204=0,Q204=0),0,MIN(P204,Q204)*Mapping!$I$2/P204)</f>
        <v>5.000000000000001E-2</v>
      </c>
      <c r="S204" s="1">
        <f>IF(OR(P204=0,Q204=0),0,MIN(P204,Q204)*Mapping!$I$2/Q204)</f>
        <v>5.000000000000001E-2</v>
      </c>
    </row>
    <row r="205" spans="1:19">
      <c r="A205" s="5">
        <v>45230</v>
      </c>
      <c r="B205" s="5">
        <v>45231</v>
      </c>
      <c r="C205">
        <v>-1</v>
      </c>
      <c r="D205">
        <v>-1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-1</v>
      </c>
      <c r="M205">
        <v>0</v>
      </c>
      <c r="N205">
        <v>0</v>
      </c>
      <c r="O205">
        <v>0</v>
      </c>
      <c r="P205">
        <f t="shared" si="6"/>
        <v>3</v>
      </c>
      <c r="Q205">
        <f t="shared" si="7"/>
        <v>3</v>
      </c>
      <c r="R205" s="1">
        <f>IF(OR(P205=0,Q205=0),0,MIN(P205,Q205)*Mapping!$I$2/P205)</f>
        <v>5.000000000000001E-2</v>
      </c>
      <c r="S205" s="1">
        <f>IF(OR(P205=0,Q205=0),0,MIN(P205,Q205)*Mapping!$I$2/Q205)</f>
        <v>5.000000000000001E-2</v>
      </c>
    </row>
    <row r="206" spans="1:19">
      <c r="A206" s="5">
        <v>45260</v>
      </c>
      <c r="B206" s="5">
        <v>45261</v>
      </c>
      <c r="C206">
        <v>-1</v>
      </c>
      <c r="D206">
        <v>0</v>
      </c>
      <c r="E206">
        <v>-1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-1</v>
      </c>
      <c r="P206">
        <f t="shared" si="6"/>
        <v>3</v>
      </c>
      <c r="Q206">
        <f t="shared" si="7"/>
        <v>3</v>
      </c>
      <c r="R206" s="1">
        <f>IF(OR(P206=0,Q206=0),0,MIN(P206,Q206)*Mapping!$I$2/P206)</f>
        <v>5.000000000000001E-2</v>
      </c>
      <c r="S206" s="1">
        <f>IF(OR(P206=0,Q206=0),0,MIN(P206,Q206)*Mapping!$I$2/Q206)</f>
        <v>5.000000000000001E-2</v>
      </c>
    </row>
    <row r="207" spans="1:19">
      <c r="A207" s="5">
        <v>45291</v>
      </c>
      <c r="B207" s="5">
        <v>45292</v>
      </c>
      <c r="C207">
        <v>0</v>
      </c>
      <c r="D207">
        <v>0</v>
      </c>
      <c r="E207">
        <v>-1</v>
      </c>
      <c r="F207">
        <v>0</v>
      </c>
      <c r="G207">
        <v>0</v>
      </c>
      <c r="H207">
        <v>-1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1</v>
      </c>
      <c r="O207">
        <v>-1</v>
      </c>
      <c r="P207">
        <f t="shared" si="6"/>
        <v>3</v>
      </c>
      <c r="Q207">
        <f t="shared" si="7"/>
        <v>3</v>
      </c>
      <c r="R207" s="1">
        <f>IF(OR(P207=0,Q207=0),0,MIN(P207,Q207)*Mapping!$I$2/P207)</f>
        <v>5.000000000000001E-2</v>
      </c>
      <c r="S207" s="1">
        <f>IF(OR(P207=0,Q207=0),0,MIN(P207,Q207)*Mapping!$I$2/Q207)</f>
        <v>5.000000000000001E-2</v>
      </c>
    </row>
    <row r="208" spans="1:19">
      <c r="A208" s="5">
        <v>45322</v>
      </c>
      <c r="B208" s="5">
        <v>45323</v>
      </c>
      <c r="C208">
        <v>-1</v>
      </c>
      <c r="D208">
        <v>0</v>
      </c>
      <c r="E208">
        <v>-1</v>
      </c>
      <c r="F208">
        <v>0</v>
      </c>
      <c r="G208">
        <v>0</v>
      </c>
      <c r="H208">
        <v>-1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1</v>
      </c>
      <c r="P208">
        <f t="shared" si="6"/>
        <v>3</v>
      </c>
      <c r="Q208">
        <f t="shared" si="7"/>
        <v>3</v>
      </c>
      <c r="R208" s="1">
        <f>IF(OR(P208=0,Q208=0),0,MIN(P208,Q208)*Mapping!$I$2/P208)</f>
        <v>5.000000000000001E-2</v>
      </c>
      <c r="S208" s="1">
        <f>IF(OR(P208=0,Q208=0),0,MIN(P208,Q208)*Mapping!$I$2/Q208)</f>
        <v>5.000000000000001E-2</v>
      </c>
    </row>
    <row r="209" spans="1:19">
      <c r="A209" s="5">
        <v>45351</v>
      </c>
      <c r="B209" s="5">
        <v>45352</v>
      </c>
      <c r="C209">
        <v>-1</v>
      </c>
      <c r="D209">
        <v>0</v>
      </c>
      <c r="E209">
        <v>-1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-1</v>
      </c>
      <c r="L209">
        <v>1</v>
      </c>
      <c r="M209">
        <v>0</v>
      </c>
      <c r="N209">
        <v>1</v>
      </c>
      <c r="O209">
        <v>0</v>
      </c>
      <c r="P209">
        <f t="shared" si="6"/>
        <v>3</v>
      </c>
      <c r="Q209">
        <f t="shared" si="7"/>
        <v>3</v>
      </c>
      <c r="R209" s="1">
        <f>IF(OR(P209=0,Q209=0),0,MIN(P209,Q209)*Mapping!$I$2/P209)</f>
        <v>5.000000000000001E-2</v>
      </c>
      <c r="S209" s="1">
        <f>IF(OR(P209=0,Q209=0),0,MIN(P209,Q209)*Mapping!$I$2/Q209)</f>
        <v>5.000000000000001E-2</v>
      </c>
    </row>
    <row r="210" spans="1:19">
      <c r="A210" s="5">
        <v>45382</v>
      </c>
      <c r="B210" s="5">
        <v>45383</v>
      </c>
      <c r="C210">
        <v>-1</v>
      </c>
      <c r="D210">
        <v>0</v>
      </c>
      <c r="E210">
        <v>-1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-1</v>
      </c>
      <c r="L210">
        <v>1</v>
      </c>
      <c r="M210">
        <v>0</v>
      </c>
      <c r="N210">
        <v>1</v>
      </c>
      <c r="O210">
        <v>0</v>
      </c>
      <c r="P210">
        <f t="shared" si="6"/>
        <v>3</v>
      </c>
      <c r="Q210">
        <f t="shared" si="7"/>
        <v>3</v>
      </c>
      <c r="R210" s="1">
        <f>IF(OR(P210=0,Q210=0),0,MIN(P210,Q210)*Mapping!$I$2/P210)</f>
        <v>5.000000000000001E-2</v>
      </c>
      <c r="S210" s="1">
        <f>IF(OR(P210=0,Q210=0),0,MIN(P210,Q210)*Mapping!$I$2/Q210)</f>
        <v>5.000000000000001E-2</v>
      </c>
    </row>
    <row r="211" spans="1:19">
      <c r="A211" s="5">
        <v>45412</v>
      </c>
      <c r="B211" s="5">
        <v>45413</v>
      </c>
      <c r="C211">
        <v>-1</v>
      </c>
      <c r="D211">
        <v>-1</v>
      </c>
      <c r="E211">
        <v>-1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  <c r="P211">
        <f t="shared" si="6"/>
        <v>3</v>
      </c>
      <c r="Q211">
        <f t="shared" si="7"/>
        <v>3</v>
      </c>
      <c r="R211" s="1">
        <f>IF(OR(P211=0,Q211=0),0,MIN(P211,Q211)*Mapping!$I$2/P211)</f>
        <v>5.000000000000001E-2</v>
      </c>
      <c r="S211" s="1">
        <f>IF(OR(P211=0,Q211=0),0,MIN(P211,Q211)*Mapping!$I$2/Q211)</f>
        <v>5.000000000000001E-2</v>
      </c>
    </row>
    <row r="212" spans="1:19">
      <c r="A212" s="5">
        <v>45443</v>
      </c>
      <c r="B212" s="5">
        <v>45444</v>
      </c>
      <c r="C212">
        <v>-1</v>
      </c>
      <c r="D212">
        <v>0</v>
      </c>
      <c r="E212">
        <v>-1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-1</v>
      </c>
      <c r="L212">
        <v>0</v>
      </c>
      <c r="M212">
        <v>0</v>
      </c>
      <c r="N212">
        <v>1</v>
      </c>
      <c r="O212">
        <v>0</v>
      </c>
      <c r="P212">
        <f t="shared" si="6"/>
        <v>3</v>
      </c>
      <c r="Q212">
        <f t="shared" si="7"/>
        <v>3</v>
      </c>
      <c r="R212" s="1">
        <f>IF(OR(P212=0,Q212=0),0,MIN(P212,Q212)*Mapping!$I$2/P212)</f>
        <v>5.000000000000001E-2</v>
      </c>
      <c r="S212" s="1">
        <f>IF(OR(P212=0,Q212=0),0,MIN(P212,Q212)*Mapping!$I$2/Q212)</f>
        <v>5.000000000000001E-2</v>
      </c>
    </row>
    <row r="213" spans="1:19">
      <c r="A213" s="5">
        <v>45473</v>
      </c>
      <c r="B213" s="5">
        <v>45474</v>
      </c>
      <c r="C213">
        <v>-1</v>
      </c>
      <c r="D213">
        <v>-1</v>
      </c>
      <c r="E213">
        <v>-1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f t="shared" si="6"/>
        <v>3</v>
      </c>
      <c r="Q213">
        <f t="shared" si="7"/>
        <v>3</v>
      </c>
      <c r="R213" s="1">
        <f>IF(OR(P213=0,Q213=0),0,MIN(P213,Q213)*Mapping!$I$2/P213)</f>
        <v>5.000000000000001E-2</v>
      </c>
      <c r="S213" s="1">
        <f>IF(OR(P213=0,Q213=0),0,MIN(P213,Q213)*Mapping!$I$2/Q213)</f>
        <v>5.000000000000001E-2</v>
      </c>
    </row>
    <row r="214" spans="1:19">
      <c r="A214" s="5">
        <v>45504</v>
      </c>
      <c r="B214" s="5">
        <v>45505</v>
      </c>
      <c r="C214">
        <v>-1</v>
      </c>
      <c r="D214">
        <v>-1</v>
      </c>
      <c r="E214">
        <v>-1</v>
      </c>
      <c r="F214">
        <v>1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f t="shared" si="6"/>
        <v>3</v>
      </c>
      <c r="Q214">
        <f t="shared" si="7"/>
        <v>3</v>
      </c>
      <c r="R214" s="1">
        <f>IF(OR(P214=0,Q214=0),0,MIN(P214,Q214)*Mapping!$I$2/P214)</f>
        <v>5.000000000000001E-2</v>
      </c>
      <c r="S214" s="1">
        <f>IF(OR(P214=0,Q214=0),0,MIN(P214,Q214)*Mapping!$I$2/Q214)</f>
        <v>5.000000000000001E-2</v>
      </c>
    </row>
    <row r="215" spans="1:19">
      <c r="A215" s="5">
        <v>45535</v>
      </c>
      <c r="B215" s="5">
        <v>45536</v>
      </c>
      <c r="C215">
        <v>-1</v>
      </c>
      <c r="D215">
        <v>-1</v>
      </c>
      <c r="E215">
        <v>-1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f t="shared" si="6"/>
        <v>3</v>
      </c>
      <c r="Q215">
        <f t="shared" si="7"/>
        <v>3</v>
      </c>
      <c r="R215" s="1">
        <f>IF(OR(P215=0,Q215=0),0,MIN(P215,Q215)*Mapping!$I$2/P215)</f>
        <v>5.000000000000001E-2</v>
      </c>
      <c r="S215" s="1">
        <f>IF(OR(P215=0,Q215=0),0,MIN(P215,Q215)*Mapping!$I$2/Q215)</f>
        <v>5.000000000000001E-2</v>
      </c>
    </row>
    <row r="216" spans="1:19">
      <c r="A216" s="5">
        <v>45565</v>
      </c>
      <c r="B216" s="5">
        <v>45566</v>
      </c>
      <c r="C216">
        <v>-1</v>
      </c>
      <c r="D216">
        <v>0</v>
      </c>
      <c r="E216">
        <v>-1</v>
      </c>
      <c r="F216">
        <v>1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-1</v>
      </c>
      <c r="P216">
        <f t="shared" si="6"/>
        <v>3</v>
      </c>
      <c r="Q216">
        <f t="shared" si="7"/>
        <v>3</v>
      </c>
      <c r="R216" s="1">
        <f>IF(OR(P216=0,Q216=0),0,MIN(P216,Q216)*Mapping!$I$2/P216)</f>
        <v>5.000000000000001E-2</v>
      </c>
      <c r="S216" s="1">
        <f>IF(OR(P216=0,Q216=0),0,MIN(P216,Q216)*Mapping!$I$2/Q216)</f>
        <v>5.000000000000001E-2</v>
      </c>
    </row>
    <row r="217" spans="1:19">
      <c r="A217" s="5">
        <v>45596</v>
      </c>
      <c r="B217" s="5">
        <v>45597</v>
      </c>
      <c r="C217">
        <v>-1</v>
      </c>
      <c r="D217">
        <v>-1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-1</v>
      </c>
      <c r="P217">
        <f t="shared" si="6"/>
        <v>3</v>
      </c>
      <c r="Q217">
        <f t="shared" si="7"/>
        <v>3</v>
      </c>
      <c r="R217" s="1">
        <f>IF(OR(P217=0,Q217=0),0,MIN(P217,Q217)*Mapping!$I$2/P217)</f>
        <v>5.000000000000001E-2</v>
      </c>
      <c r="S217" s="1">
        <f>IF(OR(P217=0,Q217=0),0,MIN(P217,Q217)*Mapping!$I$2/Q217)</f>
        <v>5.000000000000001E-2</v>
      </c>
    </row>
    <row r="218" spans="1:19">
      <c r="A218" s="5">
        <v>45626</v>
      </c>
      <c r="B218" s="5">
        <v>45627</v>
      </c>
      <c r="C218">
        <v>-1</v>
      </c>
      <c r="D218">
        <v>0</v>
      </c>
      <c r="E218">
        <v>-1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-1</v>
      </c>
      <c r="P218">
        <f t="shared" si="6"/>
        <v>3</v>
      </c>
      <c r="Q218">
        <f t="shared" si="7"/>
        <v>3</v>
      </c>
      <c r="R218" s="1">
        <f>IF(OR(P218=0,Q218=0),0,MIN(P218,Q218)*Mapping!$I$2/P218)</f>
        <v>5.000000000000001E-2</v>
      </c>
      <c r="S218" s="1">
        <f>IF(OR(P218=0,Q218=0),0,MIN(P218,Q218)*Mapping!$I$2/Q218)</f>
        <v>5.000000000000001E-2</v>
      </c>
    </row>
    <row r="219" spans="1:19">
      <c r="A219" s="5">
        <v>45657</v>
      </c>
      <c r="B219" s="5">
        <v>45658</v>
      </c>
      <c r="C219">
        <v>-1</v>
      </c>
      <c r="D219">
        <v>0</v>
      </c>
      <c r="E219">
        <v>-1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-1</v>
      </c>
      <c r="P219">
        <f t="shared" si="6"/>
        <v>3</v>
      </c>
      <c r="Q219">
        <f t="shared" si="7"/>
        <v>3</v>
      </c>
      <c r="R219" s="1">
        <f>IF(OR(P219=0,Q219=0),0,MIN(P219,Q219)*Mapping!$I$2/P219)</f>
        <v>5.000000000000001E-2</v>
      </c>
      <c r="S219" s="1">
        <f>IF(OR(P219=0,Q219=0),0,MIN(P219,Q219)*Mapping!$I$2/Q219)</f>
        <v>5.000000000000001E-2</v>
      </c>
    </row>
    <row r="220" spans="1:19">
      <c r="A220" s="5">
        <v>45688</v>
      </c>
      <c r="B220" s="5">
        <v>45689</v>
      </c>
      <c r="C220">
        <v>-1</v>
      </c>
      <c r="D220">
        <v>0</v>
      </c>
      <c r="E220">
        <v>-1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-1</v>
      </c>
      <c r="P220">
        <f t="shared" si="6"/>
        <v>3</v>
      </c>
      <c r="Q220">
        <f t="shared" si="7"/>
        <v>3</v>
      </c>
      <c r="R220" s="1">
        <f>IF(OR(P220=0,Q220=0),0,MIN(P220,Q220)*Mapping!$I$2/P220)</f>
        <v>5.000000000000001E-2</v>
      </c>
      <c r="S220" s="1">
        <f>IF(OR(P220=0,Q220=0),0,MIN(P220,Q220)*Mapping!$I$2/Q220)</f>
        <v>5.000000000000001E-2</v>
      </c>
    </row>
    <row r="221" spans="1:19">
      <c r="A221" s="5">
        <v>45716</v>
      </c>
      <c r="B221" s="5">
        <v>45717</v>
      </c>
      <c r="C221">
        <v>-1</v>
      </c>
      <c r="D221">
        <v>0</v>
      </c>
      <c r="E221">
        <v>-1</v>
      </c>
      <c r="F221">
        <v>1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-1</v>
      </c>
      <c r="P221">
        <f t="shared" si="6"/>
        <v>3</v>
      </c>
      <c r="Q221">
        <f t="shared" si="7"/>
        <v>3</v>
      </c>
      <c r="R221" s="1">
        <f>IF(OR(P221=0,Q221=0),0,MIN(P221,Q221)*Mapping!$I$2/P221)</f>
        <v>5.000000000000001E-2</v>
      </c>
      <c r="S221" s="1">
        <f>IF(OR(P221=0,Q221=0),0,MIN(P221,Q221)*Mapping!$I$2/Q221)</f>
        <v>5.000000000000001E-2</v>
      </c>
    </row>
    <row r="222" spans="1:19">
      <c r="A222" s="5">
        <v>45747</v>
      </c>
      <c r="B222" s="5">
        <v>45748</v>
      </c>
      <c r="C222">
        <v>-1</v>
      </c>
      <c r="D222">
        <v>0</v>
      </c>
      <c r="E222">
        <v>-1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-1</v>
      </c>
      <c r="P222">
        <f t="shared" si="6"/>
        <v>3</v>
      </c>
      <c r="Q222">
        <f t="shared" si="7"/>
        <v>3</v>
      </c>
      <c r="R222" s="1">
        <f>IF(OR(P222=0,Q222=0),0,MIN(P222,Q222)*Mapping!$I$2/P222)</f>
        <v>5.000000000000001E-2</v>
      </c>
      <c r="S222" s="1">
        <f>IF(OR(P222=0,Q222=0),0,MIN(P222,Q222)*Mapping!$I$2/Q222)</f>
        <v>5.000000000000001E-2</v>
      </c>
    </row>
    <row r="223" spans="1:19">
      <c r="A223" s="5">
        <v>45777</v>
      </c>
      <c r="B223" s="5">
        <v>45778</v>
      </c>
      <c r="C223">
        <v>-1</v>
      </c>
      <c r="D223">
        <v>0</v>
      </c>
      <c r="E223">
        <v>-1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-1</v>
      </c>
      <c r="P223">
        <f t="shared" si="6"/>
        <v>3</v>
      </c>
      <c r="Q223">
        <f t="shared" si="7"/>
        <v>3</v>
      </c>
      <c r="R223" s="1">
        <f>IF(OR(P223=0,Q223=0),0,MIN(P223,Q223)*Mapping!$I$2/P223)</f>
        <v>5.000000000000001E-2</v>
      </c>
      <c r="S223" s="1">
        <f>IF(OR(P223=0,Q223=0),0,MIN(P223,Q223)*Mapping!$I$2/Q223)</f>
        <v>5.000000000000001E-2</v>
      </c>
    </row>
    <row r="224" spans="1:19">
      <c r="A224" s="5">
        <v>45808</v>
      </c>
      <c r="B224" s="5">
        <v>45809</v>
      </c>
      <c r="C224">
        <v>-1</v>
      </c>
      <c r="D224">
        <v>0</v>
      </c>
      <c r="E224">
        <v>-1</v>
      </c>
      <c r="F224">
        <v>0</v>
      </c>
      <c r="G224">
        <v>1</v>
      </c>
      <c r="H224">
        <v>0</v>
      </c>
      <c r="I224">
        <v>-1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f t="shared" si="6"/>
        <v>3</v>
      </c>
      <c r="Q224">
        <f t="shared" si="7"/>
        <v>3</v>
      </c>
      <c r="R224" s="1">
        <f>IF(OR(P224=0,Q224=0),0,MIN(P224,Q224)*Mapping!$I$2/P224)</f>
        <v>5.000000000000001E-2</v>
      </c>
      <c r="S224" s="1">
        <f>IF(OR(P224=0,Q224=0),0,MIN(P224,Q224)*Mapping!$I$2/Q224)</f>
        <v>5.000000000000001E-2</v>
      </c>
    </row>
    <row r="225" spans="1:19">
      <c r="A225" s="5">
        <v>45838</v>
      </c>
      <c r="B225" s="5">
        <v>45839</v>
      </c>
      <c r="C225">
        <v>-1</v>
      </c>
      <c r="D225">
        <v>0</v>
      </c>
      <c r="E225">
        <v>-1</v>
      </c>
      <c r="F225">
        <v>1</v>
      </c>
      <c r="G225">
        <v>0</v>
      </c>
      <c r="H225">
        <v>0</v>
      </c>
      <c r="I225">
        <v>-1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f t="shared" si="6"/>
        <v>3</v>
      </c>
      <c r="Q225">
        <f t="shared" si="7"/>
        <v>3</v>
      </c>
      <c r="R225" s="1">
        <f>IF(OR(P225=0,Q225=0),0,MIN(P225,Q225)*Mapping!$I$2/P225)</f>
        <v>5.000000000000001E-2</v>
      </c>
      <c r="S225" s="1">
        <f>IF(OR(P225=0,Q225=0),0,MIN(P225,Q225)*Mapping!$I$2/Q225)</f>
        <v>5.000000000000001E-2</v>
      </c>
    </row>
    <row r="226" spans="1:19">
      <c r="A226" s="5">
        <v>45869</v>
      </c>
      <c r="B226" s="5">
        <v>45870</v>
      </c>
      <c r="C226">
        <v>0</v>
      </c>
      <c r="D226">
        <v>0</v>
      </c>
      <c r="E226">
        <v>-1</v>
      </c>
      <c r="F226">
        <v>1</v>
      </c>
      <c r="G226">
        <v>0</v>
      </c>
      <c r="H226">
        <v>0</v>
      </c>
      <c r="I226">
        <v>-1</v>
      </c>
      <c r="J226">
        <v>0</v>
      </c>
      <c r="K226">
        <v>1</v>
      </c>
      <c r="L226">
        <v>1</v>
      </c>
      <c r="M226">
        <v>0</v>
      </c>
      <c r="N226">
        <v>0</v>
      </c>
      <c r="O226">
        <v>-1</v>
      </c>
      <c r="P226">
        <f t="shared" si="6"/>
        <v>3</v>
      </c>
      <c r="Q226">
        <f t="shared" si="7"/>
        <v>3</v>
      </c>
      <c r="R226" s="1">
        <f>IF(OR(P226=0,Q226=0),0,MIN(P226,Q226)*Mapping!$I$2/P226)</f>
        <v>5.000000000000001E-2</v>
      </c>
      <c r="S226" s="1">
        <f>IF(OR(P226=0,Q226=0),0,MIN(P226,Q226)*Mapping!$I$2/Q226)</f>
        <v>5.000000000000001E-2</v>
      </c>
    </row>
    <row r="227" spans="1:19">
      <c r="A227" s="5">
        <v>45900</v>
      </c>
      <c r="B227" s="5">
        <v>45901</v>
      </c>
      <c r="C227">
        <v>-1</v>
      </c>
      <c r="D227">
        <v>-1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-1</v>
      </c>
      <c r="P227">
        <f t="shared" si="6"/>
        <v>3</v>
      </c>
      <c r="Q227">
        <f t="shared" si="7"/>
        <v>3</v>
      </c>
      <c r="R227" s="1">
        <f>IF(OR(P227=0,Q227=0),0,MIN(P227,Q227)*Mapping!$I$2/P227)</f>
        <v>5.000000000000001E-2</v>
      </c>
      <c r="S227" s="1">
        <f>IF(OR(P227=0,Q227=0),0,MIN(P227,Q227)*Mapping!$I$2/Q227)</f>
        <v>5.000000000000001E-2</v>
      </c>
    </row>
    <row r="228" spans="1:19">
      <c r="A228" s="5">
        <v>45930</v>
      </c>
      <c r="B228" s="5">
        <v>45931</v>
      </c>
      <c r="C228">
        <v>-1</v>
      </c>
      <c r="D228">
        <v>-1</v>
      </c>
      <c r="E228">
        <v>-1</v>
      </c>
      <c r="F228">
        <v>1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f t="shared" si="6"/>
        <v>3</v>
      </c>
      <c r="Q228">
        <f t="shared" si="7"/>
        <v>3</v>
      </c>
      <c r="R228" s="1">
        <f>IF(OR(P228=0,Q228=0),0,MIN(P228,Q228)*Mapping!$I$2/P228)</f>
        <v>5.000000000000001E-2</v>
      </c>
      <c r="S228" s="1">
        <f>IF(OR(P228=0,Q228=0),0,MIN(P228,Q228)*Mapping!$I$2/Q228)</f>
        <v>5.000000000000001E-2</v>
      </c>
    </row>
    <row r="229" spans="1:19">
      <c r="A229" s="5">
        <v>45961</v>
      </c>
      <c r="B229" s="5">
        <v>45962</v>
      </c>
      <c r="C229">
        <v>-1</v>
      </c>
      <c r="D229">
        <v>-1</v>
      </c>
      <c r="E229">
        <v>0</v>
      </c>
      <c r="F229">
        <v>1</v>
      </c>
      <c r="G229">
        <v>0</v>
      </c>
      <c r="H229">
        <v>0</v>
      </c>
      <c r="I229">
        <v>-1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f t="shared" si="6"/>
        <v>3</v>
      </c>
      <c r="Q229">
        <f t="shared" si="7"/>
        <v>3</v>
      </c>
      <c r="R229" s="1">
        <f>IF(OR(P229=0,Q229=0),0,MIN(P229,Q229)*Mapping!$I$2/P229)</f>
        <v>5.000000000000001E-2</v>
      </c>
      <c r="S229" s="1">
        <f>IF(OR(P229=0,Q229=0),0,MIN(P229,Q229)*Mapping!$I$2/Q229)</f>
        <v>5.000000000000001E-2</v>
      </c>
    </row>
    <row r="230" spans="1:19">
      <c r="A230" s="5">
        <v>45991</v>
      </c>
      <c r="B230" s="5">
        <v>45992</v>
      </c>
      <c r="C230">
        <v>-1</v>
      </c>
      <c r="D230">
        <v>-1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-1</v>
      </c>
      <c r="O230">
        <v>0</v>
      </c>
      <c r="P230">
        <f t="shared" si="6"/>
        <v>3</v>
      </c>
      <c r="Q230">
        <f t="shared" si="7"/>
        <v>3</v>
      </c>
      <c r="R230" s="1">
        <f>IF(OR(P230=0,Q230=0),0,MIN(P230,Q230)*Mapping!$I$2/P230)</f>
        <v>5.000000000000001E-2</v>
      </c>
      <c r="S230" s="1">
        <f>IF(OR(P230=0,Q230=0),0,MIN(P230,Q230)*Mapping!$I$2/Q230)</f>
        <v>5.000000000000001E-2</v>
      </c>
    </row>
    <row r="231" spans="1:19">
      <c r="A231" s="5">
        <v>46022</v>
      </c>
      <c r="B231" s="5">
        <v>46023</v>
      </c>
      <c r="C231">
        <v>0</v>
      </c>
      <c r="D231">
        <v>-1</v>
      </c>
      <c r="E231">
        <v>-1</v>
      </c>
      <c r="F231">
        <v>1</v>
      </c>
      <c r="G231">
        <v>0</v>
      </c>
      <c r="H231">
        <v>0</v>
      </c>
      <c r="I231">
        <v>-1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  <c r="P231">
        <f t="shared" si="6"/>
        <v>3</v>
      </c>
      <c r="Q231">
        <f t="shared" si="7"/>
        <v>3</v>
      </c>
      <c r="R231" s="1">
        <f>IF(OR(P231=0,Q231=0),0,MIN(P231,Q231)*Mapping!$I$2/P231)</f>
        <v>5.000000000000001E-2</v>
      </c>
      <c r="S231" s="1">
        <f>IF(OR(P231=0,Q231=0),0,MIN(P231,Q231)*Mapping!$I$2/Q231)</f>
        <v>5.000000000000001E-2</v>
      </c>
    </row>
    <row r="232" spans="1:19">
      <c r="A232" s="5">
        <v>46053</v>
      </c>
      <c r="B232" s="5">
        <v>46054</v>
      </c>
      <c r="C232">
        <v>0</v>
      </c>
      <c r="D232">
        <v>-1</v>
      </c>
      <c r="E232">
        <v>-1</v>
      </c>
      <c r="F232">
        <v>1</v>
      </c>
      <c r="G232">
        <v>1</v>
      </c>
      <c r="H232">
        <v>0</v>
      </c>
      <c r="I232">
        <v>-1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f t="shared" si="6"/>
        <v>3</v>
      </c>
      <c r="Q232">
        <f t="shared" si="7"/>
        <v>3</v>
      </c>
      <c r="R232" s="1">
        <f>IF(OR(P232=0,Q232=0),0,MIN(P232,Q232)*Mapping!$I$2/P232)</f>
        <v>5.000000000000001E-2</v>
      </c>
      <c r="S232" s="1">
        <f>IF(OR(P232=0,Q232=0),0,MIN(P232,Q232)*Mapping!$I$2/Q232)</f>
        <v>5.000000000000001E-2</v>
      </c>
    </row>
    <row r="233" spans="1:19">
      <c r="A233" s="5">
        <v>46081</v>
      </c>
      <c r="B233" s="5">
        <v>46082</v>
      </c>
      <c r="C233">
        <v>0</v>
      </c>
      <c r="D233">
        <v>-1</v>
      </c>
      <c r="E233">
        <v>-1</v>
      </c>
      <c r="F233">
        <v>1</v>
      </c>
      <c r="G233">
        <v>0</v>
      </c>
      <c r="H233">
        <v>0</v>
      </c>
      <c r="I233">
        <v>-1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f t="shared" si="6"/>
        <v>3</v>
      </c>
      <c r="Q233">
        <f t="shared" si="7"/>
        <v>3</v>
      </c>
      <c r="R233" s="1">
        <f>IF(OR(P233=0,Q233=0),0,MIN(P233,Q233)*Mapping!$I$2/P233)</f>
        <v>5.000000000000001E-2</v>
      </c>
      <c r="S233" s="1">
        <f>IF(OR(P233=0,Q233=0),0,MIN(P233,Q233)*Mapping!$I$2/Q233)</f>
        <v>5.000000000000001E-2</v>
      </c>
    </row>
    <row r="234" spans="1:19">
      <c r="A234" s="5">
        <v>46112</v>
      </c>
      <c r="B234" s="5">
        <v>46113</v>
      </c>
      <c r="C234">
        <v>0</v>
      </c>
      <c r="D234">
        <v>-1</v>
      </c>
      <c r="E234">
        <v>-1</v>
      </c>
      <c r="F234">
        <v>0</v>
      </c>
      <c r="G234">
        <v>0</v>
      </c>
      <c r="H234">
        <v>-1</v>
      </c>
      <c r="I234">
        <v>0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0</v>
      </c>
      <c r="P234">
        <f t="shared" si="6"/>
        <v>3</v>
      </c>
      <c r="Q234">
        <f t="shared" si="7"/>
        <v>3</v>
      </c>
      <c r="R234" s="1">
        <f>IF(OR(P234=0,Q234=0),0,MIN(P234,Q234)*Mapping!$I$2/P234)</f>
        <v>5.000000000000001E-2</v>
      </c>
      <c r="S234" s="1">
        <f>IF(OR(P234=0,Q234=0),0,MIN(P234,Q234)*Mapping!$I$2/Q234)</f>
        <v>5.000000000000001E-2</v>
      </c>
    </row>
    <row r="235" spans="1:19">
      <c r="A235" s="5">
        <v>46142</v>
      </c>
      <c r="B235" s="5">
        <v>46143</v>
      </c>
      <c r="C235">
        <v>1</v>
      </c>
      <c r="D235">
        <v>-1</v>
      </c>
      <c r="E235">
        <v>-1</v>
      </c>
      <c r="F235">
        <v>0</v>
      </c>
      <c r="G235">
        <v>0</v>
      </c>
      <c r="H235">
        <v>-1</v>
      </c>
      <c r="I235">
        <v>0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  <c r="P235">
        <f t="shared" si="6"/>
        <v>3</v>
      </c>
      <c r="Q235">
        <f t="shared" si="7"/>
        <v>3</v>
      </c>
      <c r="R235" s="1">
        <f>IF(OR(P235=0,Q235=0),0,MIN(P235,Q235)*Mapping!$I$2/P235)</f>
        <v>5.000000000000001E-2</v>
      </c>
      <c r="S235" s="1">
        <f>IF(OR(P235=0,Q235=0),0,MIN(P235,Q235)*Mapping!$I$2/Q235)</f>
        <v>5.000000000000001E-2</v>
      </c>
    </row>
    <row r="236" spans="1:19">
      <c r="A236" s="5">
        <v>46173</v>
      </c>
      <c r="B236" s="5">
        <v>46174</v>
      </c>
      <c r="C236">
        <v>0</v>
      </c>
      <c r="D236">
        <v>-1</v>
      </c>
      <c r="E236">
        <v>-1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-1</v>
      </c>
      <c r="P236">
        <f t="shared" si="6"/>
        <v>3</v>
      </c>
      <c r="Q236">
        <f t="shared" si="7"/>
        <v>3</v>
      </c>
      <c r="R236" s="1">
        <f>IF(OR(P236=0,Q236=0),0,MIN(P236,Q236)*Mapping!$I$2/P236)</f>
        <v>5.000000000000001E-2</v>
      </c>
      <c r="S236" s="1">
        <f>IF(OR(P236=0,Q236=0),0,MIN(P236,Q236)*Mapping!$I$2/Q236)</f>
        <v>5.000000000000001E-2</v>
      </c>
    </row>
    <row r="237" spans="1:19">
      <c r="A237" s="5">
        <v>46203</v>
      </c>
      <c r="B237" s="5">
        <v>46204</v>
      </c>
      <c r="C237">
        <v>1</v>
      </c>
      <c r="D237">
        <v>-1</v>
      </c>
      <c r="E237">
        <v>-1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-1</v>
      </c>
      <c r="P237">
        <f t="shared" si="6"/>
        <v>3</v>
      </c>
      <c r="Q237">
        <f t="shared" si="7"/>
        <v>3</v>
      </c>
      <c r="R237" s="1">
        <f>IF(OR(P237=0,Q237=0),0,MIN(P237,Q237)*Mapping!$I$2/P237)</f>
        <v>5.000000000000001E-2</v>
      </c>
      <c r="S237" s="1">
        <f>IF(OR(P237=0,Q237=0),0,MIN(P237,Q237)*Mapping!$I$2/Q237)</f>
        <v>5.000000000000001E-2</v>
      </c>
    </row>
    <row r="238" spans="1:19">
      <c r="A238" s="5">
        <v>46234</v>
      </c>
      <c r="B238" s="5">
        <v>46235</v>
      </c>
      <c r="C238">
        <v>-1</v>
      </c>
      <c r="D238">
        <v>-1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1</v>
      </c>
      <c r="M238">
        <v>0</v>
      </c>
      <c r="N238">
        <v>1</v>
      </c>
      <c r="O238">
        <v>-1</v>
      </c>
      <c r="P238">
        <f t="shared" si="6"/>
        <v>3</v>
      </c>
      <c r="Q238">
        <f t="shared" si="7"/>
        <v>3</v>
      </c>
      <c r="R238" s="1">
        <f>IF(OR(P238=0,Q238=0),0,MIN(P238,Q238)*Mapping!$I$2/P238)</f>
        <v>5.000000000000001E-2</v>
      </c>
      <c r="S238" s="1">
        <f>IF(OR(P238=0,Q238=0),0,MIN(P238,Q238)*Mapping!$I$2/Q238)</f>
        <v>5.000000000000001E-2</v>
      </c>
    </row>
    <row r="239" spans="1:19">
      <c r="A239" s="5">
        <v>46265</v>
      </c>
      <c r="B239" s="5">
        <v>46266</v>
      </c>
      <c r="C239">
        <v>0</v>
      </c>
      <c r="D239">
        <v>-1</v>
      </c>
      <c r="E239">
        <v>-1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-1</v>
      </c>
      <c r="P239">
        <f t="shared" si="6"/>
        <v>3</v>
      </c>
      <c r="Q239">
        <f t="shared" si="7"/>
        <v>3</v>
      </c>
      <c r="R239" s="1">
        <f>IF(OR(P239=0,Q239=0),0,MIN(P239,Q239)*Mapping!$I$2/P239)</f>
        <v>5.000000000000001E-2</v>
      </c>
      <c r="S239" s="1">
        <f>IF(OR(P239=0,Q239=0),0,MIN(P239,Q239)*Mapping!$I$2/Q239)</f>
        <v>5.000000000000001E-2</v>
      </c>
    </row>
    <row r="240" spans="1:19">
      <c r="A240" s="5">
        <v>46295</v>
      </c>
      <c r="B240" s="5">
        <v>46296</v>
      </c>
      <c r="C240">
        <v>0</v>
      </c>
      <c r="D240">
        <v>-1</v>
      </c>
      <c r="E240">
        <v>0</v>
      </c>
      <c r="F240">
        <v>1</v>
      </c>
      <c r="G240">
        <v>1</v>
      </c>
      <c r="H240">
        <v>0</v>
      </c>
      <c r="I240">
        <v>-1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-1</v>
      </c>
      <c r="P240">
        <f t="shared" si="6"/>
        <v>3</v>
      </c>
      <c r="Q240">
        <f t="shared" si="7"/>
        <v>3</v>
      </c>
      <c r="R240" s="1">
        <f>IF(OR(P240=0,Q240=0),0,MIN(P240,Q240)*Mapping!$I$2/P240)</f>
        <v>5.000000000000001E-2</v>
      </c>
      <c r="S240" s="1">
        <f>IF(OR(P240=0,Q240=0),0,MIN(P240,Q240)*Mapping!$I$2/Q240)</f>
        <v>5.000000000000001E-2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81E8-27B7-44F4-944A-B6FE8867D85B}">
  <dimension ref="A1:I20"/>
  <sheetViews>
    <sheetView workbookViewId="0"/>
  </sheetViews>
  <sheetFormatPr defaultRowHeight="14.5"/>
  <cols>
    <col min="1" max="1" width="28.6328125" customWidth="1"/>
    <col min="2" max="2" width="19.6328125" customWidth="1"/>
    <col min="3" max="3" width="12.6328125" customWidth="1"/>
    <col min="4" max="4" width="19.6328125" customWidth="1"/>
    <col min="5" max="5" width="12.6328125" customWidth="1"/>
    <col min="8" max="8" width="31.6328125" customWidth="1"/>
    <col min="9" max="9" width="13.6328125" customWidth="1"/>
  </cols>
  <sheetData>
    <row r="1" spans="1:9" ht="6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9">
      <c r="A2" t="s">
        <v>5</v>
      </c>
      <c r="B2" t="s">
        <v>6</v>
      </c>
      <c r="C2" s="1">
        <v>1</v>
      </c>
      <c r="E2" s="1">
        <v>0</v>
      </c>
      <c r="H2" s="2" t="s">
        <v>36</v>
      </c>
      <c r="I2" s="3">
        <v>0.05</v>
      </c>
    </row>
    <row r="3" spans="1:9">
      <c r="A3" t="s">
        <v>7</v>
      </c>
      <c r="B3" t="s">
        <v>8</v>
      </c>
      <c r="C3" s="1">
        <v>0.6</v>
      </c>
      <c r="D3" t="s">
        <v>8</v>
      </c>
      <c r="E3" s="1">
        <v>0.33333333333333331</v>
      </c>
    </row>
    <row r="4" spans="1:9">
      <c r="A4" t="s">
        <v>9</v>
      </c>
      <c r="B4" t="s">
        <v>10</v>
      </c>
      <c r="C4" s="1">
        <v>0.5</v>
      </c>
      <c r="D4" t="s">
        <v>10</v>
      </c>
      <c r="E4" s="1">
        <v>0.33333333333333331</v>
      </c>
    </row>
    <row r="5" spans="1:9">
      <c r="A5" t="s">
        <v>11</v>
      </c>
      <c r="B5" t="s">
        <v>10</v>
      </c>
      <c r="C5" s="1">
        <v>0.5</v>
      </c>
      <c r="D5" t="s">
        <v>10</v>
      </c>
      <c r="E5" s="1">
        <v>0.33333333333333331</v>
      </c>
      <c r="H5" t="s">
        <v>37</v>
      </c>
    </row>
    <row r="6" spans="1:9">
      <c r="A6" t="s">
        <v>12</v>
      </c>
      <c r="B6" t="s">
        <v>13</v>
      </c>
      <c r="C6" s="1">
        <v>0.2</v>
      </c>
      <c r="D6" t="s">
        <v>10</v>
      </c>
      <c r="E6" s="1">
        <v>0.33333333333333331</v>
      </c>
      <c r="H6" t="s">
        <v>38</v>
      </c>
    </row>
    <row r="7" spans="1:9">
      <c r="A7" t="s">
        <v>14</v>
      </c>
      <c r="B7" t="s">
        <v>8</v>
      </c>
      <c r="C7" s="1">
        <v>0.2</v>
      </c>
      <c r="D7" t="s">
        <v>8</v>
      </c>
      <c r="E7" s="1">
        <v>0.33333333333333331</v>
      </c>
      <c r="H7" t="s">
        <v>39</v>
      </c>
    </row>
    <row r="8" spans="1:9">
      <c r="A8" t="s">
        <v>15</v>
      </c>
      <c r="B8" t="s">
        <v>16</v>
      </c>
      <c r="C8" s="1">
        <v>1</v>
      </c>
      <c r="D8" t="s">
        <v>16</v>
      </c>
      <c r="E8" s="1">
        <v>1</v>
      </c>
      <c r="H8" t="s">
        <v>40</v>
      </c>
    </row>
    <row r="9" spans="1:9">
      <c r="A9" t="s">
        <v>17</v>
      </c>
      <c r="B9" t="s">
        <v>18</v>
      </c>
      <c r="C9" s="1">
        <v>1</v>
      </c>
      <c r="D9" t="s">
        <v>18</v>
      </c>
      <c r="E9" s="1">
        <v>1</v>
      </c>
      <c r="H9" t="s">
        <v>41</v>
      </c>
    </row>
    <row r="10" spans="1:9">
      <c r="A10" t="s">
        <v>19</v>
      </c>
      <c r="B10" t="s">
        <v>13</v>
      </c>
      <c r="C10" s="1">
        <v>0.8</v>
      </c>
      <c r="D10" t="s">
        <v>13</v>
      </c>
      <c r="E10" s="1">
        <v>1</v>
      </c>
      <c r="H10" t="s">
        <v>42</v>
      </c>
    </row>
    <row r="11" spans="1:9">
      <c r="A11" t="s">
        <v>20</v>
      </c>
      <c r="B11" t="s">
        <v>8</v>
      </c>
      <c r="C11" s="1">
        <v>0.2</v>
      </c>
      <c r="D11" t="s">
        <v>8</v>
      </c>
      <c r="E11" s="1">
        <v>0.33333333333333331</v>
      </c>
      <c r="H11" t="s">
        <v>43</v>
      </c>
    </row>
    <row r="12" spans="1:9">
      <c r="A12" t="s">
        <v>21</v>
      </c>
      <c r="B12" t="s">
        <v>21</v>
      </c>
      <c r="C12" s="1">
        <v>1</v>
      </c>
      <c r="D12" t="s">
        <v>21</v>
      </c>
      <c r="E12" s="1">
        <v>1</v>
      </c>
    </row>
    <row r="13" spans="1:9">
      <c r="A13" t="s">
        <v>22</v>
      </c>
      <c r="B13" t="s">
        <v>23</v>
      </c>
      <c r="C13" s="1">
        <v>1</v>
      </c>
      <c r="D13" t="s">
        <v>23</v>
      </c>
      <c r="E13" s="1">
        <v>1</v>
      </c>
    </row>
    <row r="14" spans="1:9">
      <c r="A14" t="s">
        <v>24</v>
      </c>
      <c r="B14" t="s">
        <v>25</v>
      </c>
      <c r="C14" s="1">
        <v>1</v>
      </c>
      <c r="E14" s="1">
        <v>0</v>
      </c>
    </row>
    <row r="15" spans="1:9">
      <c r="A15" t="s">
        <v>26</v>
      </c>
      <c r="C15" s="1">
        <v>0</v>
      </c>
      <c r="E15" s="1">
        <v>0</v>
      </c>
    </row>
    <row r="16" spans="1:9">
      <c r="A16" t="s">
        <v>27</v>
      </c>
      <c r="C16" s="1">
        <v>0</v>
      </c>
      <c r="D16" t="s">
        <v>27</v>
      </c>
      <c r="E16" s="1">
        <v>1</v>
      </c>
    </row>
    <row r="17" spans="1:5">
      <c r="A17" t="s">
        <v>28</v>
      </c>
      <c r="B17" t="s">
        <v>29</v>
      </c>
      <c r="C17" s="1">
        <v>1</v>
      </c>
      <c r="D17" t="s">
        <v>29</v>
      </c>
      <c r="E17" s="1">
        <v>1</v>
      </c>
    </row>
    <row r="18" spans="1:5">
      <c r="A18" t="s">
        <v>30</v>
      </c>
      <c r="B18" t="s">
        <v>31</v>
      </c>
      <c r="C18" s="1">
        <v>1</v>
      </c>
      <c r="D18" t="s">
        <v>31</v>
      </c>
      <c r="E18" s="1">
        <v>1</v>
      </c>
    </row>
    <row r="19" spans="1:5">
      <c r="A19" t="s">
        <v>32</v>
      </c>
      <c r="B19" t="s">
        <v>33</v>
      </c>
      <c r="C19" s="1">
        <v>1</v>
      </c>
      <c r="D19" t="s">
        <v>33</v>
      </c>
      <c r="E19" s="1">
        <v>1</v>
      </c>
    </row>
    <row r="20" spans="1:5">
      <c r="A20" t="s">
        <v>34</v>
      </c>
      <c r="B20" t="s">
        <v>35</v>
      </c>
      <c r="C20" s="1">
        <v>1</v>
      </c>
      <c r="D20" t="s">
        <v>35</v>
      </c>
      <c r="E2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secto_us</vt:lpstr>
      <vt:lpstr>secto_eu</vt:lpstr>
      <vt:lpstr>Signals_US</vt:lpstr>
      <vt:lpstr>Signals_EU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2026-10-26T21:55:56Z</dcterms:created>
  <dcterms:modified xsi:type="dcterms:W3CDTF">2026-10-26T22:05:20Z</dcterms:modified>
</cp:coreProperties>
</file>